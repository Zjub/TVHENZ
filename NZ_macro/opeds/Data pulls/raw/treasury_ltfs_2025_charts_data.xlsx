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chartsheets/sheet3.xml" ContentType="application/vnd.openxmlformats-officedocument.spreadsheetml.chartsheet+xml"/>
  <Override PartName="/xl/worksheets/sheet6.xml" ContentType="application/vnd.openxmlformats-officedocument.spreadsheetml.worksheet+xml"/>
  <Override PartName="/xl/chartsheets/sheet4.xml" ContentType="application/vnd.openxmlformats-officedocument.spreadsheetml.chartsheet+xml"/>
  <Override PartName="/xl/worksheets/sheet7.xml" ContentType="application/vnd.openxmlformats-officedocument.spreadsheetml.worksheet+xml"/>
  <Override PartName="/xl/chartsheets/sheet5.xml" ContentType="application/vnd.openxmlformats-officedocument.spreadsheetml.chartsheet+xml"/>
  <Override PartName="/xl/worksheets/sheet8.xml" ContentType="application/vnd.openxmlformats-officedocument.spreadsheetml.worksheet+xml"/>
  <Override PartName="/xl/chartsheets/sheet6.xml" ContentType="application/vnd.openxmlformats-officedocument.spreadsheetml.chartsheet+xml"/>
  <Override PartName="/xl/worksheets/sheet9.xml" ContentType="application/vnd.openxmlformats-officedocument.spreadsheetml.worksheet+xml"/>
  <Override PartName="/xl/chartsheets/sheet7.xml" ContentType="application/vnd.openxmlformats-officedocument.spreadsheetml.chartsheet+xml"/>
  <Override PartName="/xl/worksheets/sheet10.xml" ContentType="application/vnd.openxmlformats-officedocument.spreadsheetml.worksheet+xml"/>
  <Override PartName="/xl/chartsheets/sheet8.xml" ContentType="application/vnd.openxmlformats-officedocument.spreadsheetml.chartsheet+xml"/>
  <Override PartName="/xl/worksheets/sheet11.xml" ContentType="application/vnd.openxmlformats-officedocument.spreadsheetml.worksheet+xml"/>
  <Override PartName="/xl/chartsheets/sheet9.xml" ContentType="application/vnd.openxmlformats-officedocument.spreadsheetml.chartsheet+xml"/>
  <Override PartName="/xl/worksheets/sheet12.xml" ContentType="application/vnd.openxmlformats-officedocument.spreadsheetml.worksheet+xml"/>
  <Override PartName="/xl/chartsheets/sheet10.xml" ContentType="application/vnd.openxmlformats-officedocument.spreadsheetml.chartsheet+xml"/>
  <Override PartName="/xl/worksheets/sheet13.xml" ContentType="application/vnd.openxmlformats-officedocument.spreadsheetml.worksheet+xml"/>
  <Override PartName="/xl/chartsheets/sheet11.xml" ContentType="application/vnd.openxmlformats-officedocument.spreadsheetml.chartsheet+xml"/>
  <Override PartName="/xl/worksheets/sheet14.xml" ContentType="application/vnd.openxmlformats-officedocument.spreadsheetml.worksheet+xml"/>
  <Override PartName="/xl/chartsheets/sheet12.xml" ContentType="application/vnd.openxmlformats-officedocument.spreadsheetml.chartsheet+xml"/>
  <Override PartName="/xl/worksheets/sheet15.xml" ContentType="application/vnd.openxmlformats-officedocument.spreadsheetml.worksheet+xml"/>
  <Override PartName="/xl/chartsheets/sheet13.xml" ContentType="application/vnd.openxmlformats-officedocument.spreadsheetml.chartsheet+xml"/>
  <Override PartName="/xl/worksheets/sheet16.xml" ContentType="application/vnd.openxmlformats-officedocument.spreadsheetml.worksheet+xml"/>
  <Override PartName="/xl/chartsheets/sheet14.xml" ContentType="application/vnd.openxmlformats-officedocument.spreadsheetml.chartsheet+xml"/>
  <Override PartName="/xl/worksheets/sheet17.xml" ContentType="application/vnd.openxmlformats-officedocument.spreadsheetml.worksheet+xml"/>
  <Override PartName="/xl/chartsheets/sheet15.xml" ContentType="application/vnd.openxmlformats-officedocument.spreadsheetml.chartsheet+xml"/>
  <Override PartName="/xl/worksheets/sheet18.xml" ContentType="application/vnd.openxmlformats-officedocument.spreadsheetml.worksheet+xml"/>
  <Override PartName="/xl/chartsheets/sheet16.xml" ContentType="application/vnd.openxmlformats-officedocument.spreadsheetml.chartsheet+xml"/>
  <Override PartName="/xl/worksheets/sheet19.xml" ContentType="application/vnd.openxmlformats-officedocument.spreadsheetml.worksheet+xml"/>
  <Override PartName="/xl/chartsheets/sheet17.xml" ContentType="application/vnd.openxmlformats-officedocument.spreadsheetml.chartsheet+xml"/>
  <Override PartName="/xl/worksheets/sheet20.xml" ContentType="application/vnd.openxmlformats-officedocument.spreadsheetml.worksheet+xml"/>
  <Override PartName="/xl/chartsheets/sheet18.xml" ContentType="application/vnd.openxmlformats-officedocument.spreadsheetml.chartsheet+xml"/>
  <Override PartName="/xl/worksheets/sheet21.xml" ContentType="application/vnd.openxmlformats-officedocument.spreadsheetml.worksheet+xml"/>
  <Override PartName="/xl/chartsheets/sheet19.xml" ContentType="application/vnd.openxmlformats-officedocument.spreadsheetml.chartsheet+xml"/>
  <Override PartName="/xl/worksheets/sheet22.xml" ContentType="application/vnd.openxmlformats-officedocument.spreadsheetml.worksheet+xml"/>
  <Override PartName="/xl/chartsheets/sheet20.xml" ContentType="application/vnd.openxmlformats-officedocument.spreadsheetml.chartsheet+xml"/>
  <Override PartName="/xl/worksheets/sheet23.xml" ContentType="application/vnd.openxmlformats-officedocument.spreadsheetml.worksheet+xml"/>
  <Override PartName="/xl/chartsheets/sheet21.xml" ContentType="application/vnd.openxmlformats-officedocument.spreadsheetml.chartsheet+xml"/>
  <Override PartName="/xl/worksheets/sheet24.xml" ContentType="application/vnd.openxmlformats-officedocument.spreadsheetml.worksheet+xml"/>
  <Override PartName="/xl/chartsheets/sheet22.xml" ContentType="application/vnd.openxmlformats-officedocument.spreadsheetml.chartsheet+xml"/>
  <Override PartName="/xl/worksheets/sheet25.xml" ContentType="application/vnd.openxmlformats-officedocument.spreadsheetml.worksheet+xml"/>
  <Override PartName="/xl/chartsheets/sheet23.xml" ContentType="application/vnd.openxmlformats-officedocument.spreadsheetml.chartsheet+xml"/>
  <Override PartName="/xl/worksheets/sheet26.xml" ContentType="application/vnd.openxmlformats-officedocument.spreadsheetml.worksheet+xml"/>
  <Override PartName="/xl/chartsheets/sheet24.xml" ContentType="application/vnd.openxmlformats-officedocument.spreadsheetml.chartsheet+xml"/>
  <Override PartName="/xl/worksheets/sheet27.xml" ContentType="application/vnd.openxmlformats-officedocument.spreadsheetml.worksheet+xml"/>
  <Override PartName="/xl/chartsheets/sheet25.xml" ContentType="application/vnd.openxmlformats-officedocument.spreadsheetml.chartsheet+xml"/>
  <Override PartName="/xl/worksheets/sheet28.xml" ContentType="application/vnd.openxmlformats-officedocument.spreadsheetml.worksheet+xml"/>
  <Override PartName="/xl/chartsheets/sheet26.xml" ContentType="application/vnd.openxmlformats-officedocument.spreadsheetml.chartsheet+xml"/>
  <Override PartName="/xl/worksheets/sheet29.xml" ContentType="application/vnd.openxmlformats-officedocument.spreadsheetml.worksheet+xml"/>
  <Override PartName="/xl/chartsheets/sheet27.xml" ContentType="application/vnd.openxmlformats-officedocument.spreadsheetml.chartsheet+xml"/>
  <Override PartName="/xl/worksheets/sheet30.xml" ContentType="application/vnd.openxmlformats-officedocument.spreadsheetml.worksheet+xml"/>
  <Override PartName="/xl/chartsheets/sheet28.xml" ContentType="application/vnd.openxmlformats-officedocument.spreadsheetml.chartsheet+xml"/>
  <Override PartName="/xl/worksheets/sheet31.xml" ContentType="application/vnd.openxmlformats-officedocument.spreadsheetml.worksheet+xml"/>
  <Override PartName="/xl/chartsheets/sheet29.xml" ContentType="application/vnd.openxmlformats-officedocument.spreadsheetml.chartsheet+xml"/>
  <Override PartName="/xl/worksheets/sheet32.xml" ContentType="application/vnd.openxmlformats-officedocument.spreadsheetml.worksheet+xml"/>
  <Override PartName="/xl/chartsheets/sheet30.xml" ContentType="application/vnd.openxmlformats-officedocument.spreadsheetml.chartsheet+xml"/>
  <Override PartName="/xl/worksheets/sheet33.xml" ContentType="application/vnd.openxmlformats-officedocument.spreadsheetml.worksheet+xml"/>
  <Override PartName="/xl/chartsheets/sheet31.xml" ContentType="application/vnd.openxmlformats-officedocument.spreadsheetml.chartsheet+xml"/>
  <Override PartName="/xl/worksheets/sheet34.xml" ContentType="application/vnd.openxmlformats-officedocument.spreadsheetml.worksheet+xml"/>
  <Override PartName="/xl/chartsheets/sheet32.xml" ContentType="application/vnd.openxmlformats-officedocument.spreadsheetml.chartsheet+xml"/>
  <Override PartName="/xl/worksheets/sheet35.xml" ContentType="application/vnd.openxmlformats-officedocument.spreadsheetml.worksheet+xml"/>
  <Override PartName="/xl/chartsheets/sheet33.xml" ContentType="application/vnd.openxmlformats-officedocument.spreadsheetml.chartsheet+xml"/>
  <Override PartName="/xl/worksheets/sheet36.xml" ContentType="application/vnd.openxmlformats-officedocument.spreadsheetml.worksheet+xml"/>
  <Override PartName="/xl/chartsheets/sheet34.xml" ContentType="application/vnd.openxmlformats-officedocument.spreadsheetml.chartsheet+xml"/>
  <Override PartName="/xl/worksheets/sheet37.xml" ContentType="application/vnd.openxmlformats-officedocument.spreadsheetml.worksheet+xml"/>
  <Override PartName="/xl/chartsheets/sheet35.xml" ContentType="application/vnd.openxmlformats-officedocument.spreadsheetml.chartsheet+xml"/>
  <Override PartName="/xl/worksheets/sheet38.xml" ContentType="application/vnd.openxmlformats-officedocument.spreadsheetml.worksheet+xml"/>
  <Override PartName="/xl/chartsheets/sheet36.xml" ContentType="application/vnd.openxmlformats-officedocument.spreadsheetml.chartsheet+xml"/>
  <Override PartName="/xl/worksheets/sheet39.xml" ContentType="application/vnd.openxmlformats-officedocument.spreadsheetml.worksheet+xml"/>
  <Override PartName="/xl/chartsheets/sheet37.xml" ContentType="application/vnd.openxmlformats-officedocument.spreadsheetml.chartsheet+xml"/>
  <Override PartName="/xl/worksheets/sheet40.xml" ContentType="application/vnd.openxmlformats-officedocument.spreadsheetml.worksheet+xml"/>
  <Override PartName="/xl/chartsheets/sheet38.xml" ContentType="application/vnd.openxmlformats-officedocument.spreadsheetml.chartsheet+xml"/>
  <Override PartName="/xl/worksheets/sheet41.xml" ContentType="application/vnd.openxmlformats-officedocument.spreadsheetml.worksheet+xml"/>
  <Override PartName="/xl/chartsheets/sheet39.xml" ContentType="application/vnd.openxmlformats-officedocument.spreadsheetml.chartsheet+xml"/>
  <Override PartName="/xl/worksheets/sheet42.xml" ContentType="application/vnd.openxmlformats-officedocument.spreadsheetml.worksheet+xml"/>
  <Override PartName="/xl/chartsheets/sheet40.xml" ContentType="application/vnd.openxmlformats-officedocument.spreadsheetml.chartsheet+xml"/>
  <Override PartName="/xl/worksheets/sheet43.xml" ContentType="application/vnd.openxmlformats-officedocument.spreadsheetml.worksheet+xml"/>
  <Override PartName="/xl/chartsheets/sheet41.xml" ContentType="application/vnd.openxmlformats-officedocument.spreadsheetml.chartsheet+xml"/>
  <Override PartName="/xl/worksheets/sheet44.xml" ContentType="application/vnd.openxmlformats-officedocument.spreadsheetml.worksheet+xml"/>
  <Override PartName="/xl/chartsheets/sheet42.xml" ContentType="application/vnd.openxmlformats-officedocument.spreadsheetml.chartsheet+xml"/>
  <Override PartName="/xl/worksheets/sheet45.xml" ContentType="application/vnd.openxmlformats-officedocument.spreadsheetml.worksheet+xml"/>
  <Override PartName="/xl/chartsheets/sheet43.xml" ContentType="application/vnd.openxmlformats-officedocument.spreadsheetml.chartsheet+xml"/>
  <Override PartName="/xl/worksheets/sheet46.xml" ContentType="application/vnd.openxmlformats-officedocument.spreadsheetml.worksheet+xml"/>
  <Override PartName="/xl/chartsheets/sheet44.xml" ContentType="application/vnd.openxmlformats-officedocument.spreadsheetml.chartsheet+xml"/>
  <Override PartName="/xl/worksheets/sheet47.xml" ContentType="application/vnd.openxmlformats-officedocument.spreadsheetml.worksheet+xml"/>
  <Override PartName="/xl/chartsheets/sheet45.xml" ContentType="application/vnd.openxmlformats-officedocument.spreadsheetml.chartsheet+xml"/>
  <Override PartName="/xl/worksheets/sheet48.xml" ContentType="application/vnd.openxmlformats-officedocument.spreadsheetml.worksheet+xml"/>
  <Override PartName="/xl/chartsheets/sheet4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comments1.xml" ContentType="application/vnd.openxmlformats-officedocument.spreadsheetml.comments+xml"/>
  <Override PartName="/xl/drawings/drawing13.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4.xml" ContentType="application/vnd.openxmlformats-officedocument.drawingml.chartshapes+xml"/>
  <Override PartName="/xl/comments2.xml" ContentType="application/vnd.openxmlformats-officedocument.spreadsheetml.comments+xml"/>
  <Override PartName="/xl/threadedComments/threadedComment1.xml" ContentType="application/vnd.ms-excel.threadedcomments+xml"/>
  <Override PartName="/xl/drawings/drawing15.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24.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7.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0.xml" ContentType="application/vnd.openxmlformats-officedocument.drawing+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1.xml" ContentType="application/vnd.openxmlformats-officedocument.drawing+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4.xml" ContentType="application/vnd.openxmlformats-officedocument.drawing+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7.xml" ContentType="application/vnd.openxmlformats-officedocument.drawing+xml"/>
  <Override PartName="/xl/charts/chart21.xml" ContentType="application/vnd.openxmlformats-officedocument.drawingml.chart+xml"/>
  <Override PartName="/xl/drawings/drawing38.xml" ContentType="application/vnd.openxmlformats-officedocument.drawing+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9.xml" ContentType="application/vnd.openxmlformats-officedocument.drawing+xml"/>
  <Override PartName="/xl/charts/chart23.xml" ContentType="application/vnd.openxmlformats-officedocument.drawingml.chart+xml"/>
  <Override PartName="/xl/drawings/drawing40.xml" ContentType="application/vnd.openxmlformats-officedocument.drawing+xml"/>
  <Override PartName="/xl/charts/chart24.xml" ContentType="application/vnd.openxmlformats-officedocument.drawingml.chart+xml"/>
  <Override PartName="/xl/drawings/drawing41.xml" ContentType="application/vnd.openxmlformats-officedocument.drawing+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2.xml" ContentType="application/vnd.openxmlformats-officedocument.drawingml.chartshapes+xml"/>
  <Override PartName="/xl/drawings/drawing43.xml" ContentType="application/vnd.openxmlformats-officedocument.drawing+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4.xml" ContentType="application/vnd.openxmlformats-officedocument.drawing+xml"/>
  <Override PartName="/xl/charts/chart27.xml" ContentType="application/vnd.openxmlformats-officedocument.drawingml.chart+xml"/>
  <Override PartName="/xl/drawings/drawing45.xml" ContentType="application/vnd.openxmlformats-officedocument.drawing+xml"/>
  <Override PartName="/xl/charts/chart28.xml" ContentType="application/vnd.openxmlformats-officedocument.drawingml.chart+xml"/>
  <Override PartName="/xl/drawings/drawing46.xml" ContentType="application/vnd.openxmlformats-officedocument.drawing+xml"/>
  <Override PartName="/xl/charts/chart2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7.xml" ContentType="application/vnd.openxmlformats-officedocument.drawing+xml"/>
  <Override PartName="/xl/charts/chart30.xml" ContentType="application/vnd.openxmlformats-officedocument.drawingml.chart+xml"/>
  <Override PartName="/xl/drawings/drawing48.xml" ContentType="application/vnd.openxmlformats-officedocument.drawing+xml"/>
  <Override PartName="/xl/charts/chart31.xml" ContentType="application/vnd.openxmlformats-officedocument.drawingml.chart+xml"/>
  <Override PartName="/xl/drawings/drawing49.xml" ContentType="application/vnd.openxmlformats-officedocument.drawing+xml"/>
  <Override PartName="/xl/charts/chart3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xml" ContentType="application/vnd.openxmlformats-officedocument.themeOverride+xml"/>
  <Override PartName="/xl/drawings/drawing50.xml" ContentType="application/vnd.openxmlformats-officedocument.drawingml.chartshapes+xml"/>
  <Override PartName="/xl/drawings/drawing51.xml" ContentType="application/vnd.openxmlformats-officedocument.drawing+xml"/>
  <Override PartName="/xl/charts/chart3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2.xml" ContentType="application/vnd.openxmlformats-officedocument.themeOverride+xml"/>
  <Override PartName="/xl/drawings/drawing52.xml" ContentType="application/vnd.openxmlformats-officedocument.drawingml.chartshapes+xml"/>
  <Override PartName="/xl/drawings/drawing53.xml" ContentType="application/vnd.openxmlformats-officedocument.drawing+xml"/>
  <Override PartName="/xl/charts/chart34.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3.xml" ContentType="application/vnd.openxmlformats-officedocument.themeOverride+xml"/>
  <Override PartName="/xl/drawings/drawing54.xml" ContentType="application/vnd.openxmlformats-officedocument.drawingml.chartshapes+xml"/>
  <Override PartName="/xl/drawings/drawing55.xml" ContentType="application/vnd.openxmlformats-officedocument.drawing+xml"/>
  <Override PartName="/xl/charts/chart35.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4.xml" ContentType="application/vnd.openxmlformats-officedocument.themeOverride+xml"/>
  <Override PartName="/xl/drawings/drawing56.xml" ContentType="application/vnd.openxmlformats-officedocument.drawingml.chartshapes+xml"/>
  <Override PartName="/xl/drawings/drawing57.xml" ContentType="application/vnd.openxmlformats-officedocument.drawing+xml"/>
  <Override PartName="/xl/charts/chart36.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5.xml" ContentType="application/vnd.openxmlformats-officedocument.themeOverride+xml"/>
  <Override PartName="/xl/drawings/drawing58.xml" ContentType="application/vnd.openxmlformats-officedocument.drawingml.chartshapes+xml"/>
  <Override PartName="/xl/drawings/drawing59.xml" ContentType="application/vnd.openxmlformats-officedocument.drawing+xml"/>
  <Override PartName="/xl/charts/chart3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0.xml" ContentType="application/vnd.openxmlformats-officedocument.drawingml.chartshapes+xml"/>
  <Override PartName="/xl/drawings/drawing61.xml" ContentType="application/vnd.openxmlformats-officedocument.drawing+xml"/>
  <Override PartName="/xl/charts/chart3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62.xml" ContentType="application/vnd.openxmlformats-officedocument.drawing+xml"/>
  <Override PartName="/xl/charts/chart39.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6.xml" ContentType="application/vnd.openxmlformats-officedocument.themeOverride+xml"/>
  <Override PartName="/xl/drawings/drawing63.xml" ContentType="application/vnd.openxmlformats-officedocument.drawingml.chartshapes+xml"/>
  <Override PartName="/xl/drawings/drawing64.xml" ContentType="application/vnd.openxmlformats-officedocument.drawing+xml"/>
  <Override PartName="/xl/charts/chart40.xml" ContentType="application/vnd.openxmlformats-officedocument.drawingml.chart+xml"/>
  <Override PartName="/xl/drawings/drawing65.xml" ContentType="application/vnd.openxmlformats-officedocument.drawing+xml"/>
  <Override PartName="/xl/charts/chart4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6.xml" ContentType="application/vnd.openxmlformats-officedocument.drawingml.chartshapes+xml"/>
  <Override PartName="/xl/drawings/drawing67.xml" ContentType="application/vnd.openxmlformats-officedocument.drawing+xml"/>
  <Override PartName="/xl/charts/chart4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68.xml" ContentType="application/vnd.openxmlformats-officedocument.drawingml.chartshapes+xml"/>
  <Override PartName="/xl/drawings/drawing69.xml" ContentType="application/vnd.openxmlformats-officedocument.drawing+xml"/>
  <Override PartName="/xl/charts/chart43.xml" ContentType="application/vnd.openxmlformats-officedocument.drawingml.chart+xml"/>
  <Override PartName="/xl/drawings/drawing70.xml" ContentType="application/vnd.openxmlformats-officedocument.drawing+xml"/>
  <Override PartName="/xl/charts/chart44.xml" ContentType="application/vnd.openxmlformats-officedocument.drawingml.chart+xml"/>
  <Override PartName="/xl/drawings/drawing71.xml" ContentType="application/vnd.openxmlformats-officedocument.drawingml.chartshapes+xml"/>
  <Override PartName="/xl/drawings/drawing72.xml" ContentType="application/vnd.openxmlformats-officedocument.drawing+xml"/>
  <Override PartName="/xl/charts/chart45.xml" ContentType="application/vnd.openxmlformats-officedocument.drawingml.chart+xml"/>
  <Override PartName="/xl/drawings/drawing73.xml" ContentType="application/vnd.openxmlformats-officedocument.drawingml.chartshapes+xml"/>
  <Override PartName="/xl/drawings/drawing74.xml" ContentType="application/vnd.openxmlformats-officedocument.drawing+xml"/>
  <Override PartName="/xl/charts/chart46.xml" ContentType="application/vnd.openxmlformats-officedocument.drawingml.chart+xml"/>
  <Override PartName="/xl/drawings/drawing75.xml" ContentType="application/vnd.openxmlformats-officedocument.drawingml.chartshapes+xml"/>
  <Override PartName="/xl/drawings/drawing76.xml" ContentType="application/vnd.openxmlformats-officedocument.drawing+xml"/>
  <Override PartName="/xl/charts/chart47.xml" ContentType="application/vnd.openxmlformats-officedocument.drawingml.chart+xml"/>
  <Override PartName="/xl/drawings/drawing7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mc:AlternateContent xmlns:mc="http://schemas.openxmlformats.org/markup-compatibility/2006">
    <mc:Choice Requires="x15">
      <x15ac:absPath xmlns:x15ac="http://schemas.microsoft.com/office/spreadsheetml/2010/11/ac" url="P:\TSY\WIP2025\TSY946_LTFS Long-term Fiscal Statement  and Summary Doc 2025\Web\documents\"/>
    </mc:Choice>
  </mc:AlternateContent>
  <xr:revisionPtr revIDLastSave="0" documentId="13_ncr:1_{E0B16E3C-3EFA-4F9A-9F84-398C9772C90E}" xr6:coauthVersionLast="47" xr6:coauthVersionMax="47" xr10:uidLastSave="{00000000-0000-0000-0000-000000000000}"/>
  <bookViews>
    <workbookView xWindow="28680" yWindow="-120" windowWidth="29040" windowHeight="15840" tabRatio="736" xr2:uid="{DA689C42-1706-4122-ADA9-1268B1E8817C}"/>
  </bookViews>
  <sheets>
    <sheet name="Index" sheetId="101" r:id="rId1"/>
    <sheet name="List of Figures" sheetId="258" r:id="rId2"/>
    <sheet name="Fig 1 data" sheetId="5" r:id="rId3"/>
    <sheet name="Fig 1" sheetId="87" r:id="rId4"/>
    <sheet name="Fig 2 data" sheetId="175" r:id="rId5"/>
    <sheet name="Fig 2" sheetId="214" r:id="rId6"/>
    <sheet name="Fig 3 data" sheetId="240" r:id="rId7"/>
    <sheet name="Fig 3" sheetId="241" r:id="rId8"/>
    <sheet name="Fig 4 data" sheetId="129" r:id="rId9"/>
    <sheet name="Fig 4" sheetId="183" r:id="rId10"/>
    <sheet name="Fig 5 data" sheetId="177" r:id="rId11"/>
    <sheet name="Fig 5" sheetId="215" r:id="rId12"/>
    <sheet name="Fig 6 data" sheetId="179" r:id="rId13"/>
    <sheet name="Fig 6" sheetId="216" r:id="rId14"/>
    <sheet name="Fig 7 data" sheetId="103" r:id="rId15"/>
    <sheet name="Fig 7" sheetId="254" r:id="rId16"/>
    <sheet name="Fig 8 data" sheetId="4" r:id="rId17"/>
    <sheet name="Fig 8" sheetId="70" r:id="rId18"/>
    <sheet name="Fig 9 data" sheetId="248" r:id="rId19"/>
    <sheet name="Fig 9" sheetId="249" r:id="rId20"/>
    <sheet name="Fig 10 data" sheetId="250" r:id="rId21"/>
    <sheet name="Fig 10" sheetId="251" r:id="rId22"/>
    <sheet name="Fig 11 data" sheetId="31" r:id="rId23"/>
    <sheet name="Fig 11" sheetId="89" r:id="rId24"/>
    <sheet name="Fig 12 data" sheetId="122" r:id="rId25"/>
    <sheet name="Fig 12" sheetId="151" r:id="rId26"/>
    <sheet name="Fig 13 data" sheetId="2" r:id="rId27"/>
    <sheet name="Fig 13" sheetId="68" r:id="rId28"/>
    <sheet name="Fig 14 data" sheetId="8" r:id="rId29"/>
    <sheet name="Fig 14" sheetId="88" r:id="rId30"/>
    <sheet name="Fig 15 data" sheetId="137" r:id="rId31"/>
    <sheet name="Fig 15" sheetId="138" r:id="rId32"/>
    <sheet name="Fig 16 data" sheetId="105" r:id="rId33"/>
    <sheet name="Fig 16" sheetId="136" r:id="rId34"/>
    <sheet name="Fig 17 data" sheetId="244" r:id="rId35"/>
    <sheet name="Fig 17" sheetId="247" r:id="rId36"/>
    <sheet name="Fig 18 data" sheetId="3" r:id="rId37"/>
    <sheet name="Fig 18" sheetId="69" r:id="rId38"/>
    <sheet name="Fig 19 data" sheetId="47" r:id="rId39"/>
    <sheet name="Fig 19" sheetId="75" r:id="rId40"/>
    <sheet name="Fig 20 data" sheetId="181" r:id="rId41"/>
    <sheet name="Fig 20" sheetId="217" r:id="rId42"/>
    <sheet name="Fig 21 data" sheetId="50" r:id="rId43"/>
    <sheet name="Fig 21" sheetId="77" r:id="rId44"/>
    <sheet name="Fig 22 data" sheetId="184" r:id="rId45"/>
    <sheet name="Fig 22" sheetId="218" r:id="rId46"/>
    <sheet name="Fig 23 data" sheetId="185" r:id="rId47"/>
    <sheet name="Fig 23" sheetId="219" r:id="rId48"/>
    <sheet name="Fig 24 data" sheetId="54" r:id="rId49"/>
    <sheet name="Fig 24" sheetId="80" r:id="rId50"/>
    <sheet name="Fig 25 data" sheetId="52" r:id="rId51"/>
    <sheet name="Fig 25" sheetId="78" r:id="rId52"/>
    <sheet name="Fig 26 data" sheetId="188" r:id="rId53"/>
    <sheet name="Fig 26" sheetId="220" r:id="rId54"/>
    <sheet name="Fig 27 data" sheetId="190" r:id="rId55"/>
    <sheet name="Fig 27" sheetId="222" r:id="rId56"/>
    <sheet name="Fig 28 data" sheetId="166" r:id="rId57"/>
    <sheet name="Fig 28" sheetId="165" r:id="rId58"/>
    <sheet name="Fig 29 data" sheetId="192" r:id="rId59"/>
    <sheet name="Fig 29" sheetId="223" r:id="rId60"/>
    <sheet name="Fig 30 data" sheetId="194" r:id="rId61"/>
    <sheet name="Fig 30" sheetId="224" r:id="rId62"/>
    <sheet name="Fig 31 data" sheetId="195" r:id="rId63"/>
    <sheet name="Fig 31" sheetId="225" r:id="rId64"/>
    <sheet name="Fig 32 data" sheetId="196" r:id="rId65"/>
    <sheet name="Fig 32" sheetId="226" r:id="rId66"/>
    <sheet name="Fig 33 data" sheetId="199" r:id="rId67"/>
    <sheet name="Fig 33" sheetId="227" r:id="rId68"/>
    <sheet name="Fig 34 data" sheetId="202" r:id="rId69"/>
    <sheet name="Fig 34" sheetId="228" r:id="rId70"/>
    <sheet name="Fig 35 data" sheetId="203" r:id="rId71"/>
    <sheet name="Fig 35" sheetId="229" r:id="rId72"/>
    <sheet name="Fig 36 data" sheetId="154" r:id="rId73"/>
    <sheet name="Fig 36" sheetId="155" r:id="rId74"/>
    <sheet name="Fig 37 data" sheetId="162" r:id="rId75"/>
    <sheet name="Fig 37" sheetId="163" r:id="rId76"/>
    <sheet name="Fig 38 data" sheetId="235" r:id="rId77"/>
    <sheet name="Fig 38" sheetId="236" r:id="rId78"/>
    <sheet name="Fig 39 data" sheetId="206" r:id="rId79"/>
    <sheet name="Fig 39" sheetId="221" r:id="rId80"/>
    <sheet name="Fig 40 data" sheetId="156" r:id="rId81"/>
    <sheet name="Fig 40" sheetId="157" r:id="rId82"/>
    <sheet name="Fig 41 data" sheetId="113" r:id="rId83"/>
    <sheet name="Fig 41" sheetId="158" r:id="rId84"/>
    <sheet name="Fig 42 data" sheetId="208" r:id="rId85"/>
    <sheet name="Fig 42" sheetId="230" r:id="rId86"/>
    <sheet name="Fig 43 data" sheetId="211" r:id="rId87"/>
    <sheet name="Fig 43" sheetId="231" r:id="rId88"/>
    <sheet name="Fig 44 data" sheetId="210" r:id="rId89"/>
    <sheet name="Fig 44" sheetId="232" r:id="rId90"/>
    <sheet name="Fig 45 data" sheetId="212" r:id="rId91"/>
    <sheet name="Fig 45" sheetId="233" r:id="rId92"/>
    <sheet name="Fig 46 data" sheetId="213" r:id="rId93"/>
    <sheet name="Fig 46" sheetId="234" r:id="rId9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88" i="3" l="1"/>
  <c r="AW88" i="3"/>
  <c r="AV88" i="3"/>
  <c r="AU88" i="3"/>
  <c r="AT88" i="3"/>
  <c r="AS88" i="3"/>
  <c r="AR88" i="3"/>
  <c r="AQ88" i="3"/>
  <c r="AP88" i="3"/>
  <c r="AO88" i="3"/>
  <c r="AN88" i="3"/>
  <c r="AM88" i="3"/>
  <c r="AL88" i="3"/>
  <c r="AK88" i="3"/>
  <c r="AJ88" i="3"/>
  <c r="AI88" i="3"/>
  <c r="AH88" i="3"/>
  <c r="AG88" i="3"/>
  <c r="AF88" i="3"/>
  <c r="AE8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Hanna Vu [TSY]</author>
  </authors>
  <commentList>
    <comment ref="E7" authorId="0" shapeId="0" xr:uid="{4A6311EE-F1EA-4C58-A803-DAF7A514AF49}">
      <text>
        <r>
          <rPr>
            <b/>
            <sz val="9"/>
            <color indexed="81"/>
            <rFont val="Tahoma"/>
            <family val="2"/>
          </rPr>
          <t>Hanna Vu [TSY]:</t>
        </r>
        <r>
          <rPr>
            <sz val="9"/>
            <color indexed="81"/>
            <rFont val="Tahoma"/>
            <family val="2"/>
          </rPr>
          <t xml:space="preserve">
~=terms of trade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tc={EFE6CE4C-DC03-4C4B-B173-EA7A5CE97E52}</author>
    <author>tc={FF70F6AC-007D-457D-BCB6-79EBCAFBC02C}</author>
  </authors>
  <commentList>
    <comment ref="C18" authorId="0" shapeId="0" xr:uid="{EFE6CE4C-DC03-4C4B-B173-EA7A5CE97E52}">
      <text>
        <t xml:space="preserve">[Threaded comment]
Your version of Excel allows you to read this threaded comment; however, any edits to it will get removed if the file is opened in a newer version of Excel. Learn more: https://go.microsoft.com/fwlink/?linkid=870924
Comment:
    Note: numbers between 2005-2018  in 2016, 2021 and 2025 sourced from Tsy fiscal time series (1972-2014) data. </t>
      </text>
    </comment>
    <comment ref="D18" authorId="1" shapeId="0" xr:uid="{FF70F6AC-007D-457D-BCB6-79EBCAFBC02C}">
      <text>
        <t xml:space="preserve">[Threaded comment]
Your version of Excel allows you to read this threaded comment; however, any edits to it will get removed if the file is opened in a newer version of Excel. Learn more: https://go.microsoft.com/fwlink/?linkid=870924
Comment:
    Note: numbers between 2005-2018  in 2016, 2021 and 2025 sourced from Tsy fiscal time series (1972-2014) data.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tc={86F2E9F7-08AD-4A4E-87F3-DB55D09CBEEA}</author>
  </authors>
  <commentList>
    <comment ref="W19" authorId="0" shapeId="0" xr:uid="{86F2E9F7-08AD-4A4E-87F3-DB55D09CBEEA}">
      <text>
        <t>[Threaded comment]
Your version of Excel allows you to read this threaded comment; however, any edits to it will get removed if the file is opened in a newer version of Excel. Learn more: https://go.microsoft.com/fwlink/?linkid=870924
Comment:
    Table 5.2 BEFU 2021 for years 2016-2018
https://www.treasury.govt.nz/sites/default/files/2021-05/befu21.pdf</t>
      </text>
    </comment>
  </commentList>
</comments>
</file>

<file path=xl/sharedStrings.xml><?xml version="1.0" encoding="utf-8"?>
<sst xmlns="http://schemas.openxmlformats.org/spreadsheetml/2006/main" count="604" uniqueCount="373">
  <si>
    <t>Source: The Treasury</t>
  </si>
  <si>
    <t>2025 LTFS</t>
  </si>
  <si>
    <t>Line</t>
  </si>
  <si>
    <t>% of GDP</t>
  </si>
  <si>
    <t>Source: the Treasury</t>
  </si>
  <si>
    <t>Baseline</t>
  </si>
  <si>
    <t>Unfavourable</t>
  </si>
  <si>
    <t>Favourable</t>
  </si>
  <si>
    <t>Age group</t>
  </si>
  <si>
    <t>In-kind benefits (health and education)</t>
  </si>
  <si>
    <t>65-69</t>
  </si>
  <si>
    <t>70-74</t>
  </si>
  <si>
    <t>80+</t>
  </si>
  <si>
    <t>2025 LTFM</t>
  </si>
  <si>
    <t>2006 LTFM</t>
  </si>
  <si>
    <t>line</t>
  </si>
  <si>
    <t>Actual</t>
  </si>
  <si>
    <t>2021 LTFS</t>
  </si>
  <si>
    <t>2016 LTFS</t>
  </si>
  <si>
    <t>2013 LTFS</t>
  </si>
  <si>
    <t>2009 LTFS</t>
  </si>
  <si>
    <t>2006 LTFS</t>
  </si>
  <si>
    <t>Source: Stats NZ</t>
  </si>
  <si>
    <t>75+</t>
  </si>
  <si>
    <t>Labour productivity</t>
  </si>
  <si>
    <t>Participation rate (15+ popn)</t>
  </si>
  <si>
    <t>Total population</t>
  </si>
  <si>
    <t>CPI inflation</t>
  </si>
  <si>
    <t>Other Factors</t>
  </si>
  <si>
    <t>Year ending 30 June</t>
  </si>
  <si>
    <t>OBEGALx</t>
  </si>
  <si>
    <t>2025 (as projected in 2006)</t>
  </si>
  <si>
    <t>New Zealand Superannuation</t>
  </si>
  <si>
    <t>01/02</t>
  </si>
  <si>
    <t>02/03</t>
  </si>
  <si>
    <t>03/04</t>
  </si>
  <si>
    <t>04/05</t>
  </si>
  <si>
    <t>05/06</t>
  </si>
  <si>
    <t>06/07</t>
  </si>
  <si>
    <t>07/08</t>
  </si>
  <si>
    <t>08/09</t>
  </si>
  <si>
    <t>09/10</t>
  </si>
  <si>
    <t>10/11</t>
  </si>
  <si>
    <t>11/12</t>
  </si>
  <si>
    <t>12/13</t>
  </si>
  <si>
    <t>13/14</t>
  </si>
  <si>
    <t>14/15</t>
  </si>
  <si>
    <t>15/16</t>
  </si>
  <si>
    <t>16/17</t>
  </si>
  <si>
    <t>17/18</t>
  </si>
  <si>
    <t>18/19</t>
  </si>
  <si>
    <t>19/20</t>
  </si>
  <si>
    <t>20/21</t>
  </si>
  <si>
    <t>21/22</t>
  </si>
  <si>
    <t>22/23</t>
  </si>
  <si>
    <t>23/24</t>
  </si>
  <si>
    <t>Other</t>
  </si>
  <si>
    <t>Nominal GDP</t>
  </si>
  <si>
    <t>Source: OECD</t>
  </si>
  <si>
    <t>High</t>
  </si>
  <si>
    <t>Low</t>
  </si>
  <si>
    <t>GDP (tax-financed)</t>
  </si>
  <si>
    <t>GDP (debt-financed)</t>
  </si>
  <si>
    <t>Low income people</t>
  </si>
  <si>
    <t>Median income people</t>
  </si>
  <si>
    <t>High income people</t>
  </si>
  <si>
    <t>Australia Age Pension and Tax Concessions</t>
  </si>
  <si>
    <t xml:space="preserve">Mexico </t>
  </si>
  <si>
    <t xml:space="preserve">Colombia </t>
  </si>
  <si>
    <t xml:space="preserve">Ireland </t>
  </si>
  <si>
    <t xml:space="preserve">Türkiye </t>
  </si>
  <si>
    <t xml:space="preserve">Chile </t>
  </si>
  <si>
    <t xml:space="preserve">Costa Rica </t>
  </si>
  <si>
    <t xml:space="preserve">Switzerland </t>
  </si>
  <si>
    <t xml:space="preserve">United States </t>
  </si>
  <si>
    <t xml:space="preserve">Australia </t>
  </si>
  <si>
    <t xml:space="preserve">Latvia </t>
  </si>
  <si>
    <t xml:space="preserve">Lithuania </t>
  </si>
  <si>
    <t xml:space="preserve">Korea </t>
  </si>
  <si>
    <t xml:space="preserve">Estonia </t>
  </si>
  <si>
    <t xml:space="preserve">Israel </t>
  </si>
  <si>
    <t xml:space="preserve">New Zealand </t>
  </si>
  <si>
    <t xml:space="preserve">Czechia </t>
  </si>
  <si>
    <t xml:space="preserve">Canada </t>
  </si>
  <si>
    <t xml:space="preserve">OECD average  </t>
  </si>
  <si>
    <t xml:space="preserve">Poland </t>
  </si>
  <si>
    <t xml:space="preserve">Japan </t>
  </si>
  <si>
    <t xml:space="preserve">Slovak Republic </t>
  </si>
  <si>
    <t xml:space="preserve">Hungary </t>
  </si>
  <si>
    <t xml:space="preserve">Iceland </t>
  </si>
  <si>
    <t xml:space="preserve">United Kingdom </t>
  </si>
  <si>
    <t xml:space="preserve">Portugal </t>
  </si>
  <si>
    <t xml:space="preserve">Slovenia </t>
  </si>
  <si>
    <t xml:space="preserve">Spain </t>
  </si>
  <si>
    <t xml:space="preserve">Netherlands </t>
  </si>
  <si>
    <t xml:space="preserve">Luxembourg </t>
  </si>
  <si>
    <t xml:space="preserve">Germany </t>
  </si>
  <si>
    <t xml:space="preserve">Greece </t>
  </si>
  <si>
    <t xml:space="preserve">Denmark </t>
  </si>
  <si>
    <t xml:space="preserve">Belgium </t>
  </si>
  <si>
    <t xml:space="preserve">Sweden </t>
  </si>
  <si>
    <t xml:space="preserve">Italy </t>
  </si>
  <si>
    <t xml:space="preserve">Finland </t>
  </si>
  <si>
    <t xml:space="preserve">Austria </t>
  </si>
  <si>
    <t xml:space="preserve">Norway </t>
  </si>
  <si>
    <t xml:space="preserve">France </t>
  </si>
  <si>
    <t>2021 LTFM</t>
  </si>
  <si>
    <t>2013 LTFM</t>
  </si>
  <si>
    <t>2009 LTFM</t>
  </si>
  <si>
    <t xml:space="preserve">High health spending growth </t>
  </si>
  <si>
    <t xml:space="preserve">Low health spending growth </t>
  </si>
  <si>
    <t>Health spending (Baseline)</t>
  </si>
  <si>
    <t>Health spending (GST)</t>
  </si>
  <si>
    <t>Health spending (Combination Policy)</t>
  </si>
  <si>
    <t>Non-health spending (Baseline)</t>
  </si>
  <si>
    <t>Non-health spending (GST)</t>
  </si>
  <si>
    <t>Non-health spending (Combination Policy)</t>
  </si>
  <si>
    <t>Pension spending (Baseline)</t>
  </si>
  <si>
    <t>Pension spending (GST)</t>
  </si>
  <si>
    <t>Pension spending (Combination Policy)</t>
  </si>
  <si>
    <t>Pension spending (labour tax-financed)</t>
  </si>
  <si>
    <t>Pension spending (GST-financed)</t>
  </si>
  <si>
    <t>Structural balance</t>
  </si>
  <si>
    <t>Health spending (baseline)</t>
  </si>
  <si>
    <t>Health spending (high productivity growth)</t>
  </si>
  <si>
    <t xml:space="preserve">2016 LTFM </t>
  </si>
  <si>
    <t>Pension spending (baseline)</t>
  </si>
  <si>
    <t>Pension spending (high productivity growth)</t>
  </si>
  <si>
    <t>GST rate (Baseline)</t>
  </si>
  <si>
    <t>GST rate (GST)</t>
  </si>
  <si>
    <t>GST rate (Combination Policy)</t>
  </si>
  <si>
    <t>90+</t>
  </si>
  <si>
    <t>Aged care</t>
  </si>
  <si>
    <t>Primary</t>
  </si>
  <si>
    <t>Delay change scenario (Debt increase for 40 years before taxes are increased)</t>
  </si>
  <si>
    <t xml:space="preserve">GDP deflator relative to CPI </t>
  </si>
  <si>
    <t>Mental health</t>
  </si>
  <si>
    <t>Hospital, community services</t>
  </si>
  <si>
    <t xml:space="preserve">Core Crown Expenditure </t>
  </si>
  <si>
    <t>CC expenses</t>
  </si>
  <si>
    <t>96/97</t>
  </si>
  <si>
    <t>97/98</t>
  </si>
  <si>
    <t>98/99</t>
  </si>
  <si>
    <t>99/00</t>
  </si>
  <si>
    <t>00/01</t>
  </si>
  <si>
    <t>Nominal GDP (2025 LTFM)</t>
  </si>
  <si>
    <t>CC Expenses (% of GDP)</t>
  </si>
  <si>
    <t>Direct taxes (eg, income tax)</t>
  </si>
  <si>
    <t>Indirect taxes (eg, GST)</t>
  </si>
  <si>
    <t>Income support (eg, benefits, NZ Super)</t>
  </si>
  <si>
    <t>Net Jobseeker for an adult without children - CPI indexation</t>
  </si>
  <si>
    <t xml:space="preserve">Net New Zealand Superannuation per person of a couple </t>
  </si>
  <si>
    <t>Jobseeker in Long-Term Fiscal Model baseline</t>
  </si>
  <si>
    <t>Net NZS expenditure</t>
  </si>
  <si>
    <t>Net NZS expenditure plus/(minus) NZSF contributions/(withdrawals)</t>
  </si>
  <si>
    <t>Millions</t>
  </si>
  <si>
    <t>$ (2018/19 prices)</t>
  </si>
  <si>
    <t>Ratio</t>
  </si>
  <si>
    <t>Thousands</t>
  </si>
  <si>
    <t>% of population</t>
  </si>
  <si>
    <t xml:space="preserve">% </t>
  </si>
  <si>
    <t>%</t>
  </si>
  <si>
    <t>$thousands</t>
  </si>
  <si>
    <t>$billions</t>
  </si>
  <si>
    <t xml:space="preserve">% of GDP </t>
  </si>
  <si>
    <t>Index</t>
  </si>
  <si>
    <t>change in consumption %</t>
  </si>
  <si>
    <t>Change in consumption %</t>
  </si>
  <si>
    <t>% of average wage</t>
  </si>
  <si>
    <t>Tax revenue</t>
  </si>
  <si>
    <t>OLG</t>
  </si>
  <si>
    <t>Figure 21: Net debt under alternative interest rate assumptions</t>
  </si>
  <si>
    <t>Figure 27: Health expenditure under alternative demographic assumptions</t>
  </si>
  <si>
    <t>Figure 37: Pension expenditure in Australia and New Zealand</t>
  </si>
  <si>
    <t>LTFS 2006</t>
  </si>
  <si>
    <t>LTFS 2009</t>
  </si>
  <si>
    <t>LTFS  2013</t>
  </si>
  <si>
    <t>LTFS  2016</t>
  </si>
  <si>
    <t>LTFS 2021</t>
  </si>
  <si>
    <t>LTFS 2025</t>
  </si>
  <si>
    <t>LTFS 2016</t>
  </si>
  <si>
    <t xml:space="preserve"> LTFS 2006</t>
  </si>
  <si>
    <t xml:space="preserve">LTFS 2025 </t>
  </si>
  <si>
    <t xml:space="preserve">LTFS 2006 </t>
  </si>
  <si>
    <t xml:space="preserve">LTFS 2021 </t>
  </si>
  <si>
    <t xml:space="preserve">LTFM </t>
  </si>
  <si>
    <t xml:space="preserve"> Annual labour productivity growth (hours worked measure)</t>
  </si>
  <si>
    <t xml:space="preserve"> Average over 30 years (1994/95–2023/24) ie, 1.0%</t>
  </si>
  <si>
    <t xml:space="preserve"> Average over 20 years (2004/05–2023/24) ie, 0.7%</t>
  </si>
  <si>
    <t>0–4</t>
  </si>
  <si>
    <t>5–9</t>
  </si>
  <si>
    <t>10–14</t>
  </si>
  <si>
    <t>15–19</t>
  </si>
  <si>
    <t>20–24</t>
  </si>
  <si>
    <t>25–29</t>
  </si>
  <si>
    <t>30–34</t>
  </si>
  <si>
    <t>35–39</t>
  </si>
  <si>
    <t>40–44</t>
  </si>
  <si>
    <t>45–49</t>
  </si>
  <si>
    <t>50–54</t>
  </si>
  <si>
    <t>55–59</t>
  </si>
  <si>
    <t>60–64</t>
  </si>
  <si>
    <t>65–69</t>
  </si>
  <si>
    <t>70–74</t>
  </si>
  <si>
    <t>75–79</t>
  </si>
  <si>
    <t>80–84</t>
  </si>
  <si>
    <t>85–89</t>
  </si>
  <si>
    <t>Core Crown tax revenue</t>
  </si>
  <si>
    <t>Core Crown expenditure</t>
  </si>
  <si>
    <t>Published by the New Zealand Treasury at:</t>
  </si>
  <si>
    <t>Crown copyright ©</t>
  </si>
  <si>
    <t>This copyright work is licensed under the Creative Commons Attribution 4.0 International licence. In essence, you are free to copy, distribute and adapt the work, as long as you attribute the work to the Crown and abide by the other licence terms.</t>
  </si>
  <si>
    <t>To view a copy of this licence, visit http://creativecommons.org/licenses/by/4.0/. Please note that no departmental or governmental emblem, logo or Coat of Arms may be used in any way which infringes any provision of the Flags, Emblems, and Names Protection Act 1981 or would infringe such provision if the relevant use occurred within New Zealand. Attribution to the Crown should be in written form and not by reproduction of any such emblem, logo or Coat of Arms.</t>
  </si>
  <si>
    <t>Published 24 September 2025</t>
  </si>
  <si>
    <t>Figure Number</t>
  </si>
  <si>
    <t>Title</t>
  </si>
  <si>
    <t>Fig 1</t>
  </si>
  <si>
    <t>Fig 2</t>
  </si>
  <si>
    <t>Fig 3</t>
  </si>
  <si>
    <t>Fig 4</t>
  </si>
  <si>
    <t>Fig 5</t>
  </si>
  <si>
    <t>Fig 6</t>
  </si>
  <si>
    <t>Fig 7</t>
  </si>
  <si>
    <t>Fig 8</t>
  </si>
  <si>
    <t>Fig 9</t>
  </si>
  <si>
    <t>Fig 10</t>
  </si>
  <si>
    <t>Fig 11</t>
  </si>
  <si>
    <t>Fig 12</t>
  </si>
  <si>
    <t>Fig 13</t>
  </si>
  <si>
    <t>Fig 14</t>
  </si>
  <si>
    <t>Fig 15</t>
  </si>
  <si>
    <t>Fig 16</t>
  </si>
  <si>
    <t>Fig 17</t>
  </si>
  <si>
    <t>Fig 18</t>
  </si>
  <si>
    <t>Fig 19</t>
  </si>
  <si>
    <t>Fig 20</t>
  </si>
  <si>
    <t>Fig 21</t>
  </si>
  <si>
    <t>Fig 22</t>
  </si>
  <si>
    <t>Fig 23</t>
  </si>
  <si>
    <t>Fig 24</t>
  </si>
  <si>
    <t>Fig 25</t>
  </si>
  <si>
    <t>Fig 26</t>
  </si>
  <si>
    <t>Fig 27</t>
  </si>
  <si>
    <t>Fig 28</t>
  </si>
  <si>
    <t>Fig 29</t>
  </si>
  <si>
    <t>Fig 30</t>
  </si>
  <si>
    <t>Fig 31</t>
  </si>
  <si>
    <t>Fig 32</t>
  </si>
  <si>
    <t>Fig 33</t>
  </si>
  <si>
    <t>Fig 34</t>
  </si>
  <si>
    <t>Fig 35</t>
  </si>
  <si>
    <t>Fig 36</t>
  </si>
  <si>
    <t>Fig 37</t>
  </si>
  <si>
    <t>Fig 38</t>
  </si>
  <si>
    <t>Fig 39</t>
  </si>
  <si>
    <t>Fig 40</t>
  </si>
  <si>
    <t>Fig 41</t>
  </si>
  <si>
    <t>Fig 42</t>
  </si>
  <si>
    <t>Fig 43</t>
  </si>
  <si>
    <t>Fig 44</t>
  </si>
  <si>
    <t>Fig 45</t>
  </si>
  <si>
    <t>Fig 46</t>
  </si>
  <si>
    <t xml:space="preserve">2025 (current) </t>
  </si>
  <si>
    <t>0-14</t>
  </si>
  <si>
    <t>15-64</t>
  </si>
  <si>
    <t>65+</t>
  </si>
  <si>
    <t>Baseline (2%)</t>
  </si>
  <si>
    <t>High fertility</t>
  </si>
  <si>
    <t>High-skilled migration</t>
  </si>
  <si>
    <t>Baseline OLG scenario (Income taxes increase to keep net debt constant)</t>
  </si>
  <si>
    <t>Figure 1: Population projection by Long-term Fiscal Statement publication</t>
  </si>
  <si>
    <t>Figure 2: Annual net migration by Long-term Fiscal Statement publication</t>
  </si>
  <si>
    <t xml:space="preserve">Figure 3: Population age structure in 2006 and 2025 (projected and current) </t>
  </si>
  <si>
    <t>Sources: the Treasury; Stats NZ</t>
  </si>
  <si>
    <t>Sources:  Long-term Fiscal Model (LTFM), The Treasury; Stats NZ</t>
  </si>
  <si>
    <t>Sources: The Treasury; Stats NZ</t>
  </si>
  <si>
    <t>Figure 4:  New Zealand labour force participation rates for 65+ age groups</t>
  </si>
  <si>
    <t>Source: LTFM, The Treasury</t>
  </si>
  <si>
    <t>Figure 6: New Zealand productivity growth</t>
  </si>
  <si>
    <t>Sources: Stats NZ; LTFM, The Treasury</t>
  </si>
  <si>
    <t>Figure 7:  Contributions to nominal GDP growth since 2005</t>
  </si>
  <si>
    <t>Sources: Stats NZ; The Treasury</t>
  </si>
  <si>
    <t>Figure 8: Net core Crown debt by Long-term Fiscal Statement publication</t>
  </si>
  <si>
    <t>Figure 9: Core Crown revenue, actual vs Statement projections</t>
  </si>
  <si>
    <t>Source:  LTFM, The Treasury</t>
  </si>
  <si>
    <t>Figure 10: Core Crown expenditure, actual vs Statement projections</t>
  </si>
  <si>
    <t>Figure 17: Health expenditure by age group</t>
  </si>
  <si>
    <t>Figure 19: Projection of net core Crown debt assuming no change to fiscal policy</t>
  </si>
  <si>
    <t>Figure 20: Net core Crown debt projections assuming no change to fiscal policy</t>
  </si>
  <si>
    <t>Sources: OLG Model, LTFM, the Treasury</t>
  </si>
  <si>
    <t>Figure 22:  Health expenditure under higher Total Factor Productivity (TFP) growth assumptions</t>
  </si>
  <si>
    <t>Source:  OLG model, The Treasury</t>
  </si>
  <si>
    <t>Figure 23:  Superannuation expenditure under higher TFP growth assumption</t>
  </si>
  <si>
    <t>Source: OLG model, The Treasury</t>
  </si>
  <si>
    <t>Figure 25: Net core Crown debt (excluding NZSF and advances) under different capital investment assumptions</t>
  </si>
  <si>
    <t>Figure 26: Total government expenditure under alternative demographic scenarios</t>
  </si>
  <si>
    <t>Figure 28:  Core Crown net debt paths under fiscal favourable and unfavourable scenarios</t>
  </si>
  <si>
    <t>Figure 29: Average labour tax rate to balance the budget: increasing taxes now versus delaying tax increases for 40 years</t>
  </si>
  <si>
    <t>Figure 30: Economic impacts: increasing taxes now versus delaying tax increases for 40 years</t>
  </si>
  <si>
    <t>Figure 31: Distributional implications of letting debt build for 40 years relative to baseline</t>
  </si>
  <si>
    <t>Figure 32: Distributional impacts of increasing the age of eligibility to 68 by 2040</t>
  </si>
  <si>
    <t>Figure 33: Distributional impacts of indexing NZS to CPI</t>
  </si>
  <si>
    <t>Figure 34:  Increase in age of eligibility with no preannouncement</t>
  </si>
  <si>
    <t>Figure 35: Increase in age of eligibility with 20-year preannouncement</t>
  </si>
  <si>
    <t>Figure 36:  NZS expenditure including and excluding net NZSF contributions/withdrawals</t>
  </si>
  <si>
    <t>Sources: LTFM, The Treasury, Australian Government</t>
  </si>
  <si>
    <t>Figure 40: Main benefit rates relative to wages over time</t>
  </si>
  <si>
    <t>Source: LTFM, the Treasury</t>
  </si>
  <si>
    <t xml:space="preserve">Figure 41: General government tax revenue, 2022 </t>
  </si>
  <si>
    <t>Figure 42: NZS expenditure would be a higher share of GDP if we fund increasing expenditure through GST rather than income taxes</t>
  </si>
  <si>
    <t>Figure 43: Superannuation spending</t>
  </si>
  <si>
    <t>Figure 44: Health spending</t>
  </si>
  <si>
    <t>Figure 45: Non-health government consumption spending</t>
  </si>
  <si>
    <t>Figure 46: Goods and services tax rate</t>
  </si>
  <si>
    <t>Goods and services tax rate</t>
  </si>
  <si>
    <t>Population projection by Long-term Fiscal Statement publication</t>
  </si>
  <si>
    <t>Annual net migration by Long-term Fiscal Statement publication</t>
  </si>
  <si>
    <t xml:space="preserve">Population age structure in 2006 and 2025 (projected and current) </t>
  </si>
  <si>
    <t>New Zealand labour force participation rates for 65+ age groups</t>
  </si>
  <si>
    <t>Figure 5: 10-year government bond rate by Long-term Fiscal Statement publication</t>
  </si>
  <si>
    <t>10-year government bond rate by Long-term Fiscal Statement publication</t>
  </si>
  <si>
    <t>New Zealand productivity growth</t>
  </si>
  <si>
    <t>Contributions to nominal GDP growth since 2005</t>
  </si>
  <si>
    <t>Net core Crown debt by Long-term Fiscal Statement publication</t>
  </si>
  <si>
    <t>Core Crown revenue, actual vs Statement projections</t>
  </si>
  <si>
    <t>Core Crown expenditure, actual vs Statement projections</t>
  </si>
  <si>
    <t>Figure 13: Operating balance before gains and losses excluding ACC (OBEGALx) and the structural balance</t>
  </si>
  <si>
    <t>Operating balance before gains and losses excluding ACC (OBEGALx) and the structural balance</t>
  </si>
  <si>
    <t>Figure 12: Spend on NZS, actual vs Statement projections</t>
  </si>
  <si>
    <t>Spend on NZS, actual vs Statement projections</t>
  </si>
  <si>
    <t>Figure 14: Average tax paid and benefits received by age group, year ending March 2019</t>
  </si>
  <si>
    <t>Average tax paid and benefits received by age group, year ending March 2019</t>
  </si>
  <si>
    <t>Figure 15:  Ratio of 15–64 years to 65+ years</t>
  </si>
  <si>
    <t>Ratio of 15–64 years to 65+ years</t>
  </si>
  <si>
    <t>Figure 16:  Ratio of 15–64 years to 0–14 years</t>
  </si>
  <si>
    <t>Ratio of 15–64 years to 0–14 years</t>
  </si>
  <si>
    <t>Health expenditure by age group</t>
  </si>
  <si>
    <t>Figure 18: Projections of core Crown revenue and expenditure assuming no  change to fiscal policy</t>
  </si>
  <si>
    <t>Projections of core Crown revenue and expenditure assuming no  change to fiscal policy</t>
  </si>
  <si>
    <t xml:space="preserve"> Projection of net core Crown debt assuming no change to fiscal policy</t>
  </si>
  <si>
    <t>Net core Crown debt projections assuming no change to fiscal policy</t>
  </si>
  <si>
    <t>Net debt under alternative interest rate assumptions</t>
  </si>
  <si>
    <t>Health expenditure under higher Total Factor Productivity (TFP) growth assumptions</t>
  </si>
  <si>
    <t>Superannuation expenditure under higher TFP growth assumption</t>
  </si>
  <si>
    <t>Figure 24: Net core Crown debt (excluding NZS fund and advances) under different  defence expenditure assumptions</t>
  </si>
  <si>
    <t>Net core Crown debt (excluding NZS fund and advances) under different  defence expenditure assumptions</t>
  </si>
  <si>
    <t>Net core Crown debt (excluding NZSF and advances) under different capital investment assumptions</t>
  </si>
  <si>
    <t>Total government expenditure under alternative demographic scenarios</t>
  </si>
  <si>
    <t>Health expenditure under alternative demographic assumptions</t>
  </si>
  <si>
    <t>Core Crown net debt paths under fiscal favourable and unfavourable scenarios</t>
  </si>
  <si>
    <t>Average labour tax rate to balance the budget: increasing taxes now versus delaying tax increases for 40 years</t>
  </si>
  <si>
    <t>Economic impacts: increasing taxes now versus delaying tax increases for 40 years</t>
  </si>
  <si>
    <t>Distributional implications of letting debt build for 40 years relative to baseline</t>
  </si>
  <si>
    <t>Distributional impacts of increasing the age of eligibility to 68 by 2040</t>
  </si>
  <si>
    <t>Distributional impacts of indexing NZS to CPI</t>
  </si>
  <si>
    <t>Increase in age of eligibility with no preannouncement</t>
  </si>
  <si>
    <t>Increase in age of eligibility with 20-year preannouncement</t>
  </si>
  <si>
    <t>NZS expenditure including and excluding net NZSF contributions/withdrawals</t>
  </si>
  <si>
    <t>Figure 38: Distributional impact of partial phase-out of NZS</t>
  </si>
  <si>
    <t>Distributional impact of partial phase-out of NZS</t>
  </si>
  <si>
    <t>Pension expenditure in Australia and New Zealand</t>
  </si>
  <si>
    <t>Main benefit rates relative to wages over time</t>
  </si>
  <si>
    <t xml:space="preserve">General government tax revenue, 2022 </t>
  </si>
  <si>
    <t>NZS expenditure would be a higher share of GDP if we fund increasing expenditure through GST rather than income taxes</t>
  </si>
  <si>
    <t>Superannuation spending</t>
  </si>
  <si>
    <t>Health spending</t>
  </si>
  <si>
    <t>Non-health government consumption spending</t>
  </si>
  <si>
    <t>Figure 11: Spend on NZS, actual vs Statement projections</t>
  </si>
  <si>
    <t xml:space="preserve">Figure 39: Health expenditure under alternative cost assumptions </t>
  </si>
  <si>
    <t xml:space="preserve">Health expenditure under alternative cost assumptions </t>
  </si>
  <si>
    <t>https://www.treasury.govt.nz/publications/ltfp/he-tirohanga-mokopuna-2025</t>
  </si>
  <si>
    <t>Data and Charts - He Tirohanga Mokopuna - Long-term Fiscal Statement 2025</t>
  </si>
  <si>
    <t>This spreadsheet contains the tables, charts and the data used to generate the charts that appear in  He Tirohanga Mokopuna - Long-term Fiscal Statement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</si>
</sst>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_(* \(#,##0.00\);_(* &quot;-&quot;??_);_(@_)"/>
    <numFmt numFmtId="165" formatCode="_(&quot;$&quot;* #,##0.00_);_(&quot;$&quot;* \(#,##0.00\);_(&quot;$&quot;* &quot;-&quot;??_);_(@_)"/>
    <numFmt numFmtId="166" formatCode="0.0"/>
    <numFmt numFmtId="167" formatCode="#,##0.0"/>
    <numFmt numFmtId="168" formatCode="0.000"/>
    <numFmt numFmtId="169" formatCode="#,##0.0_ ;\-#,##0.0\ "/>
    <numFmt numFmtId="170" formatCode="#,##0_ ;\-#,##0\ "/>
    <numFmt numFmtId="171" formatCode="0.000000"/>
    <numFmt numFmtId="172" formatCode="0.00000"/>
    <numFmt numFmtId="173" formatCode="0.0000"/>
    <numFmt numFmtId="174" formatCode="0.00000000"/>
    <numFmt numFmtId="175" formatCode="0.000000000"/>
  </numFmts>
  <fonts count="30" x14ac:knownFonts="1">
    <font>
      <sz val="11"/>
      <color theme="1"/>
      <name val="Aptos Narrow"/>
      <family val="2"/>
      <scheme val="minor"/>
    </font>
    <font>
      <sz val="9"/>
      <name val="Arial"/>
      <family val="2"/>
    </font>
    <font>
      <sz val="11"/>
      <name val="Arial Narrow"/>
      <family val="2"/>
    </font>
    <font>
      <sz val="11"/>
      <color theme="1"/>
      <name val="Arial Narrow"/>
      <family val="2"/>
    </font>
    <font>
      <sz val="10"/>
      <name val="Arial"/>
      <family val="2"/>
    </font>
    <font>
      <b/>
      <sz val="11"/>
      <color theme="1"/>
      <name val="Arial Narrow"/>
      <family val="2"/>
    </font>
    <font>
      <b/>
      <sz val="11"/>
      <color theme="1"/>
      <name val="Arial"/>
      <family val="2"/>
    </font>
    <font>
      <sz val="11"/>
      <color theme="1"/>
      <name val="Arial"/>
      <family val="2"/>
    </font>
    <font>
      <sz val="11"/>
      <color theme="0"/>
      <name val="Arial Narrow"/>
      <family val="2"/>
    </font>
    <font>
      <sz val="11"/>
      <color theme="1"/>
      <name val="Aptos Narrow"/>
      <family val="2"/>
      <scheme val="minor"/>
    </font>
    <font>
      <u/>
      <sz val="11"/>
      <color theme="10"/>
      <name val="Aptos Narrow"/>
      <family val="2"/>
      <scheme val="minor"/>
    </font>
    <font>
      <b/>
      <sz val="11"/>
      <name val="Arial Narrow"/>
      <family val="2"/>
    </font>
    <font>
      <u/>
      <sz val="10"/>
      <color indexed="12"/>
      <name val="Arial"/>
      <family val="2"/>
    </font>
    <font>
      <sz val="11"/>
      <color theme="1"/>
      <name val="Arial Narrow"/>
      <family val="2"/>
    </font>
    <font>
      <b/>
      <sz val="9"/>
      <color indexed="81"/>
      <name val="Tahoma"/>
      <family val="2"/>
    </font>
    <font>
      <sz val="9"/>
      <color indexed="81"/>
      <name val="Tahoma"/>
      <family val="2"/>
    </font>
    <font>
      <u/>
      <sz val="11"/>
      <color theme="10"/>
      <name val="Arial Narrow"/>
      <family val="2"/>
    </font>
    <font>
      <b/>
      <sz val="11"/>
      <color theme="0"/>
      <name val="Arial Narrow"/>
      <family val="2"/>
    </font>
    <font>
      <sz val="8"/>
      <name val="Aptos Narrow"/>
      <family val="2"/>
      <scheme val="minor"/>
    </font>
    <font>
      <sz val="11"/>
      <color theme="1"/>
      <name val="Arial Narrow"/>
      <family val="2"/>
    </font>
    <font>
      <b/>
      <sz val="14"/>
      <name val="Arial"/>
      <family val="2"/>
    </font>
    <font>
      <u/>
      <sz val="10"/>
      <color rgb="FF0083AC"/>
      <name val="Arial"/>
      <family val="2"/>
    </font>
    <font>
      <b/>
      <sz val="10"/>
      <color theme="1"/>
      <name val="Arial"/>
      <family val="2"/>
    </font>
    <font>
      <sz val="10"/>
      <color theme="1"/>
      <name val="Arial"/>
      <family val="2"/>
    </font>
    <font>
      <sz val="11"/>
      <color rgb="FF0000FF"/>
      <name val="Arial"/>
      <family val="2"/>
    </font>
    <font>
      <b/>
      <sz val="11"/>
      <color rgb="FF0000FF"/>
      <name val="Arial"/>
      <family val="2"/>
    </font>
    <font>
      <b/>
      <sz val="14"/>
      <name val="Arial Narrow"/>
      <family val="2"/>
    </font>
    <font>
      <b/>
      <sz val="18"/>
      <color theme="5"/>
      <name val="Arial Narrow"/>
      <family val="2"/>
    </font>
    <font>
      <sz val="11"/>
      <color rgb="FFFF0000"/>
      <name val="Arial Narrow"/>
      <family val="2"/>
    </font>
    <font>
      <sz val="11"/>
      <color indexed="8"/>
      <name val="Arial Narrow"/>
      <family val="2"/>
    </font>
  </fonts>
  <fills count="6">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0"/>
        <bgColor indexed="64"/>
      </patternFill>
    </fill>
  </fills>
  <borders count="1">
    <border>
      <left/>
      <right/>
      <top/>
      <bottom/>
      <diagonal/>
    </border>
  </borders>
  <cellStyleXfs count="15">
    <xf numFmtId="0" fontId="0" fillId="0" borderId="0"/>
    <xf numFmtId="0" fontId="1" fillId="0" borderId="0"/>
    <xf numFmtId="0" fontId="4" fillId="0" borderId="0"/>
    <xf numFmtId="0" fontId="4" fillId="0" borderId="0"/>
    <xf numFmtId="0" fontId="4" fillId="0" borderId="0"/>
    <xf numFmtId="165" fontId="9" fillId="0" borderId="0" applyFont="0" applyFill="0" applyBorder="0" applyAlignment="0" applyProtection="0"/>
    <xf numFmtId="0" fontId="10" fillId="0" borderId="0" applyNumberFormat="0" applyFill="0" applyBorder="0" applyAlignment="0" applyProtection="0"/>
    <xf numFmtId="9" fontId="9" fillId="0" borderId="0" applyFont="0" applyFill="0" applyBorder="0" applyAlignment="0" applyProtection="0"/>
    <xf numFmtId="0" fontId="4" fillId="0" borderId="0"/>
    <xf numFmtId="0" fontId="4" fillId="0" borderId="0"/>
    <xf numFmtId="164" fontId="9" fillId="0" borderId="0" applyFont="0" applyFill="0" applyBorder="0" applyAlignment="0" applyProtection="0"/>
    <xf numFmtId="0" fontId="12" fillId="0" borderId="0" applyNumberFormat="0" applyFill="0" applyBorder="0" applyAlignment="0" applyProtection="0">
      <alignment vertical="top"/>
      <protection locked="0"/>
    </xf>
    <xf numFmtId="0" fontId="4" fillId="0" borderId="0"/>
    <xf numFmtId="0" fontId="4" fillId="0" borderId="0"/>
    <xf numFmtId="0" fontId="9" fillId="0" borderId="0"/>
  </cellStyleXfs>
  <cellXfs count="116">
    <xf numFmtId="0" fontId="0" fillId="0" borderId="0" xfId="0"/>
    <xf numFmtId="0" fontId="3" fillId="0" borderId="0" xfId="0" applyFont="1"/>
    <xf numFmtId="0" fontId="3" fillId="0" borderId="0" xfId="0" applyFont="1" applyAlignment="1">
      <alignment horizontal="center"/>
    </xf>
    <xf numFmtId="0" fontId="2" fillId="0" borderId="0" xfId="1" applyFont="1" applyAlignment="1">
      <alignment horizontal="center"/>
    </xf>
    <xf numFmtId="166" fontId="3" fillId="0" borderId="0" xfId="0" applyNumberFormat="1" applyFont="1"/>
    <xf numFmtId="166" fontId="0" fillId="0" borderId="0" xfId="0" applyNumberFormat="1"/>
    <xf numFmtId="0" fontId="3" fillId="0" borderId="0" xfId="0" applyFont="1" applyAlignment="1">
      <alignment horizontal="right"/>
    </xf>
    <xf numFmtId="0" fontId="2" fillId="0" borderId="0" xfId="2" applyFont="1" applyAlignment="1">
      <alignment horizontal="left" wrapText="1"/>
    </xf>
    <xf numFmtId="0" fontId="3" fillId="2" borderId="0" xfId="0" applyFont="1" applyFill="1"/>
    <xf numFmtId="0" fontId="5" fillId="2" borderId="0" xfId="0" applyFont="1" applyFill="1"/>
    <xf numFmtId="0" fontId="6" fillId="0" borderId="0" xfId="0" applyFont="1"/>
    <xf numFmtId="0" fontId="2" fillId="0" borderId="0" xfId="0" applyFont="1"/>
    <xf numFmtId="0" fontId="7" fillId="0" borderId="0" xfId="0" applyFont="1"/>
    <xf numFmtId="0" fontId="5" fillId="0" borderId="0" xfId="0" applyFont="1"/>
    <xf numFmtId="0" fontId="8" fillId="0" borderId="0" xfId="0" applyFont="1"/>
    <xf numFmtId="0" fontId="8" fillId="2" borderId="0" xfId="0" applyFont="1" applyFill="1"/>
    <xf numFmtId="0" fontId="2" fillId="0" borderId="0" xfId="0" applyFont="1" applyAlignment="1">
      <alignment horizontal="left"/>
    </xf>
    <xf numFmtId="166" fontId="3" fillId="2" borderId="0" xfId="0" applyNumberFormat="1" applyFont="1" applyFill="1"/>
    <xf numFmtId="0" fontId="5" fillId="3" borderId="0" xfId="0" applyFont="1" applyFill="1"/>
    <xf numFmtId="0" fontId="0" fillId="3" borderId="0" xfId="0" applyFill="1"/>
    <xf numFmtId="0" fontId="0" fillId="0" borderId="0" xfId="0" applyAlignment="1">
      <alignment wrapText="1"/>
    </xf>
    <xf numFmtId="167" fontId="3" fillId="0" borderId="0" xfId="0" applyNumberFormat="1" applyFont="1"/>
    <xf numFmtId="0" fontId="0" fillId="0" borderId="0" xfId="0" quotePrefix="1"/>
    <xf numFmtId="0" fontId="11" fillId="2" borderId="0" xfId="0" applyFont="1" applyFill="1"/>
    <xf numFmtId="0" fontId="2" fillId="2" borderId="0" xfId="0" applyFont="1" applyFill="1"/>
    <xf numFmtId="2" fontId="5" fillId="3" borderId="0" xfId="0" applyNumberFormat="1" applyFont="1" applyFill="1"/>
    <xf numFmtId="0" fontId="13" fillId="0" borderId="0" xfId="0" applyFont="1" applyAlignment="1">
      <alignment horizontal="center"/>
    </xf>
    <xf numFmtId="166" fontId="13" fillId="0" borderId="0" xfId="0" applyNumberFormat="1" applyFont="1"/>
    <xf numFmtId="0" fontId="3" fillId="0" borderId="0" xfId="0" applyFont="1" applyFill="1" applyBorder="1"/>
    <xf numFmtId="0" fontId="3" fillId="0" borderId="0" xfId="0" applyFont="1" applyBorder="1"/>
    <xf numFmtId="0" fontId="3" fillId="0" borderId="0" xfId="0" applyFont="1" applyFill="1" applyBorder="1" applyAlignment="1">
      <alignment wrapText="1"/>
    </xf>
    <xf numFmtId="2" fontId="3" fillId="0" borderId="0" xfId="0" applyNumberFormat="1" applyFont="1"/>
    <xf numFmtId="0" fontId="3" fillId="3" borderId="0" xfId="0" applyFont="1" applyFill="1"/>
    <xf numFmtId="0" fontId="3" fillId="5" borderId="0" xfId="0" applyFont="1" applyFill="1"/>
    <xf numFmtId="10" fontId="3" fillId="0" borderId="0" xfId="7" applyNumberFormat="1" applyFont="1"/>
    <xf numFmtId="0" fontId="3" fillId="0" borderId="0" xfId="0" applyFont="1" applyAlignment="1">
      <alignment wrapText="1"/>
    </xf>
    <xf numFmtId="0" fontId="5" fillId="0" borderId="0" xfId="0" applyFont="1" applyAlignment="1">
      <alignment horizontal="right"/>
    </xf>
    <xf numFmtId="166" fontId="3" fillId="0" borderId="0" xfId="0" applyNumberFormat="1" applyFont="1" applyAlignment="1">
      <alignment horizontal="right"/>
    </xf>
    <xf numFmtId="0" fontId="3" fillId="0" borderId="0" xfId="0" applyFont="1" applyFill="1"/>
    <xf numFmtId="0" fontId="5" fillId="0" borderId="0" xfId="0" applyFont="1" applyAlignment="1">
      <alignment wrapText="1"/>
    </xf>
    <xf numFmtId="49" fontId="3" fillId="0" borderId="0" xfId="0" applyNumberFormat="1" applyFont="1"/>
    <xf numFmtId="169" fontId="3" fillId="0" borderId="0" xfId="0" applyNumberFormat="1" applyFont="1"/>
    <xf numFmtId="0" fontId="3" fillId="0" borderId="0" xfId="0" applyFont="1" applyAlignment="1">
      <alignment vertical="center" wrapText="1"/>
    </xf>
    <xf numFmtId="170" fontId="3" fillId="0" borderId="0" xfId="10" applyNumberFormat="1" applyFont="1"/>
    <xf numFmtId="169" fontId="3" fillId="0" borderId="0" xfId="10" applyNumberFormat="1" applyFont="1"/>
    <xf numFmtId="1" fontId="3" fillId="0" borderId="0" xfId="0" applyNumberFormat="1" applyFont="1"/>
    <xf numFmtId="0" fontId="5" fillId="0" borderId="0" xfId="0" applyFont="1" applyAlignment="1">
      <alignment vertical="center" wrapText="1"/>
    </xf>
    <xf numFmtId="0" fontId="16" fillId="0" borderId="0" xfId="6" applyFont="1" applyAlignment="1">
      <alignment wrapText="1"/>
    </xf>
    <xf numFmtId="0" fontId="16" fillId="0" borderId="0" xfId="6" applyFont="1" applyAlignment="1"/>
    <xf numFmtId="168" fontId="3" fillId="0" borderId="0" xfId="0" applyNumberFormat="1" applyFont="1"/>
    <xf numFmtId="0" fontId="3" fillId="4" borderId="0" xfId="0" applyFont="1" applyFill="1"/>
    <xf numFmtId="166" fontId="8" fillId="0" borderId="0" xfId="0" applyNumberFormat="1" applyFont="1"/>
    <xf numFmtId="0" fontId="3" fillId="0" borderId="0" xfId="0" quotePrefix="1" applyFont="1"/>
    <xf numFmtId="0" fontId="3" fillId="0" borderId="0" xfId="0" quotePrefix="1" applyFont="1" applyAlignment="1">
      <alignment wrapText="1"/>
    </xf>
    <xf numFmtId="0" fontId="17" fillId="0" borderId="0" xfId="0" applyFont="1"/>
    <xf numFmtId="2" fontId="3" fillId="3" borderId="0" xfId="0" applyNumberFormat="1" applyFont="1" applyFill="1"/>
    <xf numFmtId="0" fontId="3" fillId="0" borderId="0" xfId="5" applyNumberFormat="1" applyFont="1"/>
    <xf numFmtId="2" fontId="3" fillId="0" borderId="0" xfId="7" applyNumberFormat="1" applyFont="1" applyFill="1"/>
    <xf numFmtId="2" fontId="2" fillId="0" borderId="0" xfId="7" applyNumberFormat="1" applyFont="1" applyFill="1"/>
    <xf numFmtId="2" fontId="3" fillId="0" borderId="0" xfId="0" applyNumberFormat="1" applyFont="1" applyFill="1"/>
    <xf numFmtId="0" fontId="3" fillId="0" borderId="0" xfId="0" applyFont="1" applyFill="1" applyAlignment="1">
      <alignment wrapText="1"/>
    </xf>
    <xf numFmtId="166" fontId="3" fillId="0" borderId="0" xfId="0" applyNumberFormat="1" applyFont="1" applyFill="1"/>
    <xf numFmtId="166" fontId="19" fillId="0" borderId="0" xfId="0" applyNumberFormat="1" applyFont="1"/>
    <xf numFmtId="0" fontId="3" fillId="0" borderId="0" xfId="0" applyNumberFormat="1" applyFont="1"/>
    <xf numFmtId="0" fontId="20" fillId="0" borderId="0" xfId="14" applyFont="1" applyAlignment="1">
      <alignment wrapText="1"/>
    </xf>
    <xf numFmtId="0" fontId="4" fillId="0" borderId="0" xfId="14" applyFont="1" applyAlignment="1">
      <alignment wrapText="1"/>
    </xf>
    <xf numFmtId="0" fontId="21" fillId="0" borderId="0" xfId="6" applyFont="1" applyFill="1" applyAlignment="1" applyProtection="1">
      <alignment wrapText="1"/>
    </xf>
    <xf numFmtId="0" fontId="7"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23" fillId="0" borderId="0" xfId="0" applyFont="1" applyAlignment="1">
      <alignment vertical="top" wrapText="1"/>
    </xf>
    <xf numFmtId="0" fontId="3" fillId="0" borderId="0" xfId="0" applyFont="1" applyAlignment="1">
      <alignment horizontal="left"/>
    </xf>
    <xf numFmtId="3" fontId="24" fillId="0" borderId="0" xfId="0" applyNumberFormat="1" applyFont="1"/>
    <xf numFmtId="3" fontId="25" fillId="0" borderId="0" xfId="0" applyNumberFormat="1" applyFont="1"/>
    <xf numFmtId="166" fontId="2" fillId="0" borderId="0" xfId="0" applyNumberFormat="1" applyFont="1"/>
    <xf numFmtId="9" fontId="3" fillId="0" borderId="0" xfId="0" applyNumberFormat="1" applyFont="1"/>
    <xf numFmtId="172" fontId="3" fillId="0" borderId="0" xfId="0" applyNumberFormat="1" applyFont="1"/>
    <xf numFmtId="173" fontId="3" fillId="0" borderId="0" xfId="0" applyNumberFormat="1" applyFont="1"/>
    <xf numFmtId="171" fontId="3" fillId="0" borderId="0" xfId="0" applyNumberFormat="1" applyFont="1"/>
    <xf numFmtId="49" fontId="0" fillId="0" borderId="0" xfId="0" applyNumberFormat="1"/>
    <xf numFmtId="174" fontId="3" fillId="0" borderId="0" xfId="0" applyNumberFormat="1" applyFont="1"/>
    <xf numFmtId="175" fontId="3" fillId="0" borderId="0" xfId="0" applyNumberFormat="1" applyFont="1"/>
    <xf numFmtId="10" fontId="7" fillId="0" borderId="0" xfId="7" applyNumberFormat="1" applyFont="1"/>
    <xf numFmtId="168" fontId="23" fillId="0" borderId="0" xfId="0" applyNumberFormat="1" applyFont="1"/>
    <xf numFmtId="168" fontId="3" fillId="0" borderId="0" xfId="0" applyNumberFormat="1" applyFont="1" applyAlignment="1">
      <alignment wrapText="1"/>
    </xf>
    <xf numFmtId="0" fontId="3" fillId="5" borderId="0" xfId="0" applyFont="1" applyFill="1" applyBorder="1"/>
    <xf numFmtId="2" fontId="3" fillId="0" borderId="0" xfId="0" applyNumberFormat="1" applyFont="1" applyBorder="1"/>
    <xf numFmtId="166" fontId="3" fillId="0" borderId="0" xfId="0" applyNumberFormat="1" applyFont="1" applyBorder="1"/>
    <xf numFmtId="0" fontId="5" fillId="0" borderId="0" xfId="0" applyFont="1" applyBorder="1"/>
    <xf numFmtId="0" fontId="26" fillId="0" borderId="0" xfId="0" applyFont="1" applyBorder="1"/>
    <xf numFmtId="0" fontId="4" fillId="0" borderId="0" xfId="4" applyBorder="1" applyAlignment="1">
      <alignment horizontal="center"/>
    </xf>
    <xf numFmtId="166" fontId="4" fillId="0" borderId="0" xfId="4" applyNumberFormat="1" applyBorder="1"/>
    <xf numFmtId="174" fontId="3" fillId="0" borderId="0" xfId="0" applyNumberFormat="1" applyFont="1" applyBorder="1"/>
    <xf numFmtId="166" fontId="3" fillId="0" borderId="0" xfId="0" applyNumberFormat="1" applyFont="1" applyFill="1" applyBorder="1"/>
    <xf numFmtId="166" fontId="19" fillId="0" borderId="0" xfId="0" applyNumberFormat="1" applyFont="1" applyFill="1"/>
    <xf numFmtId="0" fontId="5" fillId="2" borderId="0" xfId="0" applyFont="1" applyFill="1" applyAlignment="1"/>
    <xf numFmtId="0" fontId="16" fillId="2" borderId="0" xfId="6" applyFont="1" applyFill="1"/>
    <xf numFmtId="0" fontId="5" fillId="4" borderId="0" xfId="0" applyFont="1" applyFill="1" applyAlignment="1"/>
    <xf numFmtId="0" fontId="5" fillId="3" borderId="0" xfId="0" applyFont="1" applyFill="1" applyAlignment="1"/>
    <xf numFmtId="0" fontId="28" fillId="0" borderId="0" xfId="0" applyFont="1" applyFill="1"/>
    <xf numFmtId="0" fontId="3" fillId="0" borderId="0" xfId="0" quotePrefix="1" applyFont="1" applyFill="1"/>
    <xf numFmtId="0" fontId="0" fillId="0" borderId="0" xfId="0" applyFill="1" applyBorder="1"/>
    <xf numFmtId="14" fontId="0" fillId="0" borderId="0" xfId="0" applyNumberFormat="1" applyFill="1" applyBorder="1"/>
    <xf numFmtId="166" fontId="0" fillId="0" borderId="0" xfId="0" applyNumberFormat="1" applyFill="1" applyBorder="1"/>
    <xf numFmtId="0" fontId="16" fillId="0" borderId="0" xfId="6" applyFont="1"/>
    <xf numFmtId="0" fontId="5" fillId="0" borderId="0" xfId="0" applyFont="1" applyAlignment="1">
      <alignment horizontal="left"/>
    </xf>
    <xf numFmtId="0" fontId="10" fillId="0" borderId="0" xfId="6" applyFill="1"/>
    <xf numFmtId="0" fontId="2" fillId="0" borderId="0" xfId="4" applyFont="1" applyAlignment="1">
      <alignment horizontal="center"/>
    </xf>
    <xf numFmtId="17" fontId="2" fillId="0" borderId="0" xfId="4" applyNumberFormat="1" applyFont="1"/>
    <xf numFmtId="166" fontId="2" fillId="0" borderId="0" xfId="4" applyNumberFormat="1" applyFont="1"/>
    <xf numFmtId="49" fontId="2" fillId="0" borderId="0" xfId="3" applyNumberFormat="1" applyFont="1" applyAlignment="1">
      <alignment horizontal="center"/>
    </xf>
    <xf numFmtId="166" fontId="29" fillId="0" borderId="0" xfId="3" applyNumberFormat="1" applyFont="1" applyAlignment="1">
      <alignment horizontal="right"/>
    </xf>
    <xf numFmtId="49" fontId="3" fillId="0" borderId="0" xfId="9" applyNumberFormat="1" applyFont="1" applyAlignment="1">
      <alignment horizontal="left" wrapText="1"/>
    </xf>
    <xf numFmtId="0" fontId="5" fillId="0" borderId="0" xfId="0" applyFont="1" applyAlignment="1">
      <alignment horizontal="center"/>
    </xf>
    <xf numFmtId="0" fontId="26" fillId="0" borderId="0" xfId="0" applyFont="1" applyBorder="1" applyAlignment="1">
      <alignment horizontal="center"/>
    </xf>
    <xf numFmtId="0" fontId="27" fillId="0" borderId="0" xfId="0" applyFont="1" applyAlignment="1">
      <alignment horizontal="center"/>
    </xf>
  </cellXfs>
  <cellStyles count="15">
    <cellStyle name="Comma" xfId="10" builtinId="3"/>
    <cellStyle name="Currency" xfId="5" builtinId="4"/>
    <cellStyle name="Hyperlink" xfId="6" builtinId="8"/>
    <cellStyle name="Hyperlink 2" xfId="11" xr:uid="{AA3D23C3-7095-48B8-89D8-DAF0A8E0F98C}"/>
    <cellStyle name="Normal" xfId="0" builtinId="0"/>
    <cellStyle name="Normal 10" xfId="4" xr:uid="{36362270-CA61-4E04-A133-E72FBA54C53E}"/>
    <cellStyle name="Normal 18 2" xfId="1" xr:uid="{0A5B788B-D61C-4A8F-BC95-6B5BA7D7A64D}"/>
    <cellStyle name="Normal 2" xfId="12" xr:uid="{6A12A35A-2E34-499C-A00C-FE63C6377ECB}"/>
    <cellStyle name="Normal 2 2" xfId="13" xr:uid="{1AA1B90F-D2D2-43BE-9DC5-0FDC7C425BB4}"/>
    <cellStyle name="Normal 3" xfId="2" xr:uid="{6268E75A-70DD-44E5-BE28-A71DAD6D8981}"/>
    <cellStyle name="Normal 32 2 3" xfId="14" xr:uid="{82693331-AB7A-4596-8598-AB674AB88F25}"/>
    <cellStyle name="Normal 47" xfId="9" xr:uid="{9A9B6FF7-D840-419D-9F35-2ECA2B042E01}"/>
    <cellStyle name="Normal 7" xfId="8" xr:uid="{996B994B-11EF-44CA-9A2F-17F337E83D54}"/>
    <cellStyle name="Normal_Final Scenarios Graphs mark one" xfId="3" xr:uid="{2AF32C78-6BCB-4DEE-A6EE-8383CE350F1E}"/>
    <cellStyle name="Percent" xfId="7" builtinId="5"/>
  </cellStyles>
  <dxfs count="0"/>
  <tableStyles count="0" defaultTableStyle="TableStyleMedium2" defaultPivotStyle="PivotStyleLight16"/>
  <colors>
    <mruColors>
      <color rgb="FF08BCE2"/>
      <color rgb="FF3F403A"/>
      <color rgb="FF67A854"/>
      <color rgb="FF0083AC"/>
      <color rgb="FF000000"/>
      <color rgb="FFA9A7A5"/>
      <color rgb="FFB3D3AA"/>
      <color rgb="FF637E58"/>
      <color rgb="FF2D6273"/>
      <color rgb="FFEF96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hartsheet" Target="chartsheets/sheet12.xml"/><Relationship Id="rId21" Type="http://schemas.openxmlformats.org/officeDocument/2006/relationships/worksheet" Target="worksheets/sheet12.xml"/><Relationship Id="rId42" Type="http://schemas.openxmlformats.org/officeDocument/2006/relationships/chartsheet" Target="chartsheets/sheet20.xml"/><Relationship Id="rId47" Type="http://schemas.openxmlformats.org/officeDocument/2006/relationships/worksheet" Target="worksheets/sheet25.xml"/><Relationship Id="rId63" Type="http://schemas.openxmlformats.org/officeDocument/2006/relationships/worksheet" Target="worksheets/sheet33.xml"/><Relationship Id="rId68" Type="http://schemas.openxmlformats.org/officeDocument/2006/relationships/chartsheet" Target="chartsheets/sheet33.xml"/><Relationship Id="rId84" Type="http://schemas.openxmlformats.org/officeDocument/2006/relationships/chartsheet" Target="chartsheets/sheet41.xml"/><Relationship Id="rId89" Type="http://schemas.openxmlformats.org/officeDocument/2006/relationships/worksheet" Target="worksheets/sheet46.xml"/><Relationship Id="rId16" Type="http://schemas.openxmlformats.org/officeDocument/2006/relationships/chartsheet" Target="chartsheets/sheet7.xml"/><Relationship Id="rId11" Type="http://schemas.openxmlformats.org/officeDocument/2006/relationships/worksheet" Target="worksheets/sheet7.xml"/><Relationship Id="rId32" Type="http://schemas.openxmlformats.org/officeDocument/2006/relationships/chartsheet" Target="chartsheets/sheet15.xml"/><Relationship Id="rId37" Type="http://schemas.openxmlformats.org/officeDocument/2006/relationships/worksheet" Target="worksheets/sheet20.xml"/><Relationship Id="rId53" Type="http://schemas.openxmlformats.org/officeDocument/2006/relationships/worksheet" Target="worksheets/sheet28.xml"/><Relationship Id="rId58" Type="http://schemas.openxmlformats.org/officeDocument/2006/relationships/chartsheet" Target="chartsheets/sheet28.xml"/><Relationship Id="rId74" Type="http://schemas.openxmlformats.org/officeDocument/2006/relationships/chartsheet" Target="chartsheets/sheet36.xml"/><Relationship Id="rId79" Type="http://schemas.openxmlformats.org/officeDocument/2006/relationships/worksheet" Target="worksheets/sheet41.xml"/><Relationship Id="rId102" Type="http://schemas.openxmlformats.org/officeDocument/2006/relationships/customXml" Target="../customXml/item3.xml"/><Relationship Id="rId5" Type="http://schemas.openxmlformats.org/officeDocument/2006/relationships/worksheet" Target="worksheets/sheet4.xml"/><Relationship Id="rId90" Type="http://schemas.openxmlformats.org/officeDocument/2006/relationships/chartsheet" Target="chartsheets/sheet44.xml"/><Relationship Id="rId95" Type="http://schemas.openxmlformats.org/officeDocument/2006/relationships/theme" Target="theme/theme1.xml"/><Relationship Id="rId22" Type="http://schemas.openxmlformats.org/officeDocument/2006/relationships/chartsheet" Target="chartsheets/sheet10.xml"/><Relationship Id="rId27" Type="http://schemas.openxmlformats.org/officeDocument/2006/relationships/worksheet" Target="worksheets/sheet15.xml"/><Relationship Id="rId43" Type="http://schemas.openxmlformats.org/officeDocument/2006/relationships/worksheet" Target="worksheets/sheet23.xml"/><Relationship Id="rId48" Type="http://schemas.openxmlformats.org/officeDocument/2006/relationships/chartsheet" Target="chartsheets/sheet23.xml"/><Relationship Id="rId64" Type="http://schemas.openxmlformats.org/officeDocument/2006/relationships/chartsheet" Target="chartsheets/sheet31.xml"/><Relationship Id="rId69" Type="http://schemas.openxmlformats.org/officeDocument/2006/relationships/worksheet" Target="worksheets/sheet36.xml"/><Relationship Id="rId80" Type="http://schemas.openxmlformats.org/officeDocument/2006/relationships/chartsheet" Target="chartsheets/sheet39.xml"/><Relationship Id="rId85" Type="http://schemas.openxmlformats.org/officeDocument/2006/relationships/worksheet" Target="worksheets/sheet44.xml"/><Relationship Id="rId12" Type="http://schemas.openxmlformats.org/officeDocument/2006/relationships/chartsheet" Target="chartsheets/sheet5.xml"/><Relationship Id="rId17" Type="http://schemas.openxmlformats.org/officeDocument/2006/relationships/worksheet" Target="worksheets/sheet10.xml"/><Relationship Id="rId25" Type="http://schemas.openxmlformats.org/officeDocument/2006/relationships/worksheet" Target="worksheets/sheet14.xml"/><Relationship Id="rId33" Type="http://schemas.openxmlformats.org/officeDocument/2006/relationships/worksheet" Target="worksheets/sheet18.xml"/><Relationship Id="rId38" Type="http://schemas.openxmlformats.org/officeDocument/2006/relationships/chartsheet" Target="chartsheets/sheet18.xml"/><Relationship Id="rId46" Type="http://schemas.openxmlformats.org/officeDocument/2006/relationships/chartsheet" Target="chartsheets/sheet22.xml"/><Relationship Id="rId59" Type="http://schemas.openxmlformats.org/officeDocument/2006/relationships/worksheet" Target="worksheets/sheet31.xml"/><Relationship Id="rId67" Type="http://schemas.openxmlformats.org/officeDocument/2006/relationships/worksheet" Target="worksheets/sheet35.xml"/><Relationship Id="rId20" Type="http://schemas.openxmlformats.org/officeDocument/2006/relationships/chartsheet" Target="chartsheets/sheet9.xml"/><Relationship Id="rId41" Type="http://schemas.openxmlformats.org/officeDocument/2006/relationships/worksheet" Target="worksheets/sheet22.xml"/><Relationship Id="rId54" Type="http://schemas.openxmlformats.org/officeDocument/2006/relationships/chartsheet" Target="chartsheets/sheet26.xml"/><Relationship Id="rId62" Type="http://schemas.openxmlformats.org/officeDocument/2006/relationships/chartsheet" Target="chartsheets/sheet30.xml"/><Relationship Id="rId70" Type="http://schemas.openxmlformats.org/officeDocument/2006/relationships/chartsheet" Target="chartsheets/sheet34.xml"/><Relationship Id="rId75" Type="http://schemas.openxmlformats.org/officeDocument/2006/relationships/worksheet" Target="worksheets/sheet39.xml"/><Relationship Id="rId83" Type="http://schemas.openxmlformats.org/officeDocument/2006/relationships/worksheet" Target="worksheets/sheet43.xml"/><Relationship Id="rId88" Type="http://schemas.openxmlformats.org/officeDocument/2006/relationships/chartsheet" Target="chartsheets/sheet43.xml"/><Relationship Id="rId91" Type="http://schemas.openxmlformats.org/officeDocument/2006/relationships/worksheet" Target="worksheets/sheet47.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hartsheet" Target="chartsheets/sheet2.xml"/><Relationship Id="rId15" Type="http://schemas.openxmlformats.org/officeDocument/2006/relationships/worksheet" Target="worksheets/sheet9.xml"/><Relationship Id="rId23" Type="http://schemas.openxmlformats.org/officeDocument/2006/relationships/worksheet" Target="worksheets/sheet13.xml"/><Relationship Id="rId28" Type="http://schemas.openxmlformats.org/officeDocument/2006/relationships/chartsheet" Target="chartsheets/sheet13.xml"/><Relationship Id="rId36" Type="http://schemas.openxmlformats.org/officeDocument/2006/relationships/chartsheet" Target="chartsheets/sheet17.xml"/><Relationship Id="rId49" Type="http://schemas.openxmlformats.org/officeDocument/2006/relationships/worksheet" Target="worksheets/sheet26.xml"/><Relationship Id="rId57" Type="http://schemas.openxmlformats.org/officeDocument/2006/relationships/worksheet" Target="worksheets/sheet30.xml"/><Relationship Id="rId10" Type="http://schemas.openxmlformats.org/officeDocument/2006/relationships/chartsheet" Target="chartsheets/sheet4.xml"/><Relationship Id="rId31" Type="http://schemas.openxmlformats.org/officeDocument/2006/relationships/worksheet" Target="worksheets/sheet17.xml"/><Relationship Id="rId44" Type="http://schemas.openxmlformats.org/officeDocument/2006/relationships/chartsheet" Target="chartsheets/sheet21.xml"/><Relationship Id="rId52" Type="http://schemas.openxmlformats.org/officeDocument/2006/relationships/chartsheet" Target="chartsheets/sheet25.xml"/><Relationship Id="rId60" Type="http://schemas.openxmlformats.org/officeDocument/2006/relationships/chartsheet" Target="chartsheets/sheet29.xml"/><Relationship Id="rId65" Type="http://schemas.openxmlformats.org/officeDocument/2006/relationships/worksheet" Target="worksheets/sheet34.xml"/><Relationship Id="rId73" Type="http://schemas.openxmlformats.org/officeDocument/2006/relationships/worksheet" Target="worksheets/sheet38.xml"/><Relationship Id="rId78" Type="http://schemas.openxmlformats.org/officeDocument/2006/relationships/chartsheet" Target="chartsheets/sheet38.xml"/><Relationship Id="rId81" Type="http://schemas.openxmlformats.org/officeDocument/2006/relationships/worksheet" Target="worksheets/sheet42.xml"/><Relationship Id="rId86" Type="http://schemas.openxmlformats.org/officeDocument/2006/relationships/chartsheet" Target="chartsheets/sheet42.xml"/><Relationship Id="rId94" Type="http://schemas.openxmlformats.org/officeDocument/2006/relationships/chartsheet" Target="chartsheets/sheet46.xml"/><Relationship Id="rId99" Type="http://schemas.openxmlformats.org/officeDocument/2006/relationships/calcChain" Target="calcChain.xml"/><Relationship Id="rId101" Type="http://schemas.openxmlformats.org/officeDocument/2006/relationships/customXml" Target="../customXml/item2.xml"/><Relationship Id="rId4" Type="http://schemas.openxmlformats.org/officeDocument/2006/relationships/chartsheet" Target="chartsheets/sheet1.xml"/><Relationship Id="rId9" Type="http://schemas.openxmlformats.org/officeDocument/2006/relationships/worksheet" Target="worksheets/sheet6.xml"/><Relationship Id="rId13" Type="http://schemas.openxmlformats.org/officeDocument/2006/relationships/worksheet" Target="worksheets/sheet8.xml"/><Relationship Id="rId18" Type="http://schemas.openxmlformats.org/officeDocument/2006/relationships/chartsheet" Target="chartsheets/sheet8.xml"/><Relationship Id="rId39" Type="http://schemas.openxmlformats.org/officeDocument/2006/relationships/worksheet" Target="worksheets/sheet21.xml"/><Relationship Id="rId34" Type="http://schemas.openxmlformats.org/officeDocument/2006/relationships/chartsheet" Target="chartsheets/sheet16.xml"/><Relationship Id="rId50" Type="http://schemas.openxmlformats.org/officeDocument/2006/relationships/chartsheet" Target="chartsheets/sheet24.xml"/><Relationship Id="rId55" Type="http://schemas.openxmlformats.org/officeDocument/2006/relationships/worksheet" Target="worksheets/sheet29.xml"/><Relationship Id="rId76" Type="http://schemas.openxmlformats.org/officeDocument/2006/relationships/chartsheet" Target="chartsheets/sheet37.xml"/><Relationship Id="rId97" Type="http://schemas.openxmlformats.org/officeDocument/2006/relationships/sharedStrings" Target="sharedStrings.xml"/><Relationship Id="rId7" Type="http://schemas.openxmlformats.org/officeDocument/2006/relationships/worksheet" Target="worksheets/sheet5.xml"/><Relationship Id="rId71" Type="http://schemas.openxmlformats.org/officeDocument/2006/relationships/worksheet" Target="worksheets/sheet37.xml"/><Relationship Id="rId92" Type="http://schemas.openxmlformats.org/officeDocument/2006/relationships/chartsheet" Target="chartsheets/sheet45.xml"/><Relationship Id="rId2" Type="http://schemas.openxmlformats.org/officeDocument/2006/relationships/worksheet" Target="worksheets/sheet2.xml"/><Relationship Id="rId29" Type="http://schemas.openxmlformats.org/officeDocument/2006/relationships/worksheet" Target="worksheets/sheet16.xml"/><Relationship Id="rId24" Type="http://schemas.openxmlformats.org/officeDocument/2006/relationships/chartsheet" Target="chartsheets/sheet11.xml"/><Relationship Id="rId40" Type="http://schemas.openxmlformats.org/officeDocument/2006/relationships/chartsheet" Target="chartsheets/sheet19.xml"/><Relationship Id="rId45" Type="http://schemas.openxmlformats.org/officeDocument/2006/relationships/worksheet" Target="worksheets/sheet24.xml"/><Relationship Id="rId66" Type="http://schemas.openxmlformats.org/officeDocument/2006/relationships/chartsheet" Target="chartsheets/sheet32.xml"/><Relationship Id="rId87" Type="http://schemas.openxmlformats.org/officeDocument/2006/relationships/worksheet" Target="worksheets/sheet45.xml"/><Relationship Id="rId61" Type="http://schemas.openxmlformats.org/officeDocument/2006/relationships/worksheet" Target="worksheets/sheet32.xml"/><Relationship Id="rId82" Type="http://schemas.openxmlformats.org/officeDocument/2006/relationships/chartsheet" Target="chartsheets/sheet40.xml"/><Relationship Id="rId19" Type="http://schemas.openxmlformats.org/officeDocument/2006/relationships/worksheet" Target="worksheets/sheet11.xml"/><Relationship Id="rId14" Type="http://schemas.openxmlformats.org/officeDocument/2006/relationships/chartsheet" Target="chartsheets/sheet6.xml"/><Relationship Id="rId30" Type="http://schemas.openxmlformats.org/officeDocument/2006/relationships/chartsheet" Target="chartsheets/sheet14.xml"/><Relationship Id="rId35" Type="http://schemas.openxmlformats.org/officeDocument/2006/relationships/worksheet" Target="worksheets/sheet19.xml"/><Relationship Id="rId56" Type="http://schemas.openxmlformats.org/officeDocument/2006/relationships/chartsheet" Target="chartsheets/sheet27.xml"/><Relationship Id="rId77" Type="http://schemas.openxmlformats.org/officeDocument/2006/relationships/worksheet" Target="worksheets/sheet40.xml"/><Relationship Id="rId100" Type="http://schemas.openxmlformats.org/officeDocument/2006/relationships/customXml" Target="../customXml/item1.xml"/><Relationship Id="rId8" Type="http://schemas.openxmlformats.org/officeDocument/2006/relationships/chartsheet" Target="chartsheets/sheet3.xml"/><Relationship Id="rId51" Type="http://schemas.openxmlformats.org/officeDocument/2006/relationships/worksheet" Target="worksheets/sheet27.xml"/><Relationship Id="rId72" Type="http://schemas.openxmlformats.org/officeDocument/2006/relationships/chartsheet" Target="chartsheets/sheet35.xml"/><Relationship Id="rId93" Type="http://schemas.openxmlformats.org/officeDocument/2006/relationships/worksheet" Target="worksheets/sheet48.xml"/><Relationship Id="rId98" Type="http://schemas.microsoft.com/office/2017/10/relationships/person" Target="persons/person.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2.xml"/><Relationship Id="rId1" Type="http://schemas.microsoft.com/office/2011/relationships/chartStyle" Target="style22.xml"/><Relationship Id="rId4" Type="http://schemas.openxmlformats.org/officeDocument/2006/relationships/chartUserShapes" Target="../drawings/drawing50.xml"/></Relationships>
</file>

<file path=xl/charts/_rels/chart3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3.xml"/><Relationship Id="rId1" Type="http://schemas.microsoft.com/office/2011/relationships/chartStyle" Target="style23.xml"/><Relationship Id="rId4" Type="http://schemas.openxmlformats.org/officeDocument/2006/relationships/chartUserShapes" Target="../drawings/drawing52.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4.xml"/><Relationship Id="rId1" Type="http://schemas.microsoft.com/office/2011/relationships/chartStyle" Target="style24.xml"/><Relationship Id="rId4" Type="http://schemas.openxmlformats.org/officeDocument/2006/relationships/chartUserShapes" Target="../drawings/drawing54.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5.xml"/><Relationship Id="rId1" Type="http://schemas.microsoft.com/office/2011/relationships/chartStyle" Target="style25.xml"/><Relationship Id="rId4" Type="http://schemas.openxmlformats.org/officeDocument/2006/relationships/chartUserShapes" Target="../drawings/drawing56.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6.xml"/><Relationship Id="rId1" Type="http://schemas.microsoft.com/office/2011/relationships/chartStyle" Target="style26.xml"/><Relationship Id="rId4" Type="http://schemas.openxmlformats.org/officeDocument/2006/relationships/chartUserShapes" Target="../drawings/drawing58.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27.xml"/><Relationship Id="rId1" Type="http://schemas.microsoft.com/office/2011/relationships/chartStyle" Target="style27.xml"/></Relationships>
</file>

<file path=xl/charts/_rels/chart3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9.xml"/><Relationship Id="rId1" Type="http://schemas.microsoft.com/office/2011/relationships/chartStyle" Target="style29.xml"/><Relationship Id="rId4" Type="http://schemas.openxmlformats.org/officeDocument/2006/relationships/chartUserShapes" Target="../drawings/drawing63.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66.xml"/><Relationship Id="rId2" Type="http://schemas.microsoft.com/office/2011/relationships/chartColorStyle" Target="colors30.xml"/><Relationship Id="rId1" Type="http://schemas.microsoft.com/office/2011/relationships/chartStyle" Target="style30.xml"/></Relationships>
</file>

<file path=xl/charts/_rels/chart42.xml.rels><?xml version="1.0" encoding="UTF-8" standalone="yes"?>
<Relationships xmlns="http://schemas.openxmlformats.org/package/2006/relationships"><Relationship Id="rId3" Type="http://schemas.openxmlformats.org/officeDocument/2006/relationships/chartUserShapes" Target="../drawings/drawing68.xml"/><Relationship Id="rId2" Type="http://schemas.microsoft.com/office/2011/relationships/chartColorStyle" Target="colors31.xml"/><Relationship Id="rId1" Type="http://schemas.microsoft.com/office/2011/relationships/chartStyle" Target="style3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71.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73.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75.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7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20681171107595E-2"/>
          <c:y val="8.1229270560601696E-2"/>
          <c:w val="0.87961765346555298"/>
          <c:h val="0.79208947901996274"/>
        </c:manualLayout>
      </c:layout>
      <c:lineChart>
        <c:grouping val="standard"/>
        <c:varyColors val="0"/>
        <c:ser>
          <c:idx val="0"/>
          <c:order val="0"/>
          <c:tx>
            <c:strRef>
              <c:f>'Fig 1 data'!$C$5</c:f>
              <c:strCache>
                <c:ptCount val="1"/>
                <c:pt idx="0">
                  <c:v>2025</c:v>
                </c:pt>
              </c:strCache>
            </c:strRef>
          </c:tx>
          <c:spPr>
            <a:ln w="38100" cap="rnd">
              <a:solidFill>
                <a:srgbClr val="0083AC"/>
              </a:solidFill>
              <a:round/>
            </a:ln>
            <a:effectLst/>
          </c:spPr>
          <c:marker>
            <c:symbol val="none"/>
          </c:marker>
          <c:cat>
            <c:numRef>
              <c:f>'Fig 1 data'!$B$7:$B$68</c:f>
              <c:numCache>
                <c:formatCode>General</c:formatCode>
                <c:ptCount val="6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pt idx="28">
                  <c:v>2032</c:v>
                </c:pt>
                <c:pt idx="29">
                  <c:v>2033</c:v>
                </c:pt>
                <c:pt idx="30">
                  <c:v>2034</c:v>
                </c:pt>
                <c:pt idx="31">
                  <c:v>2035</c:v>
                </c:pt>
                <c:pt idx="32">
                  <c:v>2036</c:v>
                </c:pt>
                <c:pt idx="33">
                  <c:v>2037</c:v>
                </c:pt>
                <c:pt idx="34">
                  <c:v>2038</c:v>
                </c:pt>
                <c:pt idx="35">
                  <c:v>2039</c:v>
                </c:pt>
                <c:pt idx="36">
                  <c:v>2040</c:v>
                </c:pt>
                <c:pt idx="37">
                  <c:v>2041</c:v>
                </c:pt>
                <c:pt idx="38">
                  <c:v>2042</c:v>
                </c:pt>
                <c:pt idx="39">
                  <c:v>2043</c:v>
                </c:pt>
                <c:pt idx="40">
                  <c:v>2044</c:v>
                </c:pt>
                <c:pt idx="41">
                  <c:v>2045</c:v>
                </c:pt>
                <c:pt idx="42">
                  <c:v>2046</c:v>
                </c:pt>
                <c:pt idx="43">
                  <c:v>2047</c:v>
                </c:pt>
                <c:pt idx="44">
                  <c:v>2048</c:v>
                </c:pt>
                <c:pt idx="45">
                  <c:v>2049</c:v>
                </c:pt>
                <c:pt idx="46">
                  <c:v>2050</c:v>
                </c:pt>
                <c:pt idx="47">
                  <c:v>2051</c:v>
                </c:pt>
                <c:pt idx="48">
                  <c:v>2052</c:v>
                </c:pt>
                <c:pt idx="49">
                  <c:v>2053</c:v>
                </c:pt>
                <c:pt idx="50">
                  <c:v>2054</c:v>
                </c:pt>
                <c:pt idx="51">
                  <c:v>2055</c:v>
                </c:pt>
                <c:pt idx="52">
                  <c:v>2056</c:v>
                </c:pt>
                <c:pt idx="53">
                  <c:v>2057</c:v>
                </c:pt>
                <c:pt idx="54">
                  <c:v>2058</c:v>
                </c:pt>
                <c:pt idx="55">
                  <c:v>2059</c:v>
                </c:pt>
                <c:pt idx="56">
                  <c:v>2060</c:v>
                </c:pt>
                <c:pt idx="57">
                  <c:v>2061</c:v>
                </c:pt>
                <c:pt idx="58">
                  <c:v>2062</c:v>
                </c:pt>
                <c:pt idx="59">
                  <c:v>2063</c:v>
                </c:pt>
                <c:pt idx="60">
                  <c:v>2064</c:v>
                </c:pt>
                <c:pt idx="61">
                  <c:v>2065</c:v>
                </c:pt>
              </c:numCache>
            </c:numRef>
          </c:cat>
          <c:val>
            <c:numRef>
              <c:f>'Fig 1 data'!$C$7:$C$68</c:f>
              <c:numCache>
                <c:formatCode>General</c:formatCode>
                <c:ptCount val="62"/>
                <c:pt idx="2" formatCode="0.0">
                  <c:v>4.1669000000000009</c:v>
                </c:pt>
                <c:pt idx="3" formatCode="0.0">
                  <c:v>4.2119999999999989</c:v>
                </c:pt>
                <c:pt idx="4" formatCode="0.0">
                  <c:v>4.248899999999999</c:v>
                </c:pt>
                <c:pt idx="5" formatCode="0.0">
                  <c:v>4.286500000000002</c:v>
                </c:pt>
                <c:pt idx="6" formatCode="0.0">
                  <c:v>4.3364999999999965</c:v>
                </c:pt>
                <c:pt idx="7" formatCode="0.0">
                  <c:v>4.3758000000000008</c:v>
                </c:pt>
                <c:pt idx="8" formatCode="0.0">
                  <c:v>4.4014999999999986</c:v>
                </c:pt>
                <c:pt idx="9" formatCode="0.0">
                  <c:v>4.4298999999999955</c:v>
                </c:pt>
                <c:pt idx="10" formatCode="0.0">
                  <c:v>4.4881999999999991</c:v>
                </c:pt>
                <c:pt idx="11" formatCode="0.0">
                  <c:v>4.5764999999999993</c:v>
                </c:pt>
                <c:pt idx="12" formatCode="0.0">
                  <c:v>4.6772000000000018</c:v>
                </c:pt>
                <c:pt idx="13" formatCode="0.0">
                  <c:v>4.7797000000000001</c:v>
                </c:pt>
                <c:pt idx="14" formatCode="0.0">
                  <c:v>4.870600000000004</c:v>
                </c:pt>
                <c:pt idx="15" formatCode="0.0">
                  <c:v>4.9516999999999989</c:v>
                </c:pt>
                <c:pt idx="16" formatCode="0.0">
                  <c:v>5.055100000000003</c:v>
                </c:pt>
                <c:pt idx="17" formatCode="0.0">
                  <c:v>5.1053999999999977</c:v>
                </c:pt>
                <c:pt idx="18" formatCode="0.0">
                  <c:v>5.1159000000000026</c:v>
                </c:pt>
                <c:pt idx="19" formatCode="0.0">
                  <c:v>5.186099999999997</c:v>
                </c:pt>
                <c:pt idx="20" formatCode="0.0">
                  <c:v>5.3127999999999984</c:v>
                </c:pt>
                <c:pt idx="21" formatCode="0.0">
                  <c:v>5.3654999999999973</c:v>
                </c:pt>
                <c:pt idx="22" formatCode="0.0">
                  <c:v>5.4257000000000017</c:v>
                </c:pt>
                <c:pt idx="23" formatCode="0.0">
                  <c:v>5.4907000000000021</c:v>
                </c:pt>
                <c:pt idx="24" formatCode="0.0">
                  <c:v>5.5563999999999982</c:v>
                </c:pt>
                <c:pt idx="25" formatCode="0.0">
                  <c:v>5.6223999999999998</c:v>
                </c:pt>
                <c:pt idx="26" formatCode="0.0">
                  <c:v>5.6799900083635739</c:v>
                </c:pt>
                <c:pt idx="27" formatCode="0.0">
                  <c:v>5.7362200133817218</c:v>
                </c:pt>
                <c:pt idx="28" formatCode="0.0">
                  <c:v>5.7910800157235158</c:v>
                </c:pt>
                <c:pt idx="29" formatCode="0.0">
                  <c:v>5.8447700157235163</c:v>
                </c:pt>
                <c:pt idx="30" formatCode="0.0">
                  <c:v>5.8979800157235163</c:v>
                </c:pt>
                <c:pt idx="31" formatCode="0.0">
                  <c:v>5.950610015723516</c:v>
                </c:pt>
                <c:pt idx="32" formatCode="0.0">
                  <c:v>6.003070015723516</c:v>
                </c:pt>
                <c:pt idx="33" formatCode="0.0">
                  <c:v>6.0551000157235162</c:v>
                </c:pt>
                <c:pt idx="34" formatCode="0.0">
                  <c:v>6.1068800157235161</c:v>
                </c:pt>
                <c:pt idx="35" formatCode="0.0">
                  <c:v>6.1583500157235163</c:v>
                </c:pt>
                <c:pt idx="36" formatCode="0.0">
                  <c:v>6.2096300157235165</c:v>
                </c:pt>
                <c:pt idx="37" formatCode="0.0">
                  <c:v>6.2606000157235142</c:v>
                </c:pt>
                <c:pt idx="38" formatCode="0.0">
                  <c:v>6.3114200157235141</c:v>
                </c:pt>
                <c:pt idx="39" formatCode="0.0">
                  <c:v>6.3618100157235142</c:v>
                </c:pt>
                <c:pt idx="40" formatCode="0.0">
                  <c:v>6.411930015723514</c:v>
                </c:pt>
                <c:pt idx="41" formatCode="0.0">
                  <c:v>6.4616500157235146</c:v>
                </c:pt>
                <c:pt idx="42" formatCode="0.0">
                  <c:v>6.5109300157235142</c:v>
                </c:pt>
                <c:pt idx="43" formatCode="0.0">
                  <c:v>6.5596800157235142</c:v>
                </c:pt>
                <c:pt idx="44" formatCode="0.0">
                  <c:v>6.6079200157235141</c:v>
                </c:pt>
                <c:pt idx="45" formatCode="0.0">
                  <c:v>6.6554600157235146</c:v>
                </c:pt>
                <c:pt idx="46" formatCode="0.0">
                  <c:v>6.7025300157235144</c:v>
                </c:pt>
                <c:pt idx="47" formatCode="0.0">
                  <c:v>6.7489200157235141</c:v>
                </c:pt>
                <c:pt idx="48" formatCode="0.0">
                  <c:v>6.7947900157235139</c:v>
                </c:pt>
                <c:pt idx="49" formatCode="0.0">
                  <c:v>6.8402100157235139</c:v>
                </c:pt>
                <c:pt idx="50" formatCode="0.0">
                  <c:v>6.8850400157235141</c:v>
                </c:pt>
                <c:pt idx="51" formatCode="0.0">
                  <c:v>6.9294900157235144</c:v>
                </c:pt>
                <c:pt idx="52" formatCode="0.0">
                  <c:v>6.9735200157235147</c:v>
                </c:pt>
                <c:pt idx="53" formatCode="0.0">
                  <c:v>7.0173900157235147</c:v>
                </c:pt>
                <c:pt idx="54" formatCode="0.0">
                  <c:v>7.0609100157235147</c:v>
                </c:pt>
                <c:pt idx="55" formatCode="0.0">
                  <c:v>7.104520015723514</c:v>
                </c:pt>
                <c:pt idx="56" formatCode="0.0">
                  <c:v>7.1478700157235142</c:v>
                </c:pt>
                <c:pt idx="57" formatCode="0.0">
                  <c:v>7.1911200157235147</c:v>
                </c:pt>
                <c:pt idx="58" formatCode="0.0">
                  <c:v>7.2344900157235141</c:v>
                </c:pt>
                <c:pt idx="59" formatCode="0.0">
                  <c:v>7.277850015723514</c:v>
                </c:pt>
                <c:pt idx="60" formatCode="0.0">
                  <c:v>7.3213200157235141</c:v>
                </c:pt>
                <c:pt idx="61" formatCode="0.0">
                  <c:v>7.3647300157235147</c:v>
                </c:pt>
              </c:numCache>
            </c:numRef>
          </c:val>
          <c:smooth val="0"/>
          <c:extLst>
            <c:ext xmlns:c16="http://schemas.microsoft.com/office/drawing/2014/chart" uri="{C3380CC4-5D6E-409C-BE32-E72D297353CC}">
              <c16:uniqueId val="{00000000-4435-4291-95F8-A07ED789BE53}"/>
            </c:ext>
          </c:extLst>
        </c:ser>
        <c:ser>
          <c:idx val="1"/>
          <c:order val="1"/>
          <c:tx>
            <c:strRef>
              <c:f>'Fig 1 data'!$D$5</c:f>
              <c:strCache>
                <c:ptCount val="1"/>
                <c:pt idx="0">
                  <c:v>2021</c:v>
                </c:pt>
              </c:strCache>
            </c:strRef>
          </c:tx>
          <c:spPr>
            <a:ln w="38100" cap="rnd">
              <a:solidFill>
                <a:srgbClr val="67A854"/>
              </a:solidFill>
              <a:round/>
            </a:ln>
            <a:effectLst/>
          </c:spPr>
          <c:marker>
            <c:symbol val="none"/>
          </c:marker>
          <c:cat>
            <c:numRef>
              <c:f>'Fig 1 data'!$B$7:$B$68</c:f>
              <c:numCache>
                <c:formatCode>General</c:formatCode>
                <c:ptCount val="6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pt idx="28">
                  <c:v>2032</c:v>
                </c:pt>
                <c:pt idx="29">
                  <c:v>2033</c:v>
                </c:pt>
                <c:pt idx="30">
                  <c:v>2034</c:v>
                </c:pt>
                <c:pt idx="31">
                  <c:v>2035</c:v>
                </c:pt>
                <c:pt idx="32">
                  <c:v>2036</c:v>
                </c:pt>
                <c:pt idx="33">
                  <c:v>2037</c:v>
                </c:pt>
                <c:pt idx="34">
                  <c:v>2038</c:v>
                </c:pt>
                <c:pt idx="35">
                  <c:v>2039</c:v>
                </c:pt>
                <c:pt idx="36">
                  <c:v>2040</c:v>
                </c:pt>
                <c:pt idx="37">
                  <c:v>2041</c:v>
                </c:pt>
                <c:pt idx="38">
                  <c:v>2042</c:v>
                </c:pt>
                <c:pt idx="39">
                  <c:v>2043</c:v>
                </c:pt>
                <c:pt idx="40">
                  <c:v>2044</c:v>
                </c:pt>
                <c:pt idx="41">
                  <c:v>2045</c:v>
                </c:pt>
                <c:pt idx="42">
                  <c:v>2046</c:v>
                </c:pt>
                <c:pt idx="43">
                  <c:v>2047</c:v>
                </c:pt>
                <c:pt idx="44">
                  <c:v>2048</c:v>
                </c:pt>
                <c:pt idx="45">
                  <c:v>2049</c:v>
                </c:pt>
                <c:pt idx="46">
                  <c:v>2050</c:v>
                </c:pt>
                <c:pt idx="47">
                  <c:v>2051</c:v>
                </c:pt>
                <c:pt idx="48">
                  <c:v>2052</c:v>
                </c:pt>
                <c:pt idx="49">
                  <c:v>2053</c:v>
                </c:pt>
                <c:pt idx="50">
                  <c:v>2054</c:v>
                </c:pt>
                <c:pt idx="51">
                  <c:v>2055</c:v>
                </c:pt>
                <c:pt idx="52">
                  <c:v>2056</c:v>
                </c:pt>
                <c:pt idx="53">
                  <c:v>2057</c:v>
                </c:pt>
                <c:pt idx="54">
                  <c:v>2058</c:v>
                </c:pt>
                <c:pt idx="55">
                  <c:v>2059</c:v>
                </c:pt>
                <c:pt idx="56">
                  <c:v>2060</c:v>
                </c:pt>
                <c:pt idx="57">
                  <c:v>2061</c:v>
                </c:pt>
                <c:pt idx="58">
                  <c:v>2062</c:v>
                </c:pt>
                <c:pt idx="59">
                  <c:v>2063</c:v>
                </c:pt>
                <c:pt idx="60">
                  <c:v>2064</c:v>
                </c:pt>
                <c:pt idx="61">
                  <c:v>2065</c:v>
                </c:pt>
              </c:numCache>
            </c:numRef>
          </c:cat>
          <c:val>
            <c:numRef>
              <c:f>'Fig 1 data'!$D$7:$D$68</c:f>
              <c:numCache>
                <c:formatCode>General</c:formatCode>
                <c:ptCount val="62"/>
                <c:pt idx="2" formatCode="0.0">
                  <c:v>4.1864799999999978</c:v>
                </c:pt>
                <c:pt idx="3" formatCode="0.0">
                  <c:v>4.2258099999999965</c:v>
                </c:pt>
                <c:pt idx="4" formatCode="0.0">
                  <c:v>4.2619699999999998</c:v>
                </c:pt>
                <c:pt idx="5" formatCode="0.0">
                  <c:v>4.3049300000000015</c:v>
                </c:pt>
                <c:pt idx="6" formatCode="0.0">
                  <c:v>4.353159999999999</c:v>
                </c:pt>
                <c:pt idx="7" formatCode="0.0">
                  <c:v>4.3864800000000006</c:v>
                </c:pt>
                <c:pt idx="8" formatCode="0.0">
                  <c:v>4.4105299999999996</c:v>
                </c:pt>
                <c:pt idx="9" formatCode="0.0">
                  <c:v>4.4445400000000017</c:v>
                </c:pt>
                <c:pt idx="10" formatCode="0.0">
                  <c:v>4.5190299999999999</c:v>
                </c:pt>
                <c:pt idx="11" formatCode="0.0">
                  <c:v>4.612000000000001</c:v>
                </c:pt>
                <c:pt idx="12" formatCode="0.0">
                  <c:v>4.716660000000001</c:v>
                </c:pt>
                <c:pt idx="13" formatCode="0.0">
                  <c:v>4.8160600000000002</c:v>
                </c:pt>
                <c:pt idx="14" formatCode="0.0">
                  <c:v>4.9029499999999988</c:v>
                </c:pt>
                <c:pt idx="15" formatCode="0.0">
                  <c:v>4.9814499999999997</c:v>
                </c:pt>
                <c:pt idx="16" formatCode="0.0">
                  <c:v>5.0957999999999997</c:v>
                </c:pt>
                <c:pt idx="17" formatCode="0.0">
                  <c:v>5.1296000000000008</c:v>
                </c:pt>
                <c:pt idx="18" formatCode="0.0">
                  <c:v>5.173099999999998</c:v>
                </c:pt>
                <c:pt idx="19" formatCode="0.0">
                  <c:v>5.2261000000000051</c:v>
                </c:pt>
                <c:pt idx="20" formatCode="0.0">
                  <c:v>5.2871000000000041</c:v>
                </c:pt>
                <c:pt idx="21" formatCode="0.0">
                  <c:v>5.3560999999999979</c:v>
                </c:pt>
                <c:pt idx="22" formatCode="0.0">
                  <c:v>5.4197199999999999</c:v>
                </c:pt>
                <c:pt idx="23" formatCode="0.0">
                  <c:v>5.4808000000000012</c:v>
                </c:pt>
                <c:pt idx="24" formatCode="0.0">
                  <c:v>5.5390900000000007</c:v>
                </c:pt>
                <c:pt idx="25" formatCode="0.0">
                  <c:v>5.5945100000000014</c:v>
                </c:pt>
                <c:pt idx="26" formatCode="0.0">
                  <c:v>5.6471200000000028</c:v>
                </c:pt>
                <c:pt idx="27" formatCode="0.0">
                  <c:v>5.6969299999999992</c:v>
                </c:pt>
                <c:pt idx="28" formatCode="0.0">
                  <c:v>5.7437300000000002</c:v>
                </c:pt>
                <c:pt idx="29" formatCode="0.0">
                  <c:v>5.7876000000000012</c:v>
                </c:pt>
                <c:pt idx="30" formatCode="0.0">
                  <c:v>5.8287200000000006</c:v>
                </c:pt>
                <c:pt idx="31" formatCode="0.0">
                  <c:v>5.8690200000000008</c:v>
                </c:pt>
                <c:pt idx="32" formatCode="0.0">
                  <c:v>5.9083800000000011</c:v>
                </c:pt>
                <c:pt idx="33" formatCode="0.0">
                  <c:v>5.9470500000000008</c:v>
                </c:pt>
                <c:pt idx="34" formatCode="0.0">
                  <c:v>5.9849500000000013</c:v>
                </c:pt>
                <c:pt idx="35" formatCode="0.0">
                  <c:v>6.0222200000000026</c:v>
                </c:pt>
                <c:pt idx="36" formatCode="0.0">
                  <c:v>6.0588800000000029</c:v>
                </c:pt>
                <c:pt idx="37" formatCode="0.0">
                  <c:v>6.0947900000000024</c:v>
                </c:pt>
                <c:pt idx="38" formatCode="0.0">
                  <c:v>6.1299800000000024</c:v>
                </c:pt>
                <c:pt idx="39" formatCode="0.0">
                  <c:v>6.1644400000000026</c:v>
                </c:pt>
                <c:pt idx="40" formatCode="0.0">
                  <c:v>6.1981300000000026</c:v>
                </c:pt>
                <c:pt idx="41" formatCode="0.0">
                  <c:v>6.2310200000000027</c:v>
                </c:pt>
                <c:pt idx="42" formatCode="0.0">
                  <c:v>6.263130000000003</c:v>
                </c:pt>
                <c:pt idx="43" formatCode="0.0">
                  <c:v>6.2942300000000024</c:v>
                </c:pt>
                <c:pt idx="44" formatCode="0.0">
                  <c:v>6.3243600000000031</c:v>
                </c:pt>
                <c:pt idx="45" formatCode="0.0">
                  <c:v>6.3536900000000029</c:v>
                </c:pt>
                <c:pt idx="46" formatCode="0.0">
                  <c:v>6.3820500000000031</c:v>
                </c:pt>
                <c:pt idx="47" formatCode="0.0">
                  <c:v>6.409480000000003</c:v>
                </c:pt>
                <c:pt idx="48" formatCode="0.0">
                  <c:v>6.4361200000000025</c:v>
                </c:pt>
                <c:pt idx="49" formatCode="0.0">
                  <c:v>6.4620400000000027</c:v>
                </c:pt>
                <c:pt idx="50" formatCode="0.0">
                  <c:v>6.4870700000000028</c:v>
                </c:pt>
                <c:pt idx="51" formatCode="0.0">
                  <c:v>6.5116600000000027</c:v>
                </c:pt>
                <c:pt idx="52" formatCode="0.0">
                  <c:v>6.5355300000000032</c:v>
                </c:pt>
                <c:pt idx="53" formatCode="0.0">
                  <c:v>6.5591400000000029</c:v>
                </c:pt>
                <c:pt idx="54" formatCode="0.0">
                  <c:v>6.5822500000000028</c:v>
                </c:pt>
                <c:pt idx="55" formatCode="0.0">
                  <c:v>6.6052500000000025</c:v>
                </c:pt>
                <c:pt idx="56" formatCode="0.0">
                  <c:v>6.6278900000000025</c:v>
                </c:pt>
                <c:pt idx="57" formatCode="0.0">
                  <c:v>6.6505600000000031</c:v>
                </c:pt>
                <c:pt idx="58" formatCode="0.0">
                  <c:v>6.6731000000000025</c:v>
                </c:pt>
                <c:pt idx="59" formatCode="0.0">
                  <c:v>6.6954300000000027</c:v>
                </c:pt>
                <c:pt idx="60" formatCode="0.0">
                  <c:v>6.7179000000000029</c:v>
                </c:pt>
                <c:pt idx="61" formatCode="0.0">
                  <c:v>6.7402000000000024</c:v>
                </c:pt>
              </c:numCache>
            </c:numRef>
          </c:val>
          <c:smooth val="0"/>
          <c:extLst>
            <c:ext xmlns:c16="http://schemas.microsoft.com/office/drawing/2014/chart" uri="{C3380CC4-5D6E-409C-BE32-E72D297353CC}">
              <c16:uniqueId val="{00000001-4435-4291-95F8-A07ED789BE53}"/>
            </c:ext>
          </c:extLst>
        </c:ser>
        <c:ser>
          <c:idx val="2"/>
          <c:order val="2"/>
          <c:tx>
            <c:strRef>
              <c:f>'Fig 1 data'!$E$5</c:f>
              <c:strCache>
                <c:ptCount val="1"/>
                <c:pt idx="0">
                  <c:v>2016</c:v>
                </c:pt>
              </c:strCache>
            </c:strRef>
          </c:tx>
          <c:spPr>
            <a:ln w="38100" cap="rnd">
              <a:solidFill>
                <a:srgbClr val="3F403A"/>
              </a:solidFill>
              <a:round/>
            </a:ln>
            <a:effectLst/>
          </c:spPr>
          <c:marker>
            <c:symbol val="none"/>
          </c:marker>
          <c:cat>
            <c:numRef>
              <c:f>'Fig 1 data'!$B$7:$B$68</c:f>
              <c:numCache>
                <c:formatCode>General</c:formatCode>
                <c:ptCount val="6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pt idx="28">
                  <c:v>2032</c:v>
                </c:pt>
                <c:pt idx="29">
                  <c:v>2033</c:v>
                </c:pt>
                <c:pt idx="30">
                  <c:v>2034</c:v>
                </c:pt>
                <c:pt idx="31">
                  <c:v>2035</c:v>
                </c:pt>
                <c:pt idx="32">
                  <c:v>2036</c:v>
                </c:pt>
                <c:pt idx="33">
                  <c:v>2037</c:v>
                </c:pt>
                <c:pt idx="34">
                  <c:v>2038</c:v>
                </c:pt>
                <c:pt idx="35">
                  <c:v>2039</c:v>
                </c:pt>
                <c:pt idx="36">
                  <c:v>2040</c:v>
                </c:pt>
                <c:pt idx="37">
                  <c:v>2041</c:v>
                </c:pt>
                <c:pt idx="38">
                  <c:v>2042</c:v>
                </c:pt>
                <c:pt idx="39">
                  <c:v>2043</c:v>
                </c:pt>
                <c:pt idx="40">
                  <c:v>2044</c:v>
                </c:pt>
                <c:pt idx="41">
                  <c:v>2045</c:v>
                </c:pt>
                <c:pt idx="42">
                  <c:v>2046</c:v>
                </c:pt>
                <c:pt idx="43">
                  <c:v>2047</c:v>
                </c:pt>
                <c:pt idx="44">
                  <c:v>2048</c:v>
                </c:pt>
                <c:pt idx="45">
                  <c:v>2049</c:v>
                </c:pt>
                <c:pt idx="46">
                  <c:v>2050</c:v>
                </c:pt>
                <c:pt idx="47">
                  <c:v>2051</c:v>
                </c:pt>
                <c:pt idx="48">
                  <c:v>2052</c:v>
                </c:pt>
                <c:pt idx="49">
                  <c:v>2053</c:v>
                </c:pt>
                <c:pt idx="50">
                  <c:v>2054</c:v>
                </c:pt>
                <c:pt idx="51">
                  <c:v>2055</c:v>
                </c:pt>
                <c:pt idx="52">
                  <c:v>2056</c:v>
                </c:pt>
                <c:pt idx="53">
                  <c:v>2057</c:v>
                </c:pt>
                <c:pt idx="54">
                  <c:v>2058</c:v>
                </c:pt>
                <c:pt idx="55">
                  <c:v>2059</c:v>
                </c:pt>
                <c:pt idx="56">
                  <c:v>2060</c:v>
                </c:pt>
                <c:pt idx="57">
                  <c:v>2061</c:v>
                </c:pt>
                <c:pt idx="58">
                  <c:v>2062</c:v>
                </c:pt>
                <c:pt idx="59">
                  <c:v>2063</c:v>
                </c:pt>
                <c:pt idx="60">
                  <c:v>2064</c:v>
                </c:pt>
                <c:pt idx="61">
                  <c:v>2065</c:v>
                </c:pt>
              </c:numCache>
            </c:numRef>
          </c:cat>
          <c:val>
            <c:numRef>
              <c:f>'Fig 1 data'!$E$7:$E$68</c:f>
              <c:numCache>
                <c:formatCode>General</c:formatCode>
                <c:ptCount val="62"/>
                <c:pt idx="2" formatCode="0.0">
                  <c:v>4.1846300000000003</c:v>
                </c:pt>
                <c:pt idx="3" formatCode="0.0">
                  <c:v>4.2238600000000002</c:v>
                </c:pt>
                <c:pt idx="4" formatCode="0.0">
                  <c:v>4.2597500000000004</c:v>
                </c:pt>
                <c:pt idx="5" formatCode="0.0">
                  <c:v>4.3025900000000004</c:v>
                </c:pt>
                <c:pt idx="6" formatCode="0.0">
                  <c:v>4.35067</c:v>
                </c:pt>
                <c:pt idx="7" formatCode="0.0">
                  <c:v>4.3839699999999997</c:v>
                </c:pt>
                <c:pt idx="8" formatCode="0.0">
                  <c:v>4.4079800000000002</c:v>
                </c:pt>
                <c:pt idx="9" formatCode="0.0">
                  <c:v>4.4420999999999999</c:v>
                </c:pt>
                <c:pt idx="10" formatCode="0.0">
                  <c:v>4.5097800000000001</c:v>
                </c:pt>
                <c:pt idx="11" formatCode="0.0">
                  <c:v>4.5924199999999997</c:v>
                </c:pt>
                <c:pt idx="12" formatCode="0.0">
                  <c:v>4.6548299999999996</c:v>
                </c:pt>
                <c:pt idx="13" formatCode="0.0">
                  <c:v>4.6965899999999996</c:v>
                </c:pt>
                <c:pt idx="14" formatCode="0.0">
                  <c:v>4.7384300000000001</c:v>
                </c:pt>
                <c:pt idx="15" formatCode="0.0">
                  <c:v>4.7805200000000001</c:v>
                </c:pt>
                <c:pt idx="16" formatCode="0.0">
                  <c:v>4.8225300000000004</c:v>
                </c:pt>
                <c:pt idx="17" formatCode="0.0">
                  <c:v>4.8647600000000004</c:v>
                </c:pt>
                <c:pt idx="18" formatCode="0.0">
                  <c:v>4.90686</c:v>
                </c:pt>
                <c:pt idx="19" formatCode="0.0">
                  <c:v>4.9488899999999996</c:v>
                </c:pt>
                <c:pt idx="20" formatCode="0.0">
                  <c:v>4.99057</c:v>
                </c:pt>
                <c:pt idx="21" formatCode="0.0">
                  <c:v>5.03193</c:v>
                </c:pt>
                <c:pt idx="22" formatCode="0.0">
                  <c:v>5.0727399999999996</c:v>
                </c:pt>
                <c:pt idx="23" formatCode="0.0">
                  <c:v>5.11313</c:v>
                </c:pt>
                <c:pt idx="24" formatCode="0.0">
                  <c:v>5.1528400000000003</c:v>
                </c:pt>
                <c:pt idx="25" formatCode="0.0">
                  <c:v>5.1918800000000003</c:v>
                </c:pt>
                <c:pt idx="26" formatCode="0.0">
                  <c:v>5.22987</c:v>
                </c:pt>
                <c:pt idx="27" formatCode="0.0">
                  <c:v>5.2670000000000003</c:v>
                </c:pt>
                <c:pt idx="28" formatCode="0.0">
                  <c:v>5.3032000000000004</c:v>
                </c:pt>
                <c:pt idx="29" formatCode="0.0">
                  <c:v>5.3383700000000003</c:v>
                </c:pt>
                <c:pt idx="30" formatCode="0.0">
                  <c:v>5.3723000000000001</c:v>
                </c:pt>
                <c:pt idx="31" formatCode="0.0">
                  <c:v>5.40543</c:v>
                </c:pt>
                <c:pt idx="32" formatCode="0.0">
                  <c:v>5.4375</c:v>
                </c:pt>
                <c:pt idx="33" formatCode="0.0">
                  <c:v>5.4686700000000004</c:v>
                </c:pt>
                <c:pt idx="34" formatCode="0.0">
                  <c:v>5.4992000000000001</c:v>
                </c:pt>
                <c:pt idx="35" formatCode="0.0">
                  <c:v>5.52867</c:v>
                </c:pt>
                <c:pt idx="36" formatCode="0.0">
                  <c:v>5.5574199999999996</c:v>
                </c:pt>
                <c:pt idx="37" formatCode="0.0">
                  <c:v>5.5853299999999999</c:v>
                </c:pt>
                <c:pt idx="38" formatCode="0.0">
                  <c:v>5.6125699999999998</c:v>
                </c:pt>
                <c:pt idx="39" formatCode="0.0">
                  <c:v>5.6390399999999996</c:v>
                </c:pt>
                <c:pt idx="40" formatCode="0.0">
                  <c:v>5.6648500000000004</c:v>
                </c:pt>
                <c:pt idx="41" formatCode="0.0">
                  <c:v>5.6900399999999998</c:v>
                </c:pt>
                <c:pt idx="42" formatCode="0.0">
                  <c:v>5.7143800000000002</c:v>
                </c:pt>
                <c:pt idx="43" formatCode="0.0">
                  <c:v>5.7379899999999999</c:v>
                </c:pt>
                <c:pt idx="44" formatCode="0.0">
                  <c:v>5.76112</c:v>
                </c:pt>
                <c:pt idx="45" formatCode="0.0">
                  <c:v>5.7836400000000001</c:v>
                </c:pt>
                <c:pt idx="46" formatCode="0.0">
                  <c:v>5.8054800000000002</c:v>
                </c:pt>
                <c:pt idx="47" formatCode="0.0">
                  <c:v>5.8269700000000002</c:v>
                </c:pt>
                <c:pt idx="48" formatCode="0.0">
                  <c:v>5.8479599999999996</c:v>
                </c:pt>
                <c:pt idx="49" formatCode="0.0">
                  <c:v>5.8687100000000001</c:v>
                </c:pt>
                <c:pt idx="50" formatCode="0.0">
                  <c:v>5.8891499999999999</c:v>
                </c:pt>
                <c:pt idx="51" formatCode="0.0">
                  <c:v>5.9093799999999996</c:v>
                </c:pt>
                <c:pt idx="52" formatCode="0.0">
                  <c:v>5.9294200000000004</c:v>
                </c:pt>
                <c:pt idx="53" formatCode="0.0">
                  <c:v>5.9495300000000002</c:v>
                </c:pt>
                <c:pt idx="54" formatCode="0.0">
                  <c:v>5.9696100000000003</c:v>
                </c:pt>
                <c:pt idx="55" formatCode="0.0">
                  <c:v>5.9895800000000001</c:v>
                </c:pt>
                <c:pt idx="56" formatCode="0.0">
                  <c:v>6.00969</c:v>
                </c:pt>
              </c:numCache>
            </c:numRef>
          </c:val>
          <c:smooth val="0"/>
          <c:extLst>
            <c:ext xmlns:c16="http://schemas.microsoft.com/office/drawing/2014/chart" uri="{C3380CC4-5D6E-409C-BE32-E72D297353CC}">
              <c16:uniqueId val="{00000002-4435-4291-95F8-A07ED789BE53}"/>
            </c:ext>
          </c:extLst>
        </c:ser>
        <c:ser>
          <c:idx val="3"/>
          <c:order val="3"/>
          <c:tx>
            <c:strRef>
              <c:f>'Fig 1 data'!$F$5</c:f>
              <c:strCache>
                <c:ptCount val="1"/>
                <c:pt idx="0">
                  <c:v>2013</c:v>
                </c:pt>
              </c:strCache>
            </c:strRef>
          </c:tx>
          <c:spPr>
            <a:ln w="38100" cap="rnd">
              <a:solidFill>
                <a:srgbClr val="A9A7A5"/>
              </a:solidFill>
              <a:round/>
            </a:ln>
            <a:effectLst/>
          </c:spPr>
          <c:marker>
            <c:symbol val="none"/>
          </c:marker>
          <c:cat>
            <c:numRef>
              <c:f>'Fig 1 data'!$B$7:$B$68</c:f>
              <c:numCache>
                <c:formatCode>General</c:formatCode>
                <c:ptCount val="6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pt idx="28">
                  <c:v>2032</c:v>
                </c:pt>
                <c:pt idx="29">
                  <c:v>2033</c:v>
                </c:pt>
                <c:pt idx="30">
                  <c:v>2034</c:v>
                </c:pt>
                <c:pt idx="31">
                  <c:v>2035</c:v>
                </c:pt>
                <c:pt idx="32">
                  <c:v>2036</c:v>
                </c:pt>
                <c:pt idx="33">
                  <c:v>2037</c:v>
                </c:pt>
                <c:pt idx="34">
                  <c:v>2038</c:v>
                </c:pt>
                <c:pt idx="35">
                  <c:v>2039</c:v>
                </c:pt>
                <c:pt idx="36">
                  <c:v>2040</c:v>
                </c:pt>
                <c:pt idx="37">
                  <c:v>2041</c:v>
                </c:pt>
                <c:pt idx="38">
                  <c:v>2042</c:v>
                </c:pt>
                <c:pt idx="39">
                  <c:v>2043</c:v>
                </c:pt>
                <c:pt idx="40">
                  <c:v>2044</c:v>
                </c:pt>
                <c:pt idx="41">
                  <c:v>2045</c:v>
                </c:pt>
                <c:pt idx="42">
                  <c:v>2046</c:v>
                </c:pt>
                <c:pt idx="43">
                  <c:v>2047</c:v>
                </c:pt>
                <c:pt idx="44">
                  <c:v>2048</c:v>
                </c:pt>
                <c:pt idx="45">
                  <c:v>2049</c:v>
                </c:pt>
                <c:pt idx="46">
                  <c:v>2050</c:v>
                </c:pt>
                <c:pt idx="47">
                  <c:v>2051</c:v>
                </c:pt>
                <c:pt idx="48">
                  <c:v>2052</c:v>
                </c:pt>
                <c:pt idx="49">
                  <c:v>2053</c:v>
                </c:pt>
                <c:pt idx="50">
                  <c:v>2054</c:v>
                </c:pt>
                <c:pt idx="51">
                  <c:v>2055</c:v>
                </c:pt>
                <c:pt idx="52">
                  <c:v>2056</c:v>
                </c:pt>
                <c:pt idx="53">
                  <c:v>2057</c:v>
                </c:pt>
                <c:pt idx="54">
                  <c:v>2058</c:v>
                </c:pt>
                <c:pt idx="55">
                  <c:v>2059</c:v>
                </c:pt>
                <c:pt idx="56">
                  <c:v>2060</c:v>
                </c:pt>
                <c:pt idx="57">
                  <c:v>2061</c:v>
                </c:pt>
                <c:pt idx="58">
                  <c:v>2062</c:v>
                </c:pt>
                <c:pt idx="59">
                  <c:v>2063</c:v>
                </c:pt>
                <c:pt idx="60">
                  <c:v>2064</c:v>
                </c:pt>
                <c:pt idx="61">
                  <c:v>2065</c:v>
                </c:pt>
              </c:numCache>
            </c:numRef>
          </c:cat>
          <c:val>
            <c:numRef>
              <c:f>'Fig 1 data'!$F$7:$F$68</c:f>
              <c:numCache>
                <c:formatCode>General</c:formatCode>
                <c:ptCount val="62"/>
                <c:pt idx="2" formatCode="0.0">
                  <c:v>4.1846300000000003</c:v>
                </c:pt>
                <c:pt idx="3" formatCode="0.0">
                  <c:v>4.2282799999999998</c:v>
                </c:pt>
                <c:pt idx="4" formatCode="0.0">
                  <c:v>4.2688800000000002</c:v>
                </c:pt>
                <c:pt idx="5" formatCode="0.0">
                  <c:v>4.3157899999999998</c:v>
                </c:pt>
                <c:pt idx="6" formatCode="0.0">
                  <c:v>4.36782</c:v>
                </c:pt>
                <c:pt idx="7" formatCode="0.0">
                  <c:v>4.4050799999999999</c:v>
                </c:pt>
                <c:pt idx="8" formatCode="0.0">
                  <c:v>4.4333299999999998</c:v>
                </c:pt>
                <c:pt idx="9" formatCode="0.0">
                  <c:v>4.4640599999999999</c:v>
                </c:pt>
                <c:pt idx="10" formatCode="0.0">
                  <c:v>4.5015000000000001</c:v>
                </c:pt>
                <c:pt idx="11" formatCode="0.0">
                  <c:v>4.5438900000000002</c:v>
                </c:pt>
                <c:pt idx="12" formatCode="0.0">
                  <c:v>4.5861900000000002</c:v>
                </c:pt>
                <c:pt idx="13" formatCode="0.0">
                  <c:v>4.6284999999999998</c:v>
                </c:pt>
                <c:pt idx="14" formatCode="0.0">
                  <c:v>4.6709899999999998</c:v>
                </c:pt>
                <c:pt idx="15" formatCode="0.0">
                  <c:v>4.7134499999999999</c:v>
                </c:pt>
                <c:pt idx="16" formatCode="0.0">
                  <c:v>4.7558100000000003</c:v>
                </c:pt>
                <c:pt idx="17" formatCode="0.0">
                  <c:v>4.7980099999999997</c:v>
                </c:pt>
                <c:pt idx="18" formatCode="0.0">
                  <c:v>4.8400299999999996</c:v>
                </c:pt>
                <c:pt idx="19" formatCode="0.0">
                  <c:v>4.8817899999999996</c:v>
                </c:pt>
                <c:pt idx="20" formatCode="0.0">
                  <c:v>4.9232300000000002</c:v>
                </c:pt>
                <c:pt idx="21" formatCode="0.0">
                  <c:v>4.9640899999999997</c:v>
                </c:pt>
                <c:pt idx="22" formatCode="0.0">
                  <c:v>5.0044500000000003</c:v>
                </c:pt>
                <c:pt idx="23" formatCode="0.0">
                  <c:v>5.0441099999999999</c:v>
                </c:pt>
                <c:pt idx="24" formatCode="0.0">
                  <c:v>5.0830099999999998</c:v>
                </c:pt>
                <c:pt idx="25" formatCode="0.0">
                  <c:v>5.1210699999999996</c:v>
                </c:pt>
                <c:pt idx="26" formatCode="0.0">
                  <c:v>5.1583399999999999</c:v>
                </c:pt>
                <c:pt idx="27" formatCode="0.0">
                  <c:v>5.1945399999999999</c:v>
                </c:pt>
                <c:pt idx="28" formatCode="0.0">
                  <c:v>5.2298400000000003</c:v>
                </c:pt>
                <c:pt idx="29" formatCode="0.0">
                  <c:v>5.2641900000000001</c:v>
                </c:pt>
                <c:pt idx="30" formatCode="0.0">
                  <c:v>5.2977600000000002</c:v>
                </c:pt>
                <c:pt idx="31" formatCode="0.0">
                  <c:v>5.3303399999999996</c:v>
                </c:pt>
                <c:pt idx="32" formatCode="0.0">
                  <c:v>5.3621600000000003</c:v>
                </c:pt>
                <c:pt idx="33" formatCode="0.0">
                  <c:v>5.3933099999999996</c:v>
                </c:pt>
                <c:pt idx="34" formatCode="0.0">
                  <c:v>5.4237599999999997</c:v>
                </c:pt>
                <c:pt idx="35" formatCode="0.0">
                  <c:v>5.4535299999999998</c:v>
                </c:pt>
                <c:pt idx="36" formatCode="0.0">
                  <c:v>5.48271</c:v>
                </c:pt>
                <c:pt idx="37" formatCode="0.0">
                  <c:v>5.5113399999999997</c:v>
                </c:pt>
                <c:pt idx="38" formatCode="0.0">
                  <c:v>5.5393400000000002</c:v>
                </c:pt>
                <c:pt idx="39" formatCode="0.0">
                  <c:v>5.5668499999999996</c:v>
                </c:pt>
                <c:pt idx="40" formatCode="0.0">
                  <c:v>5.59368</c:v>
                </c:pt>
                <c:pt idx="41" formatCode="0.0">
                  <c:v>5.6200599999999996</c:v>
                </c:pt>
                <c:pt idx="42" formatCode="0.0">
                  <c:v>5.6458000000000004</c:v>
                </c:pt>
                <c:pt idx="43" formatCode="0.0">
                  <c:v>5.6710799999999999</c:v>
                </c:pt>
                <c:pt idx="44" formatCode="0.0">
                  <c:v>5.6957300000000002</c:v>
                </c:pt>
                <c:pt idx="45" formatCode="0.0">
                  <c:v>5.7200499999999996</c:v>
                </c:pt>
                <c:pt idx="46" formatCode="0.0">
                  <c:v>5.7439</c:v>
                </c:pt>
                <c:pt idx="47" formatCode="0.0">
                  <c:v>5.7674099999999999</c:v>
                </c:pt>
                <c:pt idx="48" formatCode="0.0">
                  <c:v>5.7906399999999998</c:v>
                </c:pt>
                <c:pt idx="49" formatCode="0.0">
                  <c:v>5.8135500000000002</c:v>
                </c:pt>
                <c:pt idx="50" formatCode="0.0">
                  <c:v>5.8362800000000004</c:v>
                </c:pt>
                <c:pt idx="51" formatCode="0.0">
                  <c:v>5.8589599999999997</c:v>
                </c:pt>
                <c:pt idx="52" formatCode="0.0">
                  <c:v>5.8815600000000003</c:v>
                </c:pt>
                <c:pt idx="53" formatCode="0.0">
                  <c:v>5.9040499999999998</c:v>
                </c:pt>
                <c:pt idx="54" formatCode="0.0">
                  <c:v>5.9266899999999998</c:v>
                </c:pt>
                <c:pt idx="55" formatCode="0.0">
                  <c:v>5.9492599999999998</c:v>
                </c:pt>
                <c:pt idx="56" formatCode="0.0">
                  <c:v>5.9720300000000002</c:v>
                </c:pt>
                <c:pt idx="57" formatCode="0.0">
                  <c:v>5.9948600000000001</c:v>
                </c:pt>
              </c:numCache>
            </c:numRef>
          </c:val>
          <c:smooth val="0"/>
          <c:extLst>
            <c:ext xmlns:c16="http://schemas.microsoft.com/office/drawing/2014/chart" uri="{C3380CC4-5D6E-409C-BE32-E72D297353CC}">
              <c16:uniqueId val="{00000003-4435-4291-95F8-A07ED789BE53}"/>
            </c:ext>
          </c:extLst>
        </c:ser>
        <c:ser>
          <c:idx val="4"/>
          <c:order val="4"/>
          <c:tx>
            <c:strRef>
              <c:f>'Fig 1 data'!$G$5</c:f>
              <c:strCache>
                <c:ptCount val="1"/>
                <c:pt idx="0">
                  <c:v>2009</c:v>
                </c:pt>
              </c:strCache>
            </c:strRef>
          </c:tx>
          <c:spPr>
            <a:ln w="38100" cap="rnd">
              <a:solidFill>
                <a:srgbClr val="00B5E4"/>
              </a:solidFill>
              <a:round/>
            </a:ln>
            <a:effectLst/>
          </c:spPr>
          <c:marker>
            <c:symbol val="none"/>
          </c:marker>
          <c:cat>
            <c:numRef>
              <c:f>'Fig 1 data'!$B$7:$B$68</c:f>
              <c:numCache>
                <c:formatCode>General</c:formatCode>
                <c:ptCount val="6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pt idx="28">
                  <c:v>2032</c:v>
                </c:pt>
                <c:pt idx="29">
                  <c:v>2033</c:v>
                </c:pt>
                <c:pt idx="30">
                  <c:v>2034</c:v>
                </c:pt>
                <c:pt idx="31">
                  <c:v>2035</c:v>
                </c:pt>
                <c:pt idx="32">
                  <c:v>2036</c:v>
                </c:pt>
                <c:pt idx="33">
                  <c:v>2037</c:v>
                </c:pt>
                <c:pt idx="34">
                  <c:v>2038</c:v>
                </c:pt>
                <c:pt idx="35">
                  <c:v>2039</c:v>
                </c:pt>
                <c:pt idx="36">
                  <c:v>2040</c:v>
                </c:pt>
                <c:pt idx="37">
                  <c:v>2041</c:v>
                </c:pt>
                <c:pt idx="38">
                  <c:v>2042</c:v>
                </c:pt>
                <c:pt idx="39">
                  <c:v>2043</c:v>
                </c:pt>
                <c:pt idx="40">
                  <c:v>2044</c:v>
                </c:pt>
                <c:pt idx="41">
                  <c:v>2045</c:v>
                </c:pt>
                <c:pt idx="42">
                  <c:v>2046</c:v>
                </c:pt>
                <c:pt idx="43">
                  <c:v>2047</c:v>
                </c:pt>
                <c:pt idx="44">
                  <c:v>2048</c:v>
                </c:pt>
                <c:pt idx="45">
                  <c:v>2049</c:v>
                </c:pt>
                <c:pt idx="46">
                  <c:v>2050</c:v>
                </c:pt>
                <c:pt idx="47">
                  <c:v>2051</c:v>
                </c:pt>
                <c:pt idx="48">
                  <c:v>2052</c:v>
                </c:pt>
                <c:pt idx="49">
                  <c:v>2053</c:v>
                </c:pt>
                <c:pt idx="50">
                  <c:v>2054</c:v>
                </c:pt>
                <c:pt idx="51">
                  <c:v>2055</c:v>
                </c:pt>
                <c:pt idx="52">
                  <c:v>2056</c:v>
                </c:pt>
                <c:pt idx="53">
                  <c:v>2057</c:v>
                </c:pt>
                <c:pt idx="54">
                  <c:v>2058</c:v>
                </c:pt>
                <c:pt idx="55">
                  <c:v>2059</c:v>
                </c:pt>
                <c:pt idx="56">
                  <c:v>2060</c:v>
                </c:pt>
                <c:pt idx="57">
                  <c:v>2061</c:v>
                </c:pt>
                <c:pt idx="58">
                  <c:v>2062</c:v>
                </c:pt>
                <c:pt idx="59">
                  <c:v>2063</c:v>
                </c:pt>
                <c:pt idx="60">
                  <c:v>2064</c:v>
                </c:pt>
                <c:pt idx="61">
                  <c:v>2065</c:v>
                </c:pt>
              </c:numCache>
            </c:numRef>
          </c:cat>
          <c:val>
            <c:numRef>
              <c:f>'Fig 1 data'!$G$7:$G$68</c:f>
              <c:numCache>
                <c:formatCode>General</c:formatCode>
                <c:ptCount val="62"/>
                <c:pt idx="2" formatCode="0.0">
                  <c:v>4.1846300000000003</c:v>
                </c:pt>
                <c:pt idx="3" formatCode="0.0">
                  <c:v>4.2282799999999998</c:v>
                </c:pt>
                <c:pt idx="4" formatCode="0.0">
                  <c:v>4.2686599999999997</c:v>
                </c:pt>
                <c:pt idx="5" formatCode="0.0">
                  <c:v>4.3140999999999998</c:v>
                </c:pt>
                <c:pt idx="6" formatCode="0.0">
                  <c:v>4.3637100000000002</c:v>
                </c:pt>
                <c:pt idx="7" formatCode="0.0">
                  <c:v>4.4072800000000001</c:v>
                </c:pt>
                <c:pt idx="8" formatCode="0.0">
                  <c:v>4.4499000000000004</c:v>
                </c:pt>
                <c:pt idx="9" formatCode="0.0">
                  <c:v>4.4915700000000003</c:v>
                </c:pt>
                <c:pt idx="10" formatCode="0.0">
                  <c:v>4.5323900000000004</c:v>
                </c:pt>
                <c:pt idx="11" formatCode="0.0">
                  <c:v>4.5724299999999998</c:v>
                </c:pt>
                <c:pt idx="12" formatCode="0.0">
                  <c:v>4.6117499999999998</c:v>
                </c:pt>
                <c:pt idx="13" formatCode="0.0">
                  <c:v>4.6502100000000004</c:v>
                </c:pt>
                <c:pt idx="14" formatCode="0.0">
                  <c:v>4.6882000000000001</c:v>
                </c:pt>
                <c:pt idx="15" formatCode="0.0">
                  <c:v>4.7253499999999997</c:v>
                </c:pt>
                <c:pt idx="16" formatCode="0.0">
                  <c:v>4.7618200000000002</c:v>
                </c:pt>
                <c:pt idx="17" formatCode="0.0">
                  <c:v>4.7974399999999999</c:v>
                </c:pt>
                <c:pt idx="18" formatCode="0.0">
                  <c:v>4.83263</c:v>
                </c:pt>
                <c:pt idx="19" formatCode="0.0">
                  <c:v>4.8668500000000003</c:v>
                </c:pt>
                <c:pt idx="20" formatCode="0.0">
                  <c:v>4.90029</c:v>
                </c:pt>
                <c:pt idx="21" formatCode="0.0">
                  <c:v>4.93316</c:v>
                </c:pt>
                <c:pt idx="22" formatCode="0.0">
                  <c:v>4.9652599999999998</c:v>
                </c:pt>
                <c:pt idx="23" formatCode="0.0">
                  <c:v>4.9966900000000001</c:v>
                </c:pt>
                <c:pt idx="24" formatCode="0.0">
                  <c:v>5.0272899999999998</c:v>
                </c:pt>
                <c:pt idx="25" formatCode="0.0">
                  <c:v>5.0572400000000002</c:v>
                </c:pt>
                <c:pt idx="26" formatCode="0.0">
                  <c:v>5.0863899999999997</c:v>
                </c:pt>
                <c:pt idx="27" formatCode="0.0">
                  <c:v>5.11463</c:v>
                </c:pt>
                <c:pt idx="28" formatCode="0.0">
                  <c:v>5.1421299999999999</c:v>
                </c:pt>
                <c:pt idx="29" formatCode="0.0">
                  <c:v>5.1688400000000003</c:v>
                </c:pt>
                <c:pt idx="30" formatCode="0.0">
                  <c:v>5.1947099999999997</c:v>
                </c:pt>
                <c:pt idx="31" formatCode="0.0">
                  <c:v>5.2198900000000004</c:v>
                </c:pt>
                <c:pt idx="32" formatCode="0.0">
                  <c:v>5.2443299999999997</c:v>
                </c:pt>
                <c:pt idx="33" formatCode="0.0">
                  <c:v>5.2679600000000004</c:v>
                </c:pt>
                <c:pt idx="34" formatCode="0.0">
                  <c:v>5.2909899999999999</c:v>
                </c:pt>
                <c:pt idx="35" formatCode="0.0">
                  <c:v>5.3133600000000003</c:v>
                </c:pt>
                <c:pt idx="36" formatCode="0.0">
                  <c:v>5.3349200000000003</c:v>
                </c:pt>
                <c:pt idx="37" formatCode="0.0">
                  <c:v>5.3557199999999998</c:v>
                </c:pt>
                <c:pt idx="38" formatCode="0.0">
                  <c:v>5.37575</c:v>
                </c:pt>
                <c:pt idx="39" formatCode="0.0">
                  <c:v>5.3949999999999996</c:v>
                </c:pt>
                <c:pt idx="40" formatCode="0.0">
                  <c:v>5.4134500000000001</c:v>
                </c:pt>
                <c:pt idx="41" formatCode="0.0">
                  <c:v>5.4309599999999998</c:v>
                </c:pt>
                <c:pt idx="42" formatCode="0.0">
                  <c:v>5.4476000000000004</c:v>
                </c:pt>
                <c:pt idx="43" formatCode="0.0">
                  <c:v>5.4633000000000003</c:v>
                </c:pt>
                <c:pt idx="44" formatCode="0.0">
                  <c:v>5.4780800000000003</c:v>
                </c:pt>
                <c:pt idx="45" formatCode="0.0">
                  <c:v>5.4919700000000002</c:v>
                </c:pt>
                <c:pt idx="46" formatCode="0.0">
                  <c:v>5.5049400000000004</c:v>
                </c:pt>
                <c:pt idx="47" formatCode="0.0">
                  <c:v>5.51715</c:v>
                </c:pt>
                <c:pt idx="48" formatCode="0.0">
                  <c:v>5.5286299999999997</c:v>
                </c:pt>
                <c:pt idx="49" formatCode="0.0">
                  <c:v>5.53925</c:v>
                </c:pt>
                <c:pt idx="50" formatCode="0.0">
                  <c:v>5.5492800000000004</c:v>
                </c:pt>
                <c:pt idx="51" formatCode="0.0">
                  <c:v>5.5587799999999996</c:v>
                </c:pt>
                <c:pt idx="52" formatCode="0.0">
                  <c:v>5.5677399999999997</c:v>
                </c:pt>
                <c:pt idx="53" formatCode="0.0">
                  <c:v>5.5761500000000002</c:v>
                </c:pt>
                <c:pt idx="54" formatCode="0.0">
                  <c:v>5.5842200000000002</c:v>
                </c:pt>
                <c:pt idx="55" formatCode="0.0">
                  <c:v>5.5918900000000002</c:v>
                </c:pt>
                <c:pt idx="56" formatCode="0.0">
                  <c:v>5.5992100000000002</c:v>
                </c:pt>
                <c:pt idx="57" formatCode="0.0">
                  <c:v>5.6062099999999999</c:v>
                </c:pt>
              </c:numCache>
            </c:numRef>
          </c:val>
          <c:smooth val="0"/>
          <c:extLst>
            <c:ext xmlns:c16="http://schemas.microsoft.com/office/drawing/2014/chart" uri="{C3380CC4-5D6E-409C-BE32-E72D297353CC}">
              <c16:uniqueId val="{00000004-4435-4291-95F8-A07ED789BE53}"/>
            </c:ext>
          </c:extLst>
        </c:ser>
        <c:ser>
          <c:idx val="5"/>
          <c:order val="5"/>
          <c:tx>
            <c:strRef>
              <c:f>'Fig 1 data'!$H$5</c:f>
              <c:strCache>
                <c:ptCount val="1"/>
                <c:pt idx="0">
                  <c:v>2006</c:v>
                </c:pt>
              </c:strCache>
            </c:strRef>
          </c:tx>
          <c:spPr>
            <a:ln w="38100" cap="rnd">
              <a:solidFill>
                <a:srgbClr val="0083AC"/>
              </a:solidFill>
              <a:prstDash val="dash"/>
              <a:round/>
            </a:ln>
            <a:effectLst/>
          </c:spPr>
          <c:marker>
            <c:symbol val="none"/>
          </c:marker>
          <c:cat>
            <c:numRef>
              <c:f>'Fig 1 data'!$B$7:$B$68</c:f>
              <c:numCache>
                <c:formatCode>General</c:formatCode>
                <c:ptCount val="6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pt idx="25">
                  <c:v>2029</c:v>
                </c:pt>
                <c:pt idx="26">
                  <c:v>2030</c:v>
                </c:pt>
                <c:pt idx="27">
                  <c:v>2031</c:v>
                </c:pt>
                <c:pt idx="28">
                  <c:v>2032</c:v>
                </c:pt>
                <c:pt idx="29">
                  <c:v>2033</c:v>
                </c:pt>
                <c:pt idx="30">
                  <c:v>2034</c:v>
                </c:pt>
                <c:pt idx="31">
                  <c:v>2035</c:v>
                </c:pt>
                <c:pt idx="32">
                  <c:v>2036</c:v>
                </c:pt>
                <c:pt idx="33">
                  <c:v>2037</c:v>
                </c:pt>
                <c:pt idx="34">
                  <c:v>2038</c:v>
                </c:pt>
                <c:pt idx="35">
                  <c:v>2039</c:v>
                </c:pt>
                <c:pt idx="36">
                  <c:v>2040</c:v>
                </c:pt>
                <c:pt idx="37">
                  <c:v>2041</c:v>
                </c:pt>
                <c:pt idx="38">
                  <c:v>2042</c:v>
                </c:pt>
                <c:pt idx="39">
                  <c:v>2043</c:v>
                </c:pt>
                <c:pt idx="40">
                  <c:v>2044</c:v>
                </c:pt>
                <c:pt idx="41">
                  <c:v>2045</c:v>
                </c:pt>
                <c:pt idx="42">
                  <c:v>2046</c:v>
                </c:pt>
                <c:pt idx="43">
                  <c:v>2047</c:v>
                </c:pt>
                <c:pt idx="44">
                  <c:v>2048</c:v>
                </c:pt>
                <c:pt idx="45">
                  <c:v>2049</c:v>
                </c:pt>
                <c:pt idx="46">
                  <c:v>2050</c:v>
                </c:pt>
                <c:pt idx="47">
                  <c:v>2051</c:v>
                </c:pt>
                <c:pt idx="48">
                  <c:v>2052</c:v>
                </c:pt>
                <c:pt idx="49">
                  <c:v>2053</c:v>
                </c:pt>
                <c:pt idx="50">
                  <c:v>2054</c:v>
                </c:pt>
                <c:pt idx="51">
                  <c:v>2055</c:v>
                </c:pt>
                <c:pt idx="52">
                  <c:v>2056</c:v>
                </c:pt>
                <c:pt idx="53">
                  <c:v>2057</c:v>
                </c:pt>
                <c:pt idx="54">
                  <c:v>2058</c:v>
                </c:pt>
                <c:pt idx="55">
                  <c:v>2059</c:v>
                </c:pt>
                <c:pt idx="56">
                  <c:v>2060</c:v>
                </c:pt>
                <c:pt idx="57">
                  <c:v>2061</c:v>
                </c:pt>
                <c:pt idx="58">
                  <c:v>2062</c:v>
                </c:pt>
                <c:pt idx="59">
                  <c:v>2063</c:v>
                </c:pt>
                <c:pt idx="60">
                  <c:v>2064</c:v>
                </c:pt>
                <c:pt idx="61">
                  <c:v>2065</c:v>
                </c:pt>
              </c:numCache>
            </c:numRef>
          </c:cat>
          <c:val>
            <c:numRef>
              <c:f>'Fig 1 data'!$H$7:$H$68</c:f>
              <c:numCache>
                <c:formatCode>0.0</c:formatCode>
                <c:ptCount val="62"/>
                <c:pt idx="0">
                  <c:v>4.0613600000000005</c:v>
                </c:pt>
                <c:pt idx="1">
                  <c:v>4.09598</c:v>
                </c:pt>
                <c:pt idx="2">
                  <c:v>4.1265700000000001</c:v>
                </c:pt>
                <c:pt idx="3">
                  <c:v>4.1560100000000002</c:v>
                </c:pt>
                <c:pt idx="4">
                  <c:v>4.1883100000000004</c:v>
                </c:pt>
                <c:pt idx="5">
                  <c:v>4.2237200000000001</c:v>
                </c:pt>
                <c:pt idx="6">
                  <c:v>4.2582899999999997</c:v>
                </c:pt>
                <c:pt idx="7">
                  <c:v>4.2919200000000002</c:v>
                </c:pt>
                <c:pt idx="8">
                  <c:v>4.3247499999999999</c:v>
                </c:pt>
                <c:pt idx="9">
                  <c:v>4.35684</c:v>
                </c:pt>
                <c:pt idx="10">
                  <c:v>4.3880699999999999</c:v>
                </c:pt>
                <c:pt idx="11">
                  <c:v>4.4185699999999999</c:v>
                </c:pt>
                <c:pt idx="12">
                  <c:v>4.4484599999999999</c:v>
                </c:pt>
                <c:pt idx="13">
                  <c:v>4.47804</c:v>
                </c:pt>
                <c:pt idx="14">
                  <c:v>4.5074199999999998</c:v>
                </c:pt>
                <c:pt idx="15">
                  <c:v>4.5366</c:v>
                </c:pt>
                <c:pt idx="16">
                  <c:v>4.56555</c:v>
                </c:pt>
                <c:pt idx="17">
                  <c:v>4.5939300000000003</c:v>
                </c:pt>
                <c:pt idx="18">
                  <c:v>4.6222200000000004</c:v>
                </c:pt>
                <c:pt idx="19">
                  <c:v>4.6500399999999997</c:v>
                </c:pt>
                <c:pt idx="20">
                  <c:v>4.6773199999999999</c:v>
                </c:pt>
                <c:pt idx="21">
                  <c:v>4.7040500000000005</c:v>
                </c:pt>
                <c:pt idx="22">
                  <c:v>4.7299600000000002</c:v>
                </c:pt>
                <c:pt idx="23">
                  <c:v>4.7551499999999995</c:v>
                </c:pt>
                <c:pt idx="24">
                  <c:v>4.77956</c:v>
                </c:pt>
                <c:pt idx="25">
                  <c:v>4.8030799999999996</c:v>
                </c:pt>
                <c:pt idx="26">
                  <c:v>4.82545</c:v>
                </c:pt>
                <c:pt idx="27">
                  <c:v>4.8470600000000008</c:v>
                </c:pt>
                <c:pt idx="28">
                  <c:v>4.8674399999999993</c:v>
                </c:pt>
                <c:pt idx="29">
                  <c:v>4.8867899999999995</c:v>
                </c:pt>
                <c:pt idx="30">
                  <c:v>4.9051400000000003</c:v>
                </c:pt>
                <c:pt idx="31">
                  <c:v>4.9222700000000001</c:v>
                </c:pt>
                <c:pt idx="32">
                  <c:v>4.9383900000000001</c:v>
                </c:pt>
                <c:pt idx="33">
                  <c:v>4.9532600000000002</c:v>
                </c:pt>
                <c:pt idx="34">
                  <c:v>4.9669300000000005</c:v>
                </c:pt>
                <c:pt idx="35">
                  <c:v>4.9795299999999996</c:v>
                </c:pt>
                <c:pt idx="36">
                  <c:v>4.9908000000000001</c:v>
                </c:pt>
                <c:pt idx="37">
                  <c:v>5.0009799999999993</c:v>
                </c:pt>
                <c:pt idx="38">
                  <c:v>5.0100600000000002</c:v>
                </c:pt>
                <c:pt idx="39">
                  <c:v>5.0179099999999996</c:v>
                </c:pt>
                <c:pt idx="40">
                  <c:v>5.0247099999999998</c:v>
                </c:pt>
                <c:pt idx="41">
                  <c:v>5.0305600000000004</c:v>
                </c:pt>
                <c:pt idx="42">
                  <c:v>5.0353100000000008</c:v>
                </c:pt>
                <c:pt idx="43">
                  <c:v>5.0392200000000003</c:v>
                </c:pt>
                <c:pt idx="44">
                  <c:v>5.0422500000000001</c:v>
                </c:pt>
                <c:pt idx="45">
                  <c:v>5.0445099999999998</c:v>
                </c:pt>
                <c:pt idx="46">
                  <c:v>5.0460600000000007</c:v>
                </c:pt>
                <c:pt idx="47">
                  <c:v>5.0471000000000004</c:v>
                </c:pt>
                <c:pt idx="48">
                  <c:v>5.0471599999999999</c:v>
                </c:pt>
                <c:pt idx="49">
                  <c:v>5.0466000000000006</c:v>
                </c:pt>
                <c:pt idx="50">
                  <c:v>5.0455200000000007</c:v>
                </c:pt>
                <c:pt idx="51">
                  <c:v>5.0439099999999994</c:v>
                </c:pt>
                <c:pt idx="52">
                  <c:v>5.0417100000000001</c:v>
                </c:pt>
                <c:pt idx="53">
                  <c:v>5.0391199999999996</c:v>
                </c:pt>
                <c:pt idx="54">
                  <c:v>5.0362600000000004</c:v>
                </c:pt>
                <c:pt idx="55">
                  <c:v>5.0330699999999995</c:v>
                </c:pt>
                <c:pt idx="56">
                  <c:v>5.0296000000000003</c:v>
                </c:pt>
              </c:numCache>
            </c:numRef>
          </c:val>
          <c:smooth val="0"/>
          <c:extLst>
            <c:ext xmlns:c16="http://schemas.microsoft.com/office/drawing/2014/chart" uri="{C3380CC4-5D6E-409C-BE32-E72D297353CC}">
              <c16:uniqueId val="{00000005-4435-4291-95F8-A07ED789BE53}"/>
            </c:ext>
          </c:extLst>
        </c:ser>
        <c:dLbls>
          <c:showLegendKey val="0"/>
          <c:showVal val="0"/>
          <c:showCatName val="0"/>
          <c:showSerName val="0"/>
          <c:showPercent val="0"/>
          <c:showBubbleSize val="0"/>
        </c:dLbls>
        <c:smooth val="0"/>
        <c:axId val="1940334831"/>
        <c:axId val="1940355471"/>
      </c:lineChart>
      <c:catAx>
        <c:axId val="1940334831"/>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tx1"/>
                    </a:solidFill>
                    <a:latin typeface="Arial" panose="020B0604020202020204" pitchFamily="34" charset="0"/>
                    <a:ea typeface="+mn-ea"/>
                    <a:cs typeface="Arial" panose="020B0604020202020204" pitchFamily="34" charset="0"/>
                  </a:defRPr>
                </a:pPr>
                <a:r>
                  <a:rPr lang="en-NZ" sz="1800" b="1">
                    <a:solidFill>
                      <a:schemeClr val="tx1"/>
                    </a:solidFill>
                    <a:latin typeface="Arial" panose="020B0604020202020204" pitchFamily="34" charset="0"/>
                    <a:cs typeface="Arial" panose="020B0604020202020204" pitchFamily="34" charset="0"/>
                  </a:rPr>
                  <a:t>Year ending 30 June</a:t>
                </a:r>
              </a:p>
            </c:rich>
          </c:tx>
          <c:layout>
            <c:manualLayout>
              <c:xMode val="edge"/>
              <c:yMode val="edge"/>
              <c:x val="0.38743540666358312"/>
              <c:y val="0.9383606971649097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40355471"/>
        <c:crosses val="autoZero"/>
        <c:auto val="1"/>
        <c:lblAlgn val="ctr"/>
        <c:lblOffset val="100"/>
        <c:tickLblSkip val="5"/>
        <c:tickMarkSkip val="5"/>
        <c:noMultiLvlLbl val="0"/>
      </c:catAx>
      <c:valAx>
        <c:axId val="1940355471"/>
        <c:scaling>
          <c:orientation val="minMax"/>
          <c:min val="3"/>
        </c:scaling>
        <c:delete val="0"/>
        <c:axPos val="l"/>
        <c:majorGridlines>
          <c:spPr>
            <a:ln w="9525" cap="flat" cmpd="sng" algn="ctr">
              <a:solidFill>
                <a:srgbClr val="A9A7A5"/>
              </a:solidFill>
              <a:round/>
            </a:ln>
            <a:effectLst/>
          </c:spPr>
        </c:majorGridlines>
        <c:title>
          <c:tx>
            <c:rich>
              <a:bodyPr rot="0" spcFirstLastPara="1" vertOverflow="ellipsis" wrap="square" anchor="ctr" anchorCtr="1"/>
              <a:lstStyle/>
              <a:p>
                <a:pPr>
                  <a:defRPr sz="1800" b="1" i="0" u="none" strike="noStrike" kern="1200" baseline="0">
                    <a:solidFill>
                      <a:schemeClr val="tx1"/>
                    </a:solidFill>
                    <a:latin typeface="Arial" panose="020B0604020202020204" pitchFamily="34" charset="0"/>
                    <a:ea typeface="+mn-ea"/>
                    <a:cs typeface="Arial" panose="020B0604020202020204" pitchFamily="34" charset="0"/>
                  </a:defRPr>
                </a:pPr>
                <a:r>
                  <a:rPr lang="en-NZ" sz="1800" b="1">
                    <a:solidFill>
                      <a:schemeClr val="tx1"/>
                    </a:solidFill>
                    <a:latin typeface="Arial" panose="020B0604020202020204" pitchFamily="34" charset="0"/>
                    <a:cs typeface="Arial" panose="020B0604020202020204" pitchFamily="34" charset="0"/>
                  </a:rPr>
                  <a:t>Millions</a:t>
                </a:r>
              </a:p>
            </c:rich>
          </c:tx>
          <c:layout>
            <c:manualLayout>
              <c:xMode val="edge"/>
              <c:yMode val="edge"/>
              <c:x val="1.2131871310480989E-3"/>
              <c:y val="1.9483816038403276E-4"/>
            </c:manualLayout>
          </c:layout>
          <c:overlay val="0"/>
          <c:spPr>
            <a:noFill/>
            <a:ln>
              <a:noFill/>
            </a:ln>
            <a:effectLst/>
          </c:spPr>
          <c:txPr>
            <a:bodyPr rot="0" spcFirstLastPara="1" vertOverflow="ellipsis" wrap="square" anchor="ctr" anchorCtr="1"/>
            <a:lstStyle/>
            <a:p>
              <a:pPr>
                <a:defRPr sz="1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40334831"/>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8968083845880411E-2"/>
          <c:y val="8.716154965923377E-2"/>
          <c:w val="0.87543684091472151"/>
          <c:h val="0.67225964401508642"/>
        </c:manualLayout>
      </c:layout>
      <c:lineChart>
        <c:grouping val="standard"/>
        <c:varyColors val="0"/>
        <c:ser>
          <c:idx val="5"/>
          <c:order val="0"/>
          <c:tx>
            <c:strRef>
              <c:f>'Fig 2 data'!$H$5</c:f>
              <c:strCache>
                <c:ptCount val="1"/>
                <c:pt idx="0">
                  <c:v>LTFS 2025</c:v>
                </c:pt>
              </c:strCache>
            </c:strRef>
          </c:tx>
          <c:spPr>
            <a:ln w="38100">
              <a:solidFill>
                <a:srgbClr val="0083AC"/>
              </a:solidFill>
            </a:ln>
          </c:spPr>
          <c:marker>
            <c:symbol val="none"/>
          </c:marker>
          <c:cat>
            <c:numRef>
              <c:f>'Fig 2 data'!$B$7:$B$80</c:f>
              <c:numCache>
                <c:formatCode>General</c:formatCode>
                <c:ptCount val="7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formatCode="0">
                  <c:v>2025</c:v>
                </c:pt>
                <c:pt idx="34">
                  <c:v>2026</c:v>
                </c:pt>
                <c:pt idx="35" formatCode="0">
                  <c:v>2027</c:v>
                </c:pt>
                <c:pt idx="36">
                  <c:v>2028</c:v>
                </c:pt>
                <c:pt idx="37" formatCode="0">
                  <c:v>2029</c:v>
                </c:pt>
                <c:pt idx="38">
                  <c:v>2030</c:v>
                </c:pt>
                <c:pt idx="39" formatCode="0">
                  <c:v>2031</c:v>
                </c:pt>
                <c:pt idx="40">
                  <c:v>2032</c:v>
                </c:pt>
                <c:pt idx="41" formatCode="0">
                  <c:v>2033</c:v>
                </c:pt>
                <c:pt idx="42">
                  <c:v>2034</c:v>
                </c:pt>
                <c:pt idx="43" formatCode="0">
                  <c:v>2035</c:v>
                </c:pt>
                <c:pt idx="44">
                  <c:v>2036</c:v>
                </c:pt>
                <c:pt idx="45" formatCode="0">
                  <c:v>2037</c:v>
                </c:pt>
                <c:pt idx="46">
                  <c:v>2038</c:v>
                </c:pt>
                <c:pt idx="47" formatCode="0">
                  <c:v>2039</c:v>
                </c:pt>
                <c:pt idx="48">
                  <c:v>2040</c:v>
                </c:pt>
                <c:pt idx="49" formatCode="0">
                  <c:v>2041</c:v>
                </c:pt>
                <c:pt idx="50">
                  <c:v>2042</c:v>
                </c:pt>
                <c:pt idx="51" formatCode="0">
                  <c:v>2043</c:v>
                </c:pt>
                <c:pt idx="52">
                  <c:v>2044</c:v>
                </c:pt>
                <c:pt idx="53" formatCode="0">
                  <c:v>2045</c:v>
                </c:pt>
                <c:pt idx="54">
                  <c:v>2046</c:v>
                </c:pt>
                <c:pt idx="55" formatCode="0">
                  <c:v>2047</c:v>
                </c:pt>
                <c:pt idx="56">
                  <c:v>2048</c:v>
                </c:pt>
                <c:pt idx="57" formatCode="0">
                  <c:v>2049</c:v>
                </c:pt>
                <c:pt idx="58">
                  <c:v>2050</c:v>
                </c:pt>
                <c:pt idx="59" formatCode="0">
                  <c:v>2051</c:v>
                </c:pt>
                <c:pt idx="60">
                  <c:v>2052</c:v>
                </c:pt>
                <c:pt idx="61" formatCode="0">
                  <c:v>2053</c:v>
                </c:pt>
                <c:pt idx="62">
                  <c:v>2054</c:v>
                </c:pt>
                <c:pt idx="63" formatCode="0">
                  <c:v>2055</c:v>
                </c:pt>
                <c:pt idx="64">
                  <c:v>2056</c:v>
                </c:pt>
                <c:pt idx="65" formatCode="0">
                  <c:v>2057</c:v>
                </c:pt>
                <c:pt idx="66">
                  <c:v>2058</c:v>
                </c:pt>
                <c:pt idx="67" formatCode="0">
                  <c:v>2059</c:v>
                </c:pt>
                <c:pt idx="68">
                  <c:v>2060</c:v>
                </c:pt>
                <c:pt idx="69" formatCode="0">
                  <c:v>2061</c:v>
                </c:pt>
                <c:pt idx="70">
                  <c:v>2062</c:v>
                </c:pt>
                <c:pt idx="71" formatCode="0">
                  <c:v>2063</c:v>
                </c:pt>
                <c:pt idx="72">
                  <c:v>2064</c:v>
                </c:pt>
                <c:pt idx="73" formatCode="0">
                  <c:v>2065</c:v>
                </c:pt>
              </c:numCache>
            </c:numRef>
          </c:cat>
          <c:val>
            <c:numRef>
              <c:f>'Fig 2 data'!$H$7:$H$80</c:f>
              <c:numCache>
                <c:formatCode>#,##0.0_ ;\-#,##0.0\ </c:formatCode>
                <c:ptCount val="74"/>
                <c:pt idx="33">
                  <c:v>32.9</c:v>
                </c:pt>
                <c:pt idx="34">
                  <c:v>38.200000000000003</c:v>
                </c:pt>
                <c:pt idx="35">
                  <c:v>39.5</c:v>
                </c:pt>
                <c:pt idx="36">
                  <c:v>39.9</c:v>
                </c:pt>
                <c:pt idx="37">
                  <c:v>40</c:v>
                </c:pt>
                <c:pt idx="38">
                  <c:v>39.5</c:v>
                </c:pt>
                <c:pt idx="39">
                  <c:v>39</c:v>
                </c:pt>
                <c:pt idx="40">
                  <c:v>38.5</c:v>
                </c:pt>
                <c:pt idx="41">
                  <c:v>38</c:v>
                </c:pt>
                <c:pt idx="42">
                  <c:v>38.299999999999997</c:v>
                </c:pt>
                <c:pt idx="43">
                  <c:v>38.5</c:v>
                </c:pt>
                <c:pt idx="44">
                  <c:v>38.799999999999997</c:v>
                </c:pt>
                <c:pt idx="45">
                  <c:v>39</c:v>
                </c:pt>
                <c:pt idx="46">
                  <c:v>39.299999999999997</c:v>
                </c:pt>
                <c:pt idx="47">
                  <c:v>39.5</c:v>
                </c:pt>
                <c:pt idx="48">
                  <c:v>39.799999999999997</c:v>
                </c:pt>
                <c:pt idx="49">
                  <c:v>40</c:v>
                </c:pt>
                <c:pt idx="50">
                  <c:v>40.299999999999997</c:v>
                </c:pt>
                <c:pt idx="51">
                  <c:v>40.5</c:v>
                </c:pt>
                <c:pt idx="52">
                  <c:v>40.799999999999997</c:v>
                </c:pt>
                <c:pt idx="53">
                  <c:v>41</c:v>
                </c:pt>
                <c:pt idx="54">
                  <c:v>41.3</c:v>
                </c:pt>
                <c:pt idx="55">
                  <c:v>41.5</c:v>
                </c:pt>
                <c:pt idx="56">
                  <c:v>41.8</c:v>
                </c:pt>
                <c:pt idx="57">
                  <c:v>42</c:v>
                </c:pt>
                <c:pt idx="58">
                  <c:v>42.3</c:v>
                </c:pt>
                <c:pt idx="59">
                  <c:v>42.5</c:v>
                </c:pt>
                <c:pt idx="60">
                  <c:v>42.8</c:v>
                </c:pt>
                <c:pt idx="61">
                  <c:v>43</c:v>
                </c:pt>
                <c:pt idx="62">
                  <c:v>43.3</c:v>
                </c:pt>
                <c:pt idx="63">
                  <c:v>43.5</c:v>
                </c:pt>
                <c:pt idx="64">
                  <c:v>43.8</c:v>
                </c:pt>
                <c:pt idx="65">
                  <c:v>44</c:v>
                </c:pt>
                <c:pt idx="66">
                  <c:v>44.3</c:v>
                </c:pt>
                <c:pt idx="67">
                  <c:v>44.5</c:v>
                </c:pt>
                <c:pt idx="68">
                  <c:v>44.8</c:v>
                </c:pt>
                <c:pt idx="69">
                  <c:v>45</c:v>
                </c:pt>
                <c:pt idx="70">
                  <c:v>45.3</c:v>
                </c:pt>
                <c:pt idx="71">
                  <c:v>45.5</c:v>
                </c:pt>
                <c:pt idx="72">
                  <c:v>45.8</c:v>
                </c:pt>
                <c:pt idx="73">
                  <c:v>46</c:v>
                </c:pt>
              </c:numCache>
            </c:numRef>
          </c:val>
          <c:smooth val="0"/>
          <c:extLst>
            <c:ext xmlns:c16="http://schemas.microsoft.com/office/drawing/2014/chart" uri="{C3380CC4-5D6E-409C-BE32-E72D297353CC}">
              <c16:uniqueId val="{00000005-8C08-49C7-9710-915FF09857E8}"/>
            </c:ext>
          </c:extLst>
        </c:ser>
        <c:ser>
          <c:idx val="4"/>
          <c:order val="1"/>
          <c:tx>
            <c:strRef>
              <c:f>'Fig 2 data'!$G$5</c:f>
              <c:strCache>
                <c:ptCount val="1"/>
                <c:pt idx="0">
                  <c:v>LTFS 2021</c:v>
                </c:pt>
              </c:strCache>
            </c:strRef>
          </c:tx>
          <c:spPr>
            <a:ln w="38100">
              <a:solidFill>
                <a:srgbClr val="67A854"/>
              </a:solidFill>
            </a:ln>
          </c:spPr>
          <c:marker>
            <c:symbol val="none"/>
          </c:marker>
          <c:cat>
            <c:numRef>
              <c:f>'Fig 2 data'!$B$7:$B$80</c:f>
              <c:numCache>
                <c:formatCode>General</c:formatCode>
                <c:ptCount val="7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formatCode="0">
                  <c:v>2025</c:v>
                </c:pt>
                <c:pt idx="34">
                  <c:v>2026</c:v>
                </c:pt>
                <c:pt idx="35" formatCode="0">
                  <c:v>2027</c:v>
                </c:pt>
                <c:pt idx="36">
                  <c:v>2028</c:v>
                </c:pt>
                <c:pt idx="37" formatCode="0">
                  <c:v>2029</c:v>
                </c:pt>
                <c:pt idx="38">
                  <c:v>2030</c:v>
                </c:pt>
                <c:pt idx="39" formatCode="0">
                  <c:v>2031</c:v>
                </c:pt>
                <c:pt idx="40">
                  <c:v>2032</c:v>
                </c:pt>
                <c:pt idx="41" formatCode="0">
                  <c:v>2033</c:v>
                </c:pt>
                <c:pt idx="42">
                  <c:v>2034</c:v>
                </c:pt>
                <c:pt idx="43" formatCode="0">
                  <c:v>2035</c:v>
                </c:pt>
                <c:pt idx="44">
                  <c:v>2036</c:v>
                </c:pt>
                <c:pt idx="45" formatCode="0">
                  <c:v>2037</c:v>
                </c:pt>
                <c:pt idx="46">
                  <c:v>2038</c:v>
                </c:pt>
                <c:pt idx="47" formatCode="0">
                  <c:v>2039</c:v>
                </c:pt>
                <c:pt idx="48">
                  <c:v>2040</c:v>
                </c:pt>
                <c:pt idx="49" formatCode="0">
                  <c:v>2041</c:v>
                </c:pt>
                <c:pt idx="50">
                  <c:v>2042</c:v>
                </c:pt>
                <c:pt idx="51" formatCode="0">
                  <c:v>2043</c:v>
                </c:pt>
                <c:pt idx="52">
                  <c:v>2044</c:v>
                </c:pt>
                <c:pt idx="53" formatCode="0">
                  <c:v>2045</c:v>
                </c:pt>
                <c:pt idx="54">
                  <c:v>2046</c:v>
                </c:pt>
                <c:pt idx="55" formatCode="0">
                  <c:v>2047</c:v>
                </c:pt>
                <c:pt idx="56">
                  <c:v>2048</c:v>
                </c:pt>
                <c:pt idx="57" formatCode="0">
                  <c:v>2049</c:v>
                </c:pt>
                <c:pt idx="58">
                  <c:v>2050</c:v>
                </c:pt>
                <c:pt idx="59" formatCode="0">
                  <c:v>2051</c:v>
                </c:pt>
                <c:pt idx="60">
                  <c:v>2052</c:v>
                </c:pt>
                <c:pt idx="61" formatCode="0">
                  <c:v>2053</c:v>
                </c:pt>
                <c:pt idx="62">
                  <c:v>2054</c:v>
                </c:pt>
                <c:pt idx="63" formatCode="0">
                  <c:v>2055</c:v>
                </c:pt>
                <c:pt idx="64">
                  <c:v>2056</c:v>
                </c:pt>
                <c:pt idx="65" formatCode="0">
                  <c:v>2057</c:v>
                </c:pt>
                <c:pt idx="66">
                  <c:v>2058</c:v>
                </c:pt>
                <c:pt idx="67" formatCode="0">
                  <c:v>2059</c:v>
                </c:pt>
                <c:pt idx="68">
                  <c:v>2060</c:v>
                </c:pt>
                <c:pt idx="69" formatCode="0">
                  <c:v>2061</c:v>
                </c:pt>
                <c:pt idx="70">
                  <c:v>2062</c:v>
                </c:pt>
                <c:pt idx="71" formatCode="0">
                  <c:v>2063</c:v>
                </c:pt>
                <c:pt idx="72">
                  <c:v>2064</c:v>
                </c:pt>
                <c:pt idx="73" formatCode="0">
                  <c:v>2065</c:v>
                </c:pt>
              </c:numCache>
            </c:numRef>
          </c:cat>
          <c:val>
            <c:numRef>
              <c:f>'Fig 2 data'!$G$7:$G$80</c:f>
              <c:numCache>
                <c:formatCode>#,##0_ ;\-#,##0\ </c:formatCode>
                <c:ptCount val="74"/>
                <c:pt idx="29" formatCode="#,##0.0_ ;\-#,##0.0\ ">
                  <c:v>8.1</c:v>
                </c:pt>
                <c:pt idx="30" formatCode="#,##0.0_ ;\-#,##0.0\ ">
                  <c:v>17.5</c:v>
                </c:pt>
                <c:pt idx="31" formatCode="#,##0.0_ ;\-#,##0.0\ ">
                  <c:v>27</c:v>
                </c:pt>
                <c:pt idx="32" formatCode="#,##0.0_ ;\-#,##0.0\ ">
                  <c:v>35</c:v>
                </c:pt>
                <c:pt idx="33" formatCode="#,##0.0_ ;\-#,##0.0\ ">
                  <c:v>43</c:v>
                </c:pt>
                <c:pt idx="34" formatCode="#,##0.0_ ;\-#,##0.0\ ">
                  <c:v>41</c:v>
                </c:pt>
                <c:pt idx="35" formatCode="#,##0.0_ ;\-#,##0.0\ ">
                  <c:v>39</c:v>
                </c:pt>
                <c:pt idx="36" formatCode="#,##0.0_ ;\-#,##0.0\ ">
                  <c:v>37</c:v>
                </c:pt>
                <c:pt idx="37" formatCode="#,##0.0_ ;\-#,##0.0\ ">
                  <c:v>35</c:v>
                </c:pt>
                <c:pt idx="38" formatCode="#,##0.0_ ;\-#,##0.0\ ">
                  <c:v>33</c:v>
                </c:pt>
                <c:pt idx="39" formatCode="#,##0.0_ ;\-#,##0.0\ ">
                  <c:v>31</c:v>
                </c:pt>
                <c:pt idx="40" formatCode="#,##0.0_ ;\-#,##0.0\ ">
                  <c:v>29</c:v>
                </c:pt>
                <c:pt idx="41" formatCode="#,##0.0_ ;\-#,##0.0\ ">
                  <c:v>27</c:v>
                </c:pt>
                <c:pt idx="42" formatCode="#,##0.0_ ;\-#,##0.0\ ">
                  <c:v>25</c:v>
                </c:pt>
                <c:pt idx="43" formatCode="#,##0.0_ ;\-#,##0.0\ ">
                  <c:v>25</c:v>
                </c:pt>
                <c:pt idx="44" formatCode="#,##0.0_ ;\-#,##0.0\ ">
                  <c:v>25</c:v>
                </c:pt>
                <c:pt idx="45" formatCode="#,##0.0_ ;\-#,##0.0\ ">
                  <c:v>25</c:v>
                </c:pt>
                <c:pt idx="46" formatCode="#,##0.0_ ;\-#,##0.0\ ">
                  <c:v>25</c:v>
                </c:pt>
                <c:pt idx="47" formatCode="#,##0.0_ ;\-#,##0.0\ ">
                  <c:v>25</c:v>
                </c:pt>
                <c:pt idx="48" formatCode="#,##0.0_ ;\-#,##0.0\ ">
                  <c:v>25</c:v>
                </c:pt>
                <c:pt idx="49" formatCode="#,##0.0_ ;\-#,##0.0\ ">
                  <c:v>25</c:v>
                </c:pt>
                <c:pt idx="50" formatCode="#,##0.0_ ;\-#,##0.0\ ">
                  <c:v>25</c:v>
                </c:pt>
                <c:pt idx="51" formatCode="#,##0.0_ ;\-#,##0.0\ ">
                  <c:v>25</c:v>
                </c:pt>
                <c:pt idx="52" formatCode="#,##0.0_ ;\-#,##0.0\ ">
                  <c:v>25</c:v>
                </c:pt>
                <c:pt idx="53" formatCode="#,##0.0_ ;\-#,##0.0\ ">
                  <c:v>25</c:v>
                </c:pt>
                <c:pt idx="54" formatCode="#,##0.0_ ;\-#,##0.0\ ">
                  <c:v>25</c:v>
                </c:pt>
                <c:pt idx="55" formatCode="#,##0.0_ ;\-#,##0.0\ ">
                  <c:v>25</c:v>
                </c:pt>
                <c:pt idx="56" formatCode="#,##0.0_ ;\-#,##0.0\ ">
                  <c:v>25</c:v>
                </c:pt>
                <c:pt idx="57" formatCode="#,##0.0_ ;\-#,##0.0\ ">
                  <c:v>25</c:v>
                </c:pt>
                <c:pt idx="58" formatCode="#,##0.0_ ;\-#,##0.0\ ">
                  <c:v>25</c:v>
                </c:pt>
                <c:pt idx="59" formatCode="#,##0.0_ ;\-#,##0.0\ ">
                  <c:v>25</c:v>
                </c:pt>
                <c:pt idx="60" formatCode="#,##0.0_ ;\-#,##0.0\ ">
                  <c:v>25</c:v>
                </c:pt>
                <c:pt idx="61" formatCode="#,##0.0_ ;\-#,##0.0\ ">
                  <c:v>25</c:v>
                </c:pt>
                <c:pt idx="62" formatCode="#,##0.0_ ;\-#,##0.0\ ">
                  <c:v>25</c:v>
                </c:pt>
                <c:pt idx="63" formatCode="#,##0.0_ ;\-#,##0.0\ ">
                  <c:v>25</c:v>
                </c:pt>
                <c:pt idx="64" formatCode="#,##0.0_ ;\-#,##0.0\ ">
                  <c:v>25</c:v>
                </c:pt>
                <c:pt idx="65" formatCode="#,##0.0_ ;\-#,##0.0\ ">
                  <c:v>25</c:v>
                </c:pt>
                <c:pt idx="66" formatCode="#,##0.0_ ;\-#,##0.0\ ">
                  <c:v>25</c:v>
                </c:pt>
                <c:pt idx="67" formatCode="#,##0.0_ ;\-#,##0.0\ ">
                  <c:v>25</c:v>
                </c:pt>
                <c:pt idx="68" formatCode="#,##0.0_ ;\-#,##0.0\ ">
                  <c:v>25</c:v>
                </c:pt>
                <c:pt idx="69" formatCode="#,##0.0_ ;\-#,##0.0\ ">
                  <c:v>25</c:v>
                </c:pt>
                <c:pt idx="70" formatCode="#,##0.0_ ;\-#,##0.0\ ">
                  <c:v>25</c:v>
                </c:pt>
                <c:pt idx="71" formatCode="#,##0.0_ ;\-#,##0.0\ ">
                  <c:v>25</c:v>
                </c:pt>
                <c:pt idx="72" formatCode="#,##0.0_ ;\-#,##0.0\ ">
                  <c:v>25</c:v>
                </c:pt>
                <c:pt idx="73" formatCode="#,##0.0_ ;\-#,##0.0\ ">
                  <c:v>25</c:v>
                </c:pt>
              </c:numCache>
            </c:numRef>
          </c:val>
          <c:smooth val="0"/>
          <c:extLst>
            <c:ext xmlns:c16="http://schemas.microsoft.com/office/drawing/2014/chart" uri="{C3380CC4-5D6E-409C-BE32-E72D297353CC}">
              <c16:uniqueId val="{00000004-8C08-49C7-9710-915FF09857E8}"/>
            </c:ext>
          </c:extLst>
        </c:ser>
        <c:ser>
          <c:idx val="3"/>
          <c:order val="2"/>
          <c:tx>
            <c:strRef>
              <c:f>'Fig 2 data'!$F$5</c:f>
              <c:strCache>
                <c:ptCount val="1"/>
                <c:pt idx="0">
                  <c:v>LTFS  2016</c:v>
                </c:pt>
              </c:strCache>
            </c:strRef>
          </c:tx>
          <c:spPr>
            <a:ln w="38100">
              <a:solidFill>
                <a:srgbClr val="3F403A"/>
              </a:solidFill>
              <a:prstDash val="dash"/>
            </a:ln>
          </c:spPr>
          <c:marker>
            <c:symbol val="none"/>
          </c:marker>
          <c:cat>
            <c:numRef>
              <c:f>'Fig 2 data'!$B$7:$B$80</c:f>
              <c:numCache>
                <c:formatCode>General</c:formatCode>
                <c:ptCount val="7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formatCode="0">
                  <c:v>2025</c:v>
                </c:pt>
                <c:pt idx="34">
                  <c:v>2026</c:v>
                </c:pt>
                <c:pt idx="35" formatCode="0">
                  <c:v>2027</c:v>
                </c:pt>
                <c:pt idx="36">
                  <c:v>2028</c:v>
                </c:pt>
                <c:pt idx="37" formatCode="0">
                  <c:v>2029</c:v>
                </c:pt>
                <c:pt idx="38">
                  <c:v>2030</c:v>
                </c:pt>
                <c:pt idx="39" formatCode="0">
                  <c:v>2031</c:v>
                </c:pt>
                <c:pt idx="40">
                  <c:v>2032</c:v>
                </c:pt>
                <c:pt idx="41" formatCode="0">
                  <c:v>2033</c:v>
                </c:pt>
                <c:pt idx="42">
                  <c:v>2034</c:v>
                </c:pt>
                <c:pt idx="43" formatCode="0">
                  <c:v>2035</c:v>
                </c:pt>
                <c:pt idx="44">
                  <c:v>2036</c:v>
                </c:pt>
                <c:pt idx="45" formatCode="0">
                  <c:v>2037</c:v>
                </c:pt>
                <c:pt idx="46">
                  <c:v>2038</c:v>
                </c:pt>
                <c:pt idx="47" formatCode="0">
                  <c:v>2039</c:v>
                </c:pt>
                <c:pt idx="48">
                  <c:v>2040</c:v>
                </c:pt>
                <c:pt idx="49" formatCode="0">
                  <c:v>2041</c:v>
                </c:pt>
                <c:pt idx="50">
                  <c:v>2042</c:v>
                </c:pt>
                <c:pt idx="51" formatCode="0">
                  <c:v>2043</c:v>
                </c:pt>
                <c:pt idx="52">
                  <c:v>2044</c:v>
                </c:pt>
                <c:pt idx="53" formatCode="0">
                  <c:v>2045</c:v>
                </c:pt>
                <c:pt idx="54">
                  <c:v>2046</c:v>
                </c:pt>
                <c:pt idx="55" formatCode="0">
                  <c:v>2047</c:v>
                </c:pt>
                <c:pt idx="56">
                  <c:v>2048</c:v>
                </c:pt>
                <c:pt idx="57" formatCode="0">
                  <c:v>2049</c:v>
                </c:pt>
                <c:pt idx="58">
                  <c:v>2050</c:v>
                </c:pt>
                <c:pt idx="59" formatCode="0">
                  <c:v>2051</c:v>
                </c:pt>
                <c:pt idx="60">
                  <c:v>2052</c:v>
                </c:pt>
                <c:pt idx="61" formatCode="0">
                  <c:v>2053</c:v>
                </c:pt>
                <c:pt idx="62">
                  <c:v>2054</c:v>
                </c:pt>
                <c:pt idx="63" formatCode="0">
                  <c:v>2055</c:v>
                </c:pt>
                <c:pt idx="64">
                  <c:v>2056</c:v>
                </c:pt>
                <c:pt idx="65" formatCode="0">
                  <c:v>2057</c:v>
                </c:pt>
                <c:pt idx="66">
                  <c:v>2058</c:v>
                </c:pt>
                <c:pt idx="67" formatCode="0">
                  <c:v>2059</c:v>
                </c:pt>
                <c:pt idx="68">
                  <c:v>2060</c:v>
                </c:pt>
                <c:pt idx="69" formatCode="0">
                  <c:v>2061</c:v>
                </c:pt>
                <c:pt idx="70">
                  <c:v>2062</c:v>
                </c:pt>
                <c:pt idx="71" formatCode="0">
                  <c:v>2063</c:v>
                </c:pt>
                <c:pt idx="72">
                  <c:v>2064</c:v>
                </c:pt>
                <c:pt idx="73" formatCode="0">
                  <c:v>2065</c:v>
                </c:pt>
              </c:numCache>
            </c:numRef>
          </c:cat>
          <c:val>
            <c:numRef>
              <c:f>'Fig 2 data'!$F$7:$F$80</c:f>
              <c:numCache>
                <c:formatCode>#,##0_ ;\-#,##0\ </c:formatCode>
                <c:ptCount val="74"/>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pt idx="48">
                  <c:v>12</c:v>
                </c:pt>
                <c:pt idx="49">
                  <c:v>12</c:v>
                </c:pt>
                <c:pt idx="50">
                  <c:v>12</c:v>
                </c:pt>
                <c:pt idx="51">
                  <c:v>12</c:v>
                </c:pt>
                <c:pt idx="52">
                  <c:v>12</c:v>
                </c:pt>
                <c:pt idx="53">
                  <c:v>12</c:v>
                </c:pt>
                <c:pt idx="54">
                  <c:v>12</c:v>
                </c:pt>
                <c:pt idx="55">
                  <c:v>12</c:v>
                </c:pt>
                <c:pt idx="56">
                  <c:v>12</c:v>
                </c:pt>
                <c:pt idx="57">
                  <c:v>12</c:v>
                </c:pt>
                <c:pt idx="58">
                  <c:v>12</c:v>
                </c:pt>
                <c:pt idx="59">
                  <c:v>12</c:v>
                </c:pt>
                <c:pt idx="60">
                  <c:v>12</c:v>
                </c:pt>
                <c:pt idx="61">
                  <c:v>12</c:v>
                </c:pt>
                <c:pt idx="62">
                  <c:v>12</c:v>
                </c:pt>
                <c:pt idx="63">
                  <c:v>12</c:v>
                </c:pt>
                <c:pt idx="64">
                  <c:v>12</c:v>
                </c:pt>
                <c:pt idx="65">
                  <c:v>12</c:v>
                </c:pt>
                <c:pt idx="66">
                  <c:v>12</c:v>
                </c:pt>
                <c:pt idx="67">
                  <c:v>12</c:v>
                </c:pt>
                <c:pt idx="68">
                  <c:v>12</c:v>
                </c:pt>
                <c:pt idx="69">
                  <c:v>12</c:v>
                </c:pt>
                <c:pt idx="70">
                  <c:v>12</c:v>
                </c:pt>
                <c:pt idx="71">
                  <c:v>12</c:v>
                </c:pt>
                <c:pt idx="72">
                  <c:v>12</c:v>
                </c:pt>
                <c:pt idx="73">
                  <c:v>12</c:v>
                </c:pt>
              </c:numCache>
            </c:numRef>
          </c:val>
          <c:smooth val="0"/>
          <c:extLst>
            <c:ext xmlns:c16="http://schemas.microsoft.com/office/drawing/2014/chart" uri="{C3380CC4-5D6E-409C-BE32-E72D297353CC}">
              <c16:uniqueId val="{00000003-8C08-49C7-9710-915FF09857E8}"/>
            </c:ext>
          </c:extLst>
        </c:ser>
        <c:ser>
          <c:idx val="2"/>
          <c:order val="3"/>
          <c:tx>
            <c:strRef>
              <c:f>'Fig 2 data'!$E$5</c:f>
              <c:strCache>
                <c:ptCount val="1"/>
                <c:pt idx="0">
                  <c:v>LTFS  2013</c:v>
                </c:pt>
              </c:strCache>
            </c:strRef>
          </c:tx>
          <c:spPr>
            <a:ln w="38100">
              <a:solidFill>
                <a:srgbClr val="A9A7A5"/>
              </a:solidFill>
              <a:prstDash val="dash"/>
            </a:ln>
          </c:spPr>
          <c:marker>
            <c:symbol val="none"/>
          </c:marker>
          <c:cat>
            <c:numRef>
              <c:f>'Fig 2 data'!$B$7:$B$80</c:f>
              <c:numCache>
                <c:formatCode>General</c:formatCode>
                <c:ptCount val="7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formatCode="0">
                  <c:v>2025</c:v>
                </c:pt>
                <c:pt idx="34">
                  <c:v>2026</c:v>
                </c:pt>
                <c:pt idx="35" formatCode="0">
                  <c:v>2027</c:v>
                </c:pt>
                <c:pt idx="36">
                  <c:v>2028</c:v>
                </c:pt>
                <c:pt idx="37" formatCode="0">
                  <c:v>2029</c:v>
                </c:pt>
                <c:pt idx="38">
                  <c:v>2030</c:v>
                </c:pt>
                <c:pt idx="39" formatCode="0">
                  <c:v>2031</c:v>
                </c:pt>
                <c:pt idx="40">
                  <c:v>2032</c:v>
                </c:pt>
                <c:pt idx="41" formatCode="0">
                  <c:v>2033</c:v>
                </c:pt>
                <c:pt idx="42">
                  <c:v>2034</c:v>
                </c:pt>
                <c:pt idx="43" formatCode="0">
                  <c:v>2035</c:v>
                </c:pt>
                <c:pt idx="44">
                  <c:v>2036</c:v>
                </c:pt>
                <c:pt idx="45" formatCode="0">
                  <c:v>2037</c:v>
                </c:pt>
                <c:pt idx="46">
                  <c:v>2038</c:v>
                </c:pt>
                <c:pt idx="47" formatCode="0">
                  <c:v>2039</c:v>
                </c:pt>
                <c:pt idx="48">
                  <c:v>2040</c:v>
                </c:pt>
                <c:pt idx="49" formatCode="0">
                  <c:v>2041</c:v>
                </c:pt>
                <c:pt idx="50">
                  <c:v>2042</c:v>
                </c:pt>
                <c:pt idx="51" formatCode="0">
                  <c:v>2043</c:v>
                </c:pt>
                <c:pt idx="52">
                  <c:v>2044</c:v>
                </c:pt>
                <c:pt idx="53" formatCode="0">
                  <c:v>2045</c:v>
                </c:pt>
                <c:pt idx="54">
                  <c:v>2046</c:v>
                </c:pt>
                <c:pt idx="55" formatCode="0">
                  <c:v>2047</c:v>
                </c:pt>
                <c:pt idx="56">
                  <c:v>2048</c:v>
                </c:pt>
                <c:pt idx="57" formatCode="0">
                  <c:v>2049</c:v>
                </c:pt>
                <c:pt idx="58">
                  <c:v>2050</c:v>
                </c:pt>
                <c:pt idx="59" formatCode="0">
                  <c:v>2051</c:v>
                </c:pt>
                <c:pt idx="60">
                  <c:v>2052</c:v>
                </c:pt>
                <c:pt idx="61" formatCode="0">
                  <c:v>2053</c:v>
                </c:pt>
                <c:pt idx="62">
                  <c:v>2054</c:v>
                </c:pt>
                <c:pt idx="63" formatCode="0">
                  <c:v>2055</c:v>
                </c:pt>
                <c:pt idx="64">
                  <c:v>2056</c:v>
                </c:pt>
                <c:pt idx="65" formatCode="0">
                  <c:v>2057</c:v>
                </c:pt>
                <c:pt idx="66">
                  <c:v>2058</c:v>
                </c:pt>
                <c:pt idx="67" formatCode="0">
                  <c:v>2059</c:v>
                </c:pt>
                <c:pt idx="68">
                  <c:v>2060</c:v>
                </c:pt>
                <c:pt idx="69" formatCode="0">
                  <c:v>2061</c:v>
                </c:pt>
                <c:pt idx="70">
                  <c:v>2062</c:v>
                </c:pt>
                <c:pt idx="71" formatCode="0">
                  <c:v>2063</c:v>
                </c:pt>
                <c:pt idx="72">
                  <c:v>2064</c:v>
                </c:pt>
                <c:pt idx="73" formatCode="0">
                  <c:v>2065</c:v>
                </c:pt>
              </c:numCache>
            </c:numRef>
          </c:cat>
          <c:val>
            <c:numRef>
              <c:f>'Fig 2 data'!$E$7:$E$80</c:f>
              <c:numCache>
                <c:formatCode>#,##0_ ;\-#,##0\ </c:formatCode>
                <c:ptCount val="74"/>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pt idx="48">
                  <c:v>12</c:v>
                </c:pt>
                <c:pt idx="49">
                  <c:v>12</c:v>
                </c:pt>
                <c:pt idx="50">
                  <c:v>12</c:v>
                </c:pt>
                <c:pt idx="51">
                  <c:v>12</c:v>
                </c:pt>
                <c:pt idx="52">
                  <c:v>12</c:v>
                </c:pt>
                <c:pt idx="53">
                  <c:v>12</c:v>
                </c:pt>
                <c:pt idx="54">
                  <c:v>12</c:v>
                </c:pt>
                <c:pt idx="55">
                  <c:v>12</c:v>
                </c:pt>
                <c:pt idx="56">
                  <c:v>12</c:v>
                </c:pt>
                <c:pt idx="57">
                  <c:v>12</c:v>
                </c:pt>
                <c:pt idx="58">
                  <c:v>12</c:v>
                </c:pt>
                <c:pt idx="59">
                  <c:v>12</c:v>
                </c:pt>
                <c:pt idx="60">
                  <c:v>12</c:v>
                </c:pt>
                <c:pt idx="61">
                  <c:v>12</c:v>
                </c:pt>
                <c:pt idx="62">
                  <c:v>12</c:v>
                </c:pt>
                <c:pt idx="63">
                  <c:v>12</c:v>
                </c:pt>
                <c:pt idx="64">
                  <c:v>12</c:v>
                </c:pt>
                <c:pt idx="65">
                  <c:v>12</c:v>
                </c:pt>
                <c:pt idx="66">
                  <c:v>12</c:v>
                </c:pt>
                <c:pt idx="67">
                  <c:v>12</c:v>
                </c:pt>
                <c:pt idx="68">
                  <c:v>12</c:v>
                </c:pt>
                <c:pt idx="69">
                  <c:v>12</c:v>
                </c:pt>
                <c:pt idx="70">
                  <c:v>12</c:v>
                </c:pt>
                <c:pt idx="71">
                  <c:v>12</c:v>
                </c:pt>
                <c:pt idx="72">
                  <c:v>12</c:v>
                </c:pt>
                <c:pt idx="73">
                  <c:v>12</c:v>
                </c:pt>
              </c:numCache>
            </c:numRef>
          </c:val>
          <c:smooth val="0"/>
          <c:extLst>
            <c:ext xmlns:c16="http://schemas.microsoft.com/office/drawing/2014/chart" uri="{C3380CC4-5D6E-409C-BE32-E72D297353CC}">
              <c16:uniqueId val="{00000002-8C08-49C7-9710-915FF09857E8}"/>
            </c:ext>
          </c:extLst>
        </c:ser>
        <c:ser>
          <c:idx val="1"/>
          <c:order val="4"/>
          <c:tx>
            <c:strRef>
              <c:f>'Fig 2 data'!$D$5</c:f>
              <c:strCache>
                <c:ptCount val="1"/>
                <c:pt idx="0">
                  <c:v>LTFS 2009</c:v>
                </c:pt>
              </c:strCache>
            </c:strRef>
          </c:tx>
          <c:spPr>
            <a:ln w="38100">
              <a:solidFill>
                <a:srgbClr val="00B5E4"/>
              </a:solidFill>
              <a:prstDash val="lgDash"/>
            </a:ln>
          </c:spPr>
          <c:marker>
            <c:symbol val="none"/>
          </c:marker>
          <c:cat>
            <c:numRef>
              <c:f>'Fig 2 data'!$B$7:$B$80</c:f>
              <c:numCache>
                <c:formatCode>General</c:formatCode>
                <c:ptCount val="7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formatCode="0">
                  <c:v>2025</c:v>
                </c:pt>
                <c:pt idx="34">
                  <c:v>2026</c:v>
                </c:pt>
                <c:pt idx="35" formatCode="0">
                  <c:v>2027</c:v>
                </c:pt>
                <c:pt idx="36">
                  <c:v>2028</c:v>
                </c:pt>
                <c:pt idx="37" formatCode="0">
                  <c:v>2029</c:v>
                </c:pt>
                <c:pt idx="38">
                  <c:v>2030</c:v>
                </c:pt>
                <c:pt idx="39" formatCode="0">
                  <c:v>2031</c:v>
                </c:pt>
                <c:pt idx="40">
                  <c:v>2032</c:v>
                </c:pt>
                <c:pt idx="41" formatCode="0">
                  <c:v>2033</c:v>
                </c:pt>
                <c:pt idx="42">
                  <c:v>2034</c:v>
                </c:pt>
                <c:pt idx="43" formatCode="0">
                  <c:v>2035</c:v>
                </c:pt>
                <c:pt idx="44">
                  <c:v>2036</c:v>
                </c:pt>
                <c:pt idx="45" formatCode="0">
                  <c:v>2037</c:v>
                </c:pt>
                <c:pt idx="46">
                  <c:v>2038</c:v>
                </c:pt>
                <c:pt idx="47" formatCode="0">
                  <c:v>2039</c:v>
                </c:pt>
                <c:pt idx="48">
                  <c:v>2040</c:v>
                </c:pt>
                <c:pt idx="49" formatCode="0">
                  <c:v>2041</c:v>
                </c:pt>
                <c:pt idx="50">
                  <c:v>2042</c:v>
                </c:pt>
                <c:pt idx="51" formatCode="0">
                  <c:v>2043</c:v>
                </c:pt>
                <c:pt idx="52">
                  <c:v>2044</c:v>
                </c:pt>
                <c:pt idx="53" formatCode="0">
                  <c:v>2045</c:v>
                </c:pt>
                <c:pt idx="54">
                  <c:v>2046</c:v>
                </c:pt>
                <c:pt idx="55" formatCode="0">
                  <c:v>2047</c:v>
                </c:pt>
                <c:pt idx="56">
                  <c:v>2048</c:v>
                </c:pt>
                <c:pt idx="57" formatCode="0">
                  <c:v>2049</c:v>
                </c:pt>
                <c:pt idx="58">
                  <c:v>2050</c:v>
                </c:pt>
                <c:pt idx="59" formatCode="0">
                  <c:v>2051</c:v>
                </c:pt>
                <c:pt idx="60">
                  <c:v>2052</c:v>
                </c:pt>
                <c:pt idx="61" formatCode="0">
                  <c:v>2053</c:v>
                </c:pt>
                <c:pt idx="62">
                  <c:v>2054</c:v>
                </c:pt>
                <c:pt idx="63" formatCode="0">
                  <c:v>2055</c:v>
                </c:pt>
                <c:pt idx="64">
                  <c:v>2056</c:v>
                </c:pt>
                <c:pt idx="65" formatCode="0">
                  <c:v>2057</c:v>
                </c:pt>
                <c:pt idx="66">
                  <c:v>2058</c:v>
                </c:pt>
                <c:pt idx="67" formatCode="0">
                  <c:v>2059</c:v>
                </c:pt>
                <c:pt idx="68">
                  <c:v>2060</c:v>
                </c:pt>
                <c:pt idx="69" formatCode="0">
                  <c:v>2061</c:v>
                </c:pt>
                <c:pt idx="70">
                  <c:v>2062</c:v>
                </c:pt>
                <c:pt idx="71" formatCode="0">
                  <c:v>2063</c:v>
                </c:pt>
                <c:pt idx="72">
                  <c:v>2064</c:v>
                </c:pt>
                <c:pt idx="73" formatCode="0">
                  <c:v>2065</c:v>
                </c:pt>
              </c:numCache>
            </c:numRef>
          </c:cat>
          <c:val>
            <c:numRef>
              <c:f>'Fig 2 data'!$D$7:$D$80</c:f>
              <c:numCache>
                <c:formatCode>#,##0_ ;\-#,##0\ </c:formatCode>
                <c:ptCount val="74"/>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10</c:v>
                </c:pt>
                <c:pt idx="54">
                  <c:v>10</c:v>
                </c:pt>
                <c:pt idx="55">
                  <c:v>10</c:v>
                </c:pt>
                <c:pt idx="56">
                  <c:v>10</c:v>
                </c:pt>
                <c:pt idx="57">
                  <c:v>10</c:v>
                </c:pt>
                <c:pt idx="58">
                  <c:v>10</c:v>
                </c:pt>
                <c:pt idx="59">
                  <c:v>10</c:v>
                </c:pt>
                <c:pt idx="60">
                  <c:v>10</c:v>
                </c:pt>
                <c:pt idx="61">
                  <c:v>10</c:v>
                </c:pt>
                <c:pt idx="62">
                  <c:v>10</c:v>
                </c:pt>
                <c:pt idx="63">
                  <c:v>10</c:v>
                </c:pt>
                <c:pt idx="64">
                  <c:v>10</c:v>
                </c:pt>
                <c:pt idx="65">
                  <c:v>10</c:v>
                </c:pt>
                <c:pt idx="66">
                  <c:v>10</c:v>
                </c:pt>
                <c:pt idx="67">
                  <c:v>10</c:v>
                </c:pt>
                <c:pt idx="68">
                  <c:v>10</c:v>
                </c:pt>
                <c:pt idx="69">
                  <c:v>10</c:v>
                </c:pt>
                <c:pt idx="70">
                  <c:v>10</c:v>
                </c:pt>
                <c:pt idx="71">
                  <c:v>10</c:v>
                </c:pt>
                <c:pt idx="72">
                  <c:v>10</c:v>
                </c:pt>
                <c:pt idx="73">
                  <c:v>10</c:v>
                </c:pt>
              </c:numCache>
            </c:numRef>
          </c:val>
          <c:smooth val="0"/>
          <c:extLst>
            <c:ext xmlns:c16="http://schemas.microsoft.com/office/drawing/2014/chart" uri="{C3380CC4-5D6E-409C-BE32-E72D297353CC}">
              <c16:uniqueId val="{00000001-8C08-49C7-9710-915FF09857E8}"/>
            </c:ext>
          </c:extLst>
        </c:ser>
        <c:ser>
          <c:idx val="0"/>
          <c:order val="5"/>
          <c:tx>
            <c:strRef>
              <c:f>'Fig 2 data'!$C$5</c:f>
              <c:strCache>
                <c:ptCount val="1"/>
                <c:pt idx="0">
                  <c:v>LTFS 2006</c:v>
                </c:pt>
              </c:strCache>
            </c:strRef>
          </c:tx>
          <c:spPr>
            <a:ln w="38100">
              <a:solidFill>
                <a:srgbClr val="0083AC"/>
              </a:solidFill>
              <a:prstDash val="dash"/>
            </a:ln>
          </c:spPr>
          <c:marker>
            <c:symbol val="none"/>
          </c:marker>
          <c:cat>
            <c:numRef>
              <c:f>'Fig 2 data'!$B$7:$B$80</c:f>
              <c:numCache>
                <c:formatCode>General</c:formatCode>
                <c:ptCount val="7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formatCode="0">
                  <c:v>2025</c:v>
                </c:pt>
                <c:pt idx="34">
                  <c:v>2026</c:v>
                </c:pt>
                <c:pt idx="35" formatCode="0">
                  <c:v>2027</c:v>
                </c:pt>
                <c:pt idx="36">
                  <c:v>2028</c:v>
                </c:pt>
                <c:pt idx="37" formatCode="0">
                  <c:v>2029</c:v>
                </c:pt>
                <c:pt idx="38">
                  <c:v>2030</c:v>
                </c:pt>
                <c:pt idx="39" formatCode="0">
                  <c:v>2031</c:v>
                </c:pt>
                <c:pt idx="40">
                  <c:v>2032</c:v>
                </c:pt>
                <c:pt idx="41" formatCode="0">
                  <c:v>2033</c:v>
                </c:pt>
                <c:pt idx="42">
                  <c:v>2034</c:v>
                </c:pt>
                <c:pt idx="43" formatCode="0">
                  <c:v>2035</c:v>
                </c:pt>
                <c:pt idx="44">
                  <c:v>2036</c:v>
                </c:pt>
                <c:pt idx="45" formatCode="0">
                  <c:v>2037</c:v>
                </c:pt>
                <c:pt idx="46">
                  <c:v>2038</c:v>
                </c:pt>
                <c:pt idx="47" formatCode="0">
                  <c:v>2039</c:v>
                </c:pt>
                <c:pt idx="48">
                  <c:v>2040</c:v>
                </c:pt>
                <c:pt idx="49" formatCode="0">
                  <c:v>2041</c:v>
                </c:pt>
                <c:pt idx="50">
                  <c:v>2042</c:v>
                </c:pt>
                <c:pt idx="51" formatCode="0">
                  <c:v>2043</c:v>
                </c:pt>
                <c:pt idx="52">
                  <c:v>2044</c:v>
                </c:pt>
                <c:pt idx="53" formatCode="0">
                  <c:v>2045</c:v>
                </c:pt>
                <c:pt idx="54">
                  <c:v>2046</c:v>
                </c:pt>
                <c:pt idx="55" formatCode="0">
                  <c:v>2047</c:v>
                </c:pt>
                <c:pt idx="56">
                  <c:v>2048</c:v>
                </c:pt>
                <c:pt idx="57" formatCode="0">
                  <c:v>2049</c:v>
                </c:pt>
                <c:pt idx="58">
                  <c:v>2050</c:v>
                </c:pt>
                <c:pt idx="59" formatCode="0">
                  <c:v>2051</c:v>
                </c:pt>
                <c:pt idx="60">
                  <c:v>2052</c:v>
                </c:pt>
                <c:pt idx="61" formatCode="0">
                  <c:v>2053</c:v>
                </c:pt>
                <c:pt idx="62">
                  <c:v>2054</c:v>
                </c:pt>
                <c:pt idx="63" formatCode="0">
                  <c:v>2055</c:v>
                </c:pt>
                <c:pt idx="64">
                  <c:v>2056</c:v>
                </c:pt>
                <c:pt idx="65" formatCode="0">
                  <c:v>2057</c:v>
                </c:pt>
                <c:pt idx="66">
                  <c:v>2058</c:v>
                </c:pt>
                <c:pt idx="67" formatCode="0">
                  <c:v>2059</c:v>
                </c:pt>
                <c:pt idx="68">
                  <c:v>2060</c:v>
                </c:pt>
                <c:pt idx="69" formatCode="0">
                  <c:v>2061</c:v>
                </c:pt>
                <c:pt idx="70">
                  <c:v>2062</c:v>
                </c:pt>
                <c:pt idx="71" formatCode="0">
                  <c:v>2063</c:v>
                </c:pt>
                <c:pt idx="72">
                  <c:v>2064</c:v>
                </c:pt>
                <c:pt idx="73" formatCode="0">
                  <c:v>2065</c:v>
                </c:pt>
              </c:numCache>
            </c:numRef>
          </c:cat>
          <c:val>
            <c:numRef>
              <c:f>'Fig 2 data'!$C$7:$C$80</c:f>
              <c:numCache>
                <c:formatCode>#,##0_ ;\-#,##0\ </c:formatCode>
                <c:ptCount val="74"/>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pt idx="45">
                  <c:v>10</c:v>
                </c:pt>
                <c:pt idx="46">
                  <c:v>10</c:v>
                </c:pt>
                <c:pt idx="47">
                  <c:v>10</c:v>
                </c:pt>
                <c:pt idx="48">
                  <c:v>10</c:v>
                </c:pt>
                <c:pt idx="49">
                  <c:v>10</c:v>
                </c:pt>
                <c:pt idx="50">
                  <c:v>10</c:v>
                </c:pt>
                <c:pt idx="51">
                  <c:v>10</c:v>
                </c:pt>
                <c:pt idx="52">
                  <c:v>10</c:v>
                </c:pt>
                <c:pt idx="53">
                  <c:v>10</c:v>
                </c:pt>
                <c:pt idx="54">
                  <c:v>10</c:v>
                </c:pt>
                <c:pt idx="55">
                  <c:v>10</c:v>
                </c:pt>
                <c:pt idx="56">
                  <c:v>10</c:v>
                </c:pt>
                <c:pt idx="57">
                  <c:v>10</c:v>
                </c:pt>
                <c:pt idx="58">
                  <c:v>10</c:v>
                </c:pt>
                <c:pt idx="59">
                  <c:v>10</c:v>
                </c:pt>
                <c:pt idx="60">
                  <c:v>10</c:v>
                </c:pt>
                <c:pt idx="61">
                  <c:v>10</c:v>
                </c:pt>
                <c:pt idx="62">
                  <c:v>10</c:v>
                </c:pt>
                <c:pt idx="63">
                  <c:v>10</c:v>
                </c:pt>
                <c:pt idx="64">
                  <c:v>10</c:v>
                </c:pt>
                <c:pt idx="65">
                  <c:v>10</c:v>
                </c:pt>
                <c:pt idx="66">
                  <c:v>10</c:v>
                </c:pt>
                <c:pt idx="67">
                  <c:v>10</c:v>
                </c:pt>
                <c:pt idx="68">
                  <c:v>10</c:v>
                </c:pt>
                <c:pt idx="69">
                  <c:v>10</c:v>
                </c:pt>
                <c:pt idx="70">
                  <c:v>10</c:v>
                </c:pt>
                <c:pt idx="71">
                  <c:v>10</c:v>
                </c:pt>
                <c:pt idx="72">
                  <c:v>10</c:v>
                </c:pt>
                <c:pt idx="73">
                  <c:v>10</c:v>
                </c:pt>
              </c:numCache>
            </c:numRef>
          </c:val>
          <c:smooth val="0"/>
          <c:extLst>
            <c:ext xmlns:c16="http://schemas.microsoft.com/office/drawing/2014/chart" uri="{C3380CC4-5D6E-409C-BE32-E72D297353CC}">
              <c16:uniqueId val="{00000000-8C08-49C7-9710-915FF09857E8}"/>
            </c:ext>
          </c:extLst>
        </c:ser>
        <c:ser>
          <c:idx val="6"/>
          <c:order val="6"/>
          <c:tx>
            <c:strRef>
              <c:f>'Fig 2 data'!$I$5</c:f>
              <c:strCache>
                <c:ptCount val="1"/>
                <c:pt idx="0">
                  <c:v>Actual</c:v>
                </c:pt>
              </c:strCache>
            </c:strRef>
          </c:tx>
          <c:spPr>
            <a:ln w="38100">
              <a:solidFill>
                <a:srgbClr val="3E403A"/>
              </a:solidFill>
            </a:ln>
          </c:spPr>
          <c:marker>
            <c:symbol val="none"/>
          </c:marker>
          <c:cat>
            <c:numRef>
              <c:f>'Fig 2 data'!$B$7:$B$80</c:f>
              <c:numCache>
                <c:formatCode>General</c:formatCode>
                <c:ptCount val="7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formatCode="0">
                  <c:v>2025</c:v>
                </c:pt>
                <c:pt idx="34">
                  <c:v>2026</c:v>
                </c:pt>
                <c:pt idx="35" formatCode="0">
                  <c:v>2027</c:v>
                </c:pt>
                <c:pt idx="36">
                  <c:v>2028</c:v>
                </c:pt>
                <c:pt idx="37" formatCode="0">
                  <c:v>2029</c:v>
                </c:pt>
                <c:pt idx="38">
                  <c:v>2030</c:v>
                </c:pt>
                <c:pt idx="39" formatCode="0">
                  <c:v>2031</c:v>
                </c:pt>
                <c:pt idx="40">
                  <c:v>2032</c:v>
                </c:pt>
                <c:pt idx="41" formatCode="0">
                  <c:v>2033</c:v>
                </c:pt>
                <c:pt idx="42">
                  <c:v>2034</c:v>
                </c:pt>
                <c:pt idx="43" formatCode="0">
                  <c:v>2035</c:v>
                </c:pt>
                <c:pt idx="44">
                  <c:v>2036</c:v>
                </c:pt>
                <c:pt idx="45" formatCode="0">
                  <c:v>2037</c:v>
                </c:pt>
                <c:pt idx="46">
                  <c:v>2038</c:v>
                </c:pt>
                <c:pt idx="47" formatCode="0">
                  <c:v>2039</c:v>
                </c:pt>
                <c:pt idx="48">
                  <c:v>2040</c:v>
                </c:pt>
                <c:pt idx="49" formatCode="0">
                  <c:v>2041</c:v>
                </c:pt>
                <c:pt idx="50">
                  <c:v>2042</c:v>
                </c:pt>
                <c:pt idx="51" formatCode="0">
                  <c:v>2043</c:v>
                </c:pt>
                <c:pt idx="52">
                  <c:v>2044</c:v>
                </c:pt>
                <c:pt idx="53" formatCode="0">
                  <c:v>2045</c:v>
                </c:pt>
                <c:pt idx="54">
                  <c:v>2046</c:v>
                </c:pt>
                <c:pt idx="55" formatCode="0">
                  <c:v>2047</c:v>
                </c:pt>
                <c:pt idx="56">
                  <c:v>2048</c:v>
                </c:pt>
                <c:pt idx="57" formatCode="0">
                  <c:v>2049</c:v>
                </c:pt>
                <c:pt idx="58">
                  <c:v>2050</c:v>
                </c:pt>
                <c:pt idx="59" formatCode="0">
                  <c:v>2051</c:v>
                </c:pt>
                <c:pt idx="60">
                  <c:v>2052</c:v>
                </c:pt>
                <c:pt idx="61" formatCode="0">
                  <c:v>2053</c:v>
                </c:pt>
                <c:pt idx="62">
                  <c:v>2054</c:v>
                </c:pt>
                <c:pt idx="63" formatCode="0">
                  <c:v>2055</c:v>
                </c:pt>
                <c:pt idx="64">
                  <c:v>2056</c:v>
                </c:pt>
                <c:pt idx="65" formatCode="0">
                  <c:v>2057</c:v>
                </c:pt>
                <c:pt idx="66">
                  <c:v>2058</c:v>
                </c:pt>
                <c:pt idx="67" formatCode="0">
                  <c:v>2059</c:v>
                </c:pt>
                <c:pt idx="68">
                  <c:v>2060</c:v>
                </c:pt>
                <c:pt idx="69" formatCode="0">
                  <c:v>2061</c:v>
                </c:pt>
                <c:pt idx="70">
                  <c:v>2062</c:v>
                </c:pt>
                <c:pt idx="71" formatCode="0">
                  <c:v>2063</c:v>
                </c:pt>
                <c:pt idx="72">
                  <c:v>2064</c:v>
                </c:pt>
                <c:pt idx="73" formatCode="0">
                  <c:v>2065</c:v>
                </c:pt>
              </c:numCache>
            </c:numRef>
          </c:cat>
          <c:val>
            <c:numRef>
              <c:f>'Fig 2 data'!$I$7:$I$80</c:f>
              <c:numCache>
                <c:formatCode>#,##0.0_ ;\-#,##0.0\ </c:formatCode>
                <c:ptCount val="74"/>
                <c:pt idx="0">
                  <c:v>3.6</c:v>
                </c:pt>
                <c:pt idx="1">
                  <c:v>8.6999999999999993</c:v>
                </c:pt>
                <c:pt idx="2">
                  <c:v>16.8</c:v>
                </c:pt>
                <c:pt idx="3">
                  <c:v>22.7</c:v>
                </c:pt>
                <c:pt idx="4">
                  <c:v>29.5</c:v>
                </c:pt>
                <c:pt idx="5">
                  <c:v>16.8</c:v>
                </c:pt>
                <c:pt idx="6">
                  <c:v>0.5</c:v>
                </c:pt>
                <c:pt idx="7">
                  <c:v>-11.4</c:v>
                </c:pt>
                <c:pt idx="8">
                  <c:v>-9.8000000000000007</c:v>
                </c:pt>
                <c:pt idx="9">
                  <c:v>-9.3000000000000007</c:v>
                </c:pt>
                <c:pt idx="10">
                  <c:v>32.799999999999997</c:v>
                </c:pt>
                <c:pt idx="11">
                  <c:v>42.5</c:v>
                </c:pt>
                <c:pt idx="12">
                  <c:v>22</c:v>
                </c:pt>
                <c:pt idx="13">
                  <c:v>8.6</c:v>
                </c:pt>
                <c:pt idx="14">
                  <c:v>10.7</c:v>
                </c:pt>
                <c:pt idx="15">
                  <c:v>10.1</c:v>
                </c:pt>
                <c:pt idx="16">
                  <c:v>4.7</c:v>
                </c:pt>
                <c:pt idx="17">
                  <c:v>12.5</c:v>
                </c:pt>
                <c:pt idx="18">
                  <c:v>16.5</c:v>
                </c:pt>
                <c:pt idx="19">
                  <c:v>3.9</c:v>
                </c:pt>
                <c:pt idx="20">
                  <c:v>-3.2</c:v>
                </c:pt>
                <c:pt idx="21">
                  <c:v>7.9</c:v>
                </c:pt>
                <c:pt idx="22">
                  <c:v>33.5</c:v>
                </c:pt>
                <c:pt idx="23">
                  <c:v>53.4</c:v>
                </c:pt>
                <c:pt idx="24">
                  <c:v>64.599999999999994</c:v>
                </c:pt>
                <c:pt idx="25">
                  <c:v>59.5</c:v>
                </c:pt>
                <c:pt idx="26">
                  <c:v>49</c:v>
                </c:pt>
                <c:pt idx="27">
                  <c:v>52.1</c:v>
                </c:pt>
                <c:pt idx="28">
                  <c:v>84.8</c:v>
                </c:pt>
                <c:pt idx="29">
                  <c:v>-6.6</c:v>
                </c:pt>
                <c:pt idx="30">
                  <c:v>-17.7</c:v>
                </c:pt>
                <c:pt idx="31">
                  <c:v>108.4</c:v>
                </c:pt>
                <c:pt idx="32">
                  <c:v>70.400000000000006</c:v>
                </c:pt>
                <c:pt idx="33">
                  <c:v>13.7</c:v>
                </c:pt>
              </c:numCache>
            </c:numRef>
          </c:val>
          <c:smooth val="0"/>
          <c:extLst>
            <c:ext xmlns:c16="http://schemas.microsoft.com/office/drawing/2014/chart" uri="{C3380CC4-5D6E-409C-BE32-E72D297353CC}">
              <c16:uniqueId val="{00000006-8C08-49C7-9710-915FF09857E8}"/>
            </c:ext>
          </c:extLst>
        </c:ser>
        <c:dLbls>
          <c:showLegendKey val="0"/>
          <c:showVal val="0"/>
          <c:showCatName val="0"/>
          <c:showSerName val="0"/>
          <c:showPercent val="0"/>
          <c:showBubbleSize val="0"/>
        </c:dLbls>
        <c:smooth val="0"/>
        <c:axId val="1537481008"/>
        <c:axId val="1537479568"/>
      </c:lineChart>
      <c:catAx>
        <c:axId val="1537481008"/>
        <c:scaling>
          <c:orientation val="minMax"/>
        </c:scaling>
        <c:delete val="0"/>
        <c:axPos val="b"/>
        <c:title>
          <c:tx>
            <c:rich>
              <a:bodyPr/>
              <a:lstStyle/>
              <a:p>
                <a:pPr algn="ctr">
                  <a:defRPr sz="1800" b="1">
                    <a:solidFill>
                      <a:srgbClr val="000000"/>
                    </a:solidFill>
                    <a:latin typeface="Arial"/>
                    <a:ea typeface="Arial"/>
                    <a:cs typeface="Arial"/>
                  </a:defRPr>
                </a:pPr>
                <a:r>
                  <a:rPr lang="en-NZ"/>
                  <a:t>Year ending 30 June</a:t>
                </a:r>
              </a:p>
            </c:rich>
          </c:tx>
          <c:layout>
            <c:manualLayout>
              <c:xMode val="edge"/>
              <c:yMode val="edge"/>
              <c:x val="0.38293449809881835"/>
              <c:y val="0.82658439753854296"/>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537479568"/>
        <c:crossesAt val="-20"/>
        <c:auto val="1"/>
        <c:lblAlgn val="ctr"/>
        <c:lblOffset val="100"/>
        <c:tickLblSkip val="10"/>
        <c:tickMarkSkip val="10"/>
        <c:noMultiLvlLbl val="0"/>
      </c:catAx>
      <c:valAx>
        <c:axId val="1537479568"/>
        <c:scaling>
          <c:orientation val="minMax"/>
          <c:min val="-20"/>
        </c:scaling>
        <c:delete val="0"/>
        <c:axPos val="l"/>
        <c:majorGridlines>
          <c:spPr>
            <a:ln w="9525">
              <a:solidFill>
                <a:schemeClr val="bg1">
                  <a:lumMod val="50000"/>
                </a:schemeClr>
              </a:solidFill>
            </a:ln>
          </c:spPr>
        </c:majorGridlines>
        <c:numFmt formatCode="#,##0_ ;\-#,##0\ "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rgbClr val="000000"/>
                </a:solidFill>
                <a:latin typeface="Arial"/>
                <a:ea typeface="Arial"/>
                <a:cs typeface="Arial"/>
              </a:defRPr>
            </a:pPr>
            <a:endParaRPr lang="en-US"/>
          </a:p>
        </c:txPr>
        <c:crossAx val="1537481008"/>
        <c:crosses val="autoZero"/>
        <c:crossBetween val="midCat"/>
      </c:valAx>
    </c:plotArea>
    <c:legend>
      <c:legendPos val="b"/>
      <c:layout>
        <c:manualLayout>
          <c:xMode val="edge"/>
          <c:yMode val="edge"/>
          <c:x val="3.5535616187511436E-2"/>
          <c:y val="0.87415685171706481"/>
          <c:w val="0.92675075670260776"/>
          <c:h val="0.1237525640177331"/>
        </c:manualLayout>
      </c:layout>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518446997594644E-2"/>
          <c:y val="9.0854207631476766E-2"/>
          <c:w val="0.94345144544834858"/>
          <c:h val="0.76382434303925251"/>
        </c:manualLayout>
      </c:layout>
      <c:barChart>
        <c:barDir val="col"/>
        <c:grouping val="stacked"/>
        <c:varyColors val="0"/>
        <c:ser>
          <c:idx val="0"/>
          <c:order val="0"/>
          <c:tx>
            <c:strRef>
              <c:f>'Fig 3 data'!$B$7</c:f>
              <c:strCache>
                <c:ptCount val="1"/>
                <c:pt idx="0">
                  <c:v>0-14</c:v>
                </c:pt>
              </c:strCache>
            </c:strRef>
          </c:tx>
          <c:spPr>
            <a:solidFill>
              <a:srgbClr val="0083AC"/>
            </a:solidFill>
            <a:ln>
              <a:noFill/>
            </a:ln>
            <a:effectLst/>
          </c:spPr>
          <c:invertIfNegative val="0"/>
          <c:cat>
            <c:strRef>
              <c:f>'Fig 3 data'!$C$5:$E$5</c:f>
              <c:strCache>
                <c:ptCount val="3"/>
                <c:pt idx="0">
                  <c:v>2006</c:v>
                </c:pt>
                <c:pt idx="1">
                  <c:v>2025 (as projected in 2006)</c:v>
                </c:pt>
                <c:pt idx="2">
                  <c:v>2025 (current) </c:v>
                </c:pt>
              </c:strCache>
            </c:strRef>
          </c:cat>
          <c:val>
            <c:numRef>
              <c:f>'Fig 3 data'!$C$7:$E$7</c:f>
              <c:numCache>
                <c:formatCode>0.0</c:formatCode>
                <c:ptCount val="3"/>
                <c:pt idx="0">
                  <c:v>22.601934291679665</c:v>
                </c:pt>
                <c:pt idx="1">
                  <c:v>17.299198762657504</c:v>
                </c:pt>
                <c:pt idx="2">
                  <c:v>19.25263255987327</c:v>
                </c:pt>
              </c:numCache>
            </c:numRef>
          </c:val>
          <c:extLst>
            <c:ext xmlns:c16="http://schemas.microsoft.com/office/drawing/2014/chart" uri="{C3380CC4-5D6E-409C-BE32-E72D297353CC}">
              <c16:uniqueId val="{00000000-1B02-4228-9742-D5248C034D16}"/>
            </c:ext>
          </c:extLst>
        </c:ser>
        <c:ser>
          <c:idx val="1"/>
          <c:order val="1"/>
          <c:tx>
            <c:strRef>
              <c:f>'Fig 3 data'!$B$8</c:f>
              <c:strCache>
                <c:ptCount val="1"/>
                <c:pt idx="0">
                  <c:v>15-64</c:v>
                </c:pt>
              </c:strCache>
            </c:strRef>
          </c:tx>
          <c:spPr>
            <a:solidFill>
              <a:srgbClr val="67A854"/>
            </a:solidFill>
            <a:ln>
              <a:noFill/>
            </a:ln>
            <a:effectLst/>
          </c:spPr>
          <c:invertIfNegative val="0"/>
          <c:cat>
            <c:strRef>
              <c:f>'Fig 3 data'!$C$5:$E$5</c:f>
              <c:strCache>
                <c:ptCount val="3"/>
                <c:pt idx="0">
                  <c:v>2006</c:v>
                </c:pt>
                <c:pt idx="1">
                  <c:v>2025 (as projected in 2006)</c:v>
                </c:pt>
                <c:pt idx="2">
                  <c:v>2025 (current) </c:v>
                </c:pt>
              </c:strCache>
            </c:strRef>
          </c:cat>
          <c:val>
            <c:numRef>
              <c:f>'Fig 3 data'!$C$8:$E$8</c:f>
              <c:numCache>
                <c:formatCode>0.0</c:formatCode>
                <c:ptCount val="3"/>
                <c:pt idx="0">
                  <c:v>65.384920031217376</c:v>
                </c:pt>
                <c:pt idx="1">
                  <c:v>63.25764278039663</c:v>
                </c:pt>
                <c:pt idx="2">
                  <c:v>64.089543546671578</c:v>
                </c:pt>
              </c:numCache>
            </c:numRef>
          </c:val>
          <c:extLst>
            <c:ext xmlns:c16="http://schemas.microsoft.com/office/drawing/2014/chart" uri="{C3380CC4-5D6E-409C-BE32-E72D297353CC}">
              <c16:uniqueId val="{00000001-1B02-4228-9742-D5248C034D16}"/>
            </c:ext>
          </c:extLst>
        </c:ser>
        <c:ser>
          <c:idx val="2"/>
          <c:order val="2"/>
          <c:tx>
            <c:strRef>
              <c:f>'Fig 3 data'!$B$9</c:f>
              <c:strCache>
                <c:ptCount val="1"/>
                <c:pt idx="0">
                  <c:v>65+</c:v>
                </c:pt>
              </c:strCache>
            </c:strRef>
          </c:tx>
          <c:spPr>
            <a:solidFill>
              <a:srgbClr val="3F403A"/>
            </a:solidFill>
            <a:ln>
              <a:noFill/>
            </a:ln>
            <a:effectLst/>
          </c:spPr>
          <c:invertIfNegative val="0"/>
          <c:cat>
            <c:strRef>
              <c:f>'Fig 3 data'!$C$5:$E$5</c:f>
              <c:strCache>
                <c:ptCount val="3"/>
                <c:pt idx="0">
                  <c:v>2006</c:v>
                </c:pt>
                <c:pt idx="1">
                  <c:v>2025 (as projected in 2006)</c:v>
                </c:pt>
                <c:pt idx="2">
                  <c:v>2025 (current) </c:v>
                </c:pt>
              </c:strCache>
            </c:strRef>
          </c:cat>
          <c:val>
            <c:numRef>
              <c:f>'Fig 3 data'!$C$9:$E$9</c:f>
              <c:numCache>
                <c:formatCode>0.0</c:formatCode>
                <c:ptCount val="3"/>
                <c:pt idx="0">
                  <c:v>12.013145677102925</c:v>
                </c:pt>
                <c:pt idx="1">
                  <c:v>19.443158456945884</c:v>
                </c:pt>
                <c:pt idx="2">
                  <c:v>16.657823893455156</c:v>
                </c:pt>
              </c:numCache>
            </c:numRef>
          </c:val>
          <c:extLst>
            <c:ext xmlns:c16="http://schemas.microsoft.com/office/drawing/2014/chart" uri="{C3380CC4-5D6E-409C-BE32-E72D297353CC}">
              <c16:uniqueId val="{00000002-1B02-4228-9742-D5248C034D16}"/>
            </c:ext>
          </c:extLst>
        </c:ser>
        <c:ser>
          <c:idx val="3"/>
          <c:order val="3"/>
          <c:tx>
            <c:strRef>
              <c:f>'Fig 3 data'!$B$10</c:f>
              <c:strCache>
                <c:ptCount val="1"/>
              </c:strCache>
            </c:strRef>
          </c:tx>
          <c:spPr>
            <a:solidFill>
              <a:srgbClr val="A9A7A5"/>
            </a:solidFill>
            <a:ln>
              <a:noFill/>
            </a:ln>
            <a:effectLst/>
          </c:spPr>
          <c:invertIfNegative val="0"/>
          <c:cat>
            <c:strRef>
              <c:f>'Fig 3 data'!$C$5:$E$5</c:f>
              <c:strCache>
                <c:ptCount val="3"/>
                <c:pt idx="0">
                  <c:v>2006</c:v>
                </c:pt>
                <c:pt idx="1">
                  <c:v>2025 (as projected in 2006)</c:v>
                </c:pt>
                <c:pt idx="2">
                  <c:v>2025 (current) </c:v>
                </c:pt>
              </c:strCache>
            </c:strRef>
          </c:cat>
          <c:val>
            <c:numRef>
              <c:f>'Fig 3 data'!$C$10:$E$10</c:f>
              <c:numCache>
                <c:formatCode>0.0</c:formatCode>
                <c:ptCount val="3"/>
              </c:numCache>
            </c:numRef>
          </c:val>
          <c:extLst>
            <c:ext xmlns:c16="http://schemas.microsoft.com/office/drawing/2014/chart" uri="{C3380CC4-5D6E-409C-BE32-E72D297353CC}">
              <c16:uniqueId val="{00000003-1B02-4228-9742-D5248C034D16}"/>
            </c:ext>
          </c:extLst>
        </c:ser>
        <c:ser>
          <c:idx val="4"/>
          <c:order val="4"/>
          <c:tx>
            <c:strRef>
              <c:f>'Fig 3 data'!$B$11</c:f>
              <c:strCache>
                <c:ptCount val="1"/>
              </c:strCache>
            </c:strRef>
          </c:tx>
          <c:spPr>
            <a:solidFill>
              <a:srgbClr val="00B5E4"/>
            </a:solidFill>
            <a:ln>
              <a:noFill/>
            </a:ln>
            <a:effectLst/>
          </c:spPr>
          <c:invertIfNegative val="0"/>
          <c:cat>
            <c:strRef>
              <c:f>'Fig 3 data'!$C$5:$E$5</c:f>
              <c:strCache>
                <c:ptCount val="3"/>
                <c:pt idx="0">
                  <c:v>2006</c:v>
                </c:pt>
                <c:pt idx="1">
                  <c:v>2025 (as projected in 2006)</c:v>
                </c:pt>
                <c:pt idx="2">
                  <c:v>2025 (current) </c:v>
                </c:pt>
              </c:strCache>
            </c:strRef>
          </c:cat>
          <c:val>
            <c:numRef>
              <c:f>'Fig 3 data'!$C$11:$E$11</c:f>
              <c:numCache>
                <c:formatCode>0.0</c:formatCode>
                <c:ptCount val="3"/>
              </c:numCache>
            </c:numRef>
          </c:val>
          <c:extLst>
            <c:ext xmlns:c16="http://schemas.microsoft.com/office/drawing/2014/chart" uri="{C3380CC4-5D6E-409C-BE32-E72D297353CC}">
              <c16:uniqueId val="{00000004-1B02-4228-9742-D5248C034D16}"/>
            </c:ext>
          </c:extLst>
        </c:ser>
        <c:dLbls>
          <c:showLegendKey val="0"/>
          <c:showVal val="0"/>
          <c:showCatName val="0"/>
          <c:showSerName val="0"/>
          <c:showPercent val="0"/>
          <c:showBubbleSize val="0"/>
        </c:dLbls>
        <c:gapWidth val="150"/>
        <c:overlap val="100"/>
        <c:axId val="146447584"/>
        <c:axId val="146437024"/>
      </c:barChart>
      <c:catAx>
        <c:axId val="146447584"/>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6437024"/>
        <c:crosses val="autoZero"/>
        <c:auto val="1"/>
        <c:lblAlgn val="ctr"/>
        <c:lblOffset val="100"/>
        <c:noMultiLvlLbl val="0"/>
      </c:catAx>
      <c:valAx>
        <c:axId val="146437024"/>
        <c:scaling>
          <c:orientation val="minMax"/>
          <c:max val="100"/>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population</a:t>
                </a:r>
              </a:p>
            </c:rich>
          </c:tx>
          <c:layout>
            <c:manualLayout>
              <c:xMode val="edge"/>
              <c:yMode val="edge"/>
              <c:x val="1.3637826693351806E-3"/>
              <c:y val="1.9024852972844303E-3"/>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6447584"/>
        <c:crosses val="autoZero"/>
        <c:crossBetween val="between"/>
      </c:valAx>
      <c:spPr>
        <a:noFill/>
        <a:ln>
          <a:noFill/>
        </a:ln>
        <a:effectLst/>
      </c:spPr>
    </c:plotArea>
    <c:legend>
      <c:legendPos val="b"/>
      <c:legendEntry>
        <c:idx val="3"/>
        <c:delete val="1"/>
      </c:legendEntry>
      <c:legendEntry>
        <c:idx val="4"/>
        <c:delete val="1"/>
      </c:legendEntry>
      <c:layout>
        <c:manualLayout>
          <c:xMode val="edge"/>
          <c:yMode val="edge"/>
          <c:x val="0.24503487096165535"/>
          <c:y val="0.93584135649485867"/>
          <c:w val="0.55691685979557704"/>
          <c:h val="6.1408862032739507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862016880161252E-2"/>
          <c:y val="7.9681611809697697E-2"/>
          <c:w val="0.94710787556578202"/>
          <c:h val="0.72128925488013296"/>
        </c:manualLayout>
      </c:layout>
      <c:lineChart>
        <c:grouping val="standard"/>
        <c:varyColors val="0"/>
        <c:ser>
          <c:idx val="0"/>
          <c:order val="0"/>
          <c:tx>
            <c:strRef>
              <c:f>'Fig 4 data'!$C$5</c:f>
              <c:strCache>
                <c:ptCount val="1"/>
                <c:pt idx="0">
                  <c:v>65-69</c:v>
                </c:pt>
              </c:strCache>
            </c:strRef>
          </c:tx>
          <c:spPr>
            <a:ln w="38100" cap="rnd">
              <a:solidFill>
                <a:srgbClr val="0083AC"/>
              </a:solidFill>
              <a:round/>
            </a:ln>
            <a:effectLst/>
          </c:spPr>
          <c:marker>
            <c:symbol val="none"/>
          </c:marker>
          <c:cat>
            <c:numRef>
              <c:f>'Fig 4 data'!$B$7:$B$164</c:f>
              <c:numCache>
                <c:formatCode>mmm\-yy</c:formatCode>
                <c:ptCount val="158"/>
                <c:pt idx="0">
                  <c:v>31472</c:v>
                </c:pt>
                <c:pt idx="1">
                  <c:v>31564</c:v>
                </c:pt>
                <c:pt idx="2">
                  <c:v>31656</c:v>
                </c:pt>
                <c:pt idx="3">
                  <c:v>31747</c:v>
                </c:pt>
                <c:pt idx="4">
                  <c:v>31837</c:v>
                </c:pt>
                <c:pt idx="5">
                  <c:v>31929</c:v>
                </c:pt>
                <c:pt idx="6">
                  <c:v>32021</c:v>
                </c:pt>
                <c:pt idx="7">
                  <c:v>32112</c:v>
                </c:pt>
                <c:pt idx="8">
                  <c:v>32203</c:v>
                </c:pt>
                <c:pt idx="9">
                  <c:v>32295</c:v>
                </c:pt>
                <c:pt idx="10">
                  <c:v>32387</c:v>
                </c:pt>
                <c:pt idx="11">
                  <c:v>32478</c:v>
                </c:pt>
                <c:pt idx="12">
                  <c:v>32568</c:v>
                </c:pt>
                <c:pt idx="13">
                  <c:v>32660</c:v>
                </c:pt>
                <c:pt idx="14">
                  <c:v>32752</c:v>
                </c:pt>
                <c:pt idx="15">
                  <c:v>32843</c:v>
                </c:pt>
                <c:pt idx="16">
                  <c:v>32933</c:v>
                </c:pt>
                <c:pt idx="17">
                  <c:v>33025</c:v>
                </c:pt>
                <c:pt idx="18">
                  <c:v>33117</c:v>
                </c:pt>
                <c:pt idx="19">
                  <c:v>33208</c:v>
                </c:pt>
                <c:pt idx="20">
                  <c:v>33298</c:v>
                </c:pt>
                <c:pt idx="21">
                  <c:v>33390</c:v>
                </c:pt>
                <c:pt idx="22">
                  <c:v>33482</c:v>
                </c:pt>
                <c:pt idx="23">
                  <c:v>33573</c:v>
                </c:pt>
                <c:pt idx="24">
                  <c:v>33664</c:v>
                </c:pt>
                <c:pt idx="25">
                  <c:v>33756</c:v>
                </c:pt>
                <c:pt idx="26">
                  <c:v>33848</c:v>
                </c:pt>
                <c:pt idx="27">
                  <c:v>33939</c:v>
                </c:pt>
                <c:pt idx="28">
                  <c:v>34029</c:v>
                </c:pt>
                <c:pt idx="29">
                  <c:v>34121</c:v>
                </c:pt>
                <c:pt idx="30">
                  <c:v>34213</c:v>
                </c:pt>
                <c:pt idx="31">
                  <c:v>34304</c:v>
                </c:pt>
                <c:pt idx="32">
                  <c:v>34394</c:v>
                </c:pt>
                <c:pt idx="33">
                  <c:v>34486</c:v>
                </c:pt>
                <c:pt idx="34">
                  <c:v>34578</c:v>
                </c:pt>
                <c:pt idx="35">
                  <c:v>34669</c:v>
                </c:pt>
                <c:pt idx="36">
                  <c:v>34759</c:v>
                </c:pt>
                <c:pt idx="37">
                  <c:v>34851</c:v>
                </c:pt>
                <c:pt idx="38">
                  <c:v>34943</c:v>
                </c:pt>
                <c:pt idx="39">
                  <c:v>35034</c:v>
                </c:pt>
                <c:pt idx="40">
                  <c:v>35125</c:v>
                </c:pt>
                <c:pt idx="41">
                  <c:v>35217</c:v>
                </c:pt>
                <c:pt idx="42">
                  <c:v>35309</c:v>
                </c:pt>
                <c:pt idx="43">
                  <c:v>35400</c:v>
                </c:pt>
                <c:pt idx="44">
                  <c:v>35490</c:v>
                </c:pt>
                <c:pt idx="45">
                  <c:v>35582</c:v>
                </c:pt>
                <c:pt idx="46">
                  <c:v>35674</c:v>
                </c:pt>
                <c:pt idx="47">
                  <c:v>35765</c:v>
                </c:pt>
                <c:pt idx="48">
                  <c:v>35855</c:v>
                </c:pt>
                <c:pt idx="49">
                  <c:v>35947</c:v>
                </c:pt>
                <c:pt idx="50">
                  <c:v>36039</c:v>
                </c:pt>
                <c:pt idx="51">
                  <c:v>36130</c:v>
                </c:pt>
                <c:pt idx="52">
                  <c:v>36220</c:v>
                </c:pt>
                <c:pt idx="53">
                  <c:v>36312</c:v>
                </c:pt>
                <c:pt idx="54">
                  <c:v>36404</c:v>
                </c:pt>
                <c:pt idx="55">
                  <c:v>36495</c:v>
                </c:pt>
                <c:pt idx="56">
                  <c:v>36586</c:v>
                </c:pt>
                <c:pt idx="57">
                  <c:v>36678</c:v>
                </c:pt>
                <c:pt idx="58">
                  <c:v>36770</c:v>
                </c:pt>
                <c:pt idx="59">
                  <c:v>36861</c:v>
                </c:pt>
                <c:pt idx="60">
                  <c:v>36951</c:v>
                </c:pt>
                <c:pt idx="61">
                  <c:v>37043</c:v>
                </c:pt>
                <c:pt idx="62">
                  <c:v>37135</c:v>
                </c:pt>
                <c:pt idx="63">
                  <c:v>37226</c:v>
                </c:pt>
                <c:pt idx="64">
                  <c:v>37316</c:v>
                </c:pt>
                <c:pt idx="65">
                  <c:v>37408</c:v>
                </c:pt>
                <c:pt idx="66">
                  <c:v>37500</c:v>
                </c:pt>
                <c:pt idx="67">
                  <c:v>37591</c:v>
                </c:pt>
                <c:pt idx="68">
                  <c:v>37681</c:v>
                </c:pt>
                <c:pt idx="69">
                  <c:v>37773</c:v>
                </c:pt>
                <c:pt idx="70">
                  <c:v>37865</c:v>
                </c:pt>
                <c:pt idx="71">
                  <c:v>37956</c:v>
                </c:pt>
                <c:pt idx="72">
                  <c:v>38047</c:v>
                </c:pt>
                <c:pt idx="73">
                  <c:v>38139</c:v>
                </c:pt>
                <c:pt idx="74">
                  <c:v>38231</c:v>
                </c:pt>
                <c:pt idx="75">
                  <c:v>38322</c:v>
                </c:pt>
                <c:pt idx="76">
                  <c:v>38412</c:v>
                </c:pt>
                <c:pt idx="77">
                  <c:v>38504</c:v>
                </c:pt>
                <c:pt idx="78">
                  <c:v>38596</c:v>
                </c:pt>
                <c:pt idx="79">
                  <c:v>38687</c:v>
                </c:pt>
                <c:pt idx="80">
                  <c:v>38777</c:v>
                </c:pt>
                <c:pt idx="81">
                  <c:v>38869</c:v>
                </c:pt>
                <c:pt idx="82">
                  <c:v>38961</c:v>
                </c:pt>
                <c:pt idx="83">
                  <c:v>39052</c:v>
                </c:pt>
                <c:pt idx="84">
                  <c:v>39142</c:v>
                </c:pt>
                <c:pt idx="85">
                  <c:v>39234</c:v>
                </c:pt>
                <c:pt idx="86">
                  <c:v>39326</c:v>
                </c:pt>
                <c:pt idx="87">
                  <c:v>39417</c:v>
                </c:pt>
                <c:pt idx="88">
                  <c:v>39508</c:v>
                </c:pt>
                <c:pt idx="89">
                  <c:v>39600</c:v>
                </c:pt>
                <c:pt idx="90">
                  <c:v>39692</c:v>
                </c:pt>
                <c:pt idx="91">
                  <c:v>39783</c:v>
                </c:pt>
                <c:pt idx="92">
                  <c:v>39873</c:v>
                </c:pt>
                <c:pt idx="93">
                  <c:v>39965</c:v>
                </c:pt>
                <c:pt idx="94">
                  <c:v>40057</c:v>
                </c:pt>
                <c:pt idx="95">
                  <c:v>40148</c:v>
                </c:pt>
                <c:pt idx="96">
                  <c:v>40238</c:v>
                </c:pt>
                <c:pt idx="97">
                  <c:v>40330</c:v>
                </c:pt>
                <c:pt idx="98">
                  <c:v>40422</c:v>
                </c:pt>
                <c:pt idx="99">
                  <c:v>40513</c:v>
                </c:pt>
                <c:pt idx="100">
                  <c:v>40603</c:v>
                </c:pt>
                <c:pt idx="101">
                  <c:v>40695</c:v>
                </c:pt>
                <c:pt idx="102">
                  <c:v>40787</c:v>
                </c:pt>
                <c:pt idx="103">
                  <c:v>40878</c:v>
                </c:pt>
                <c:pt idx="104">
                  <c:v>40969</c:v>
                </c:pt>
                <c:pt idx="105">
                  <c:v>41061</c:v>
                </c:pt>
                <c:pt idx="106">
                  <c:v>41153</c:v>
                </c:pt>
                <c:pt idx="107">
                  <c:v>41244</c:v>
                </c:pt>
                <c:pt idx="108">
                  <c:v>41334</c:v>
                </c:pt>
                <c:pt idx="109">
                  <c:v>41426</c:v>
                </c:pt>
                <c:pt idx="110">
                  <c:v>41518</c:v>
                </c:pt>
                <c:pt idx="111">
                  <c:v>41609</c:v>
                </c:pt>
                <c:pt idx="112">
                  <c:v>41699</c:v>
                </c:pt>
                <c:pt idx="113">
                  <c:v>41791</c:v>
                </c:pt>
                <c:pt idx="114">
                  <c:v>41883</c:v>
                </c:pt>
                <c:pt idx="115">
                  <c:v>41974</c:v>
                </c:pt>
                <c:pt idx="116">
                  <c:v>42064</c:v>
                </c:pt>
                <c:pt idx="117">
                  <c:v>42156</c:v>
                </c:pt>
                <c:pt idx="118">
                  <c:v>42248</c:v>
                </c:pt>
                <c:pt idx="119">
                  <c:v>42339</c:v>
                </c:pt>
                <c:pt idx="120">
                  <c:v>42430</c:v>
                </c:pt>
                <c:pt idx="121">
                  <c:v>42522</c:v>
                </c:pt>
                <c:pt idx="122">
                  <c:v>42614</c:v>
                </c:pt>
                <c:pt idx="123">
                  <c:v>42705</c:v>
                </c:pt>
                <c:pt idx="124">
                  <c:v>42795</c:v>
                </c:pt>
                <c:pt idx="125">
                  <c:v>42887</c:v>
                </c:pt>
                <c:pt idx="126">
                  <c:v>42979</c:v>
                </c:pt>
                <c:pt idx="127">
                  <c:v>43070</c:v>
                </c:pt>
                <c:pt idx="128">
                  <c:v>43160</c:v>
                </c:pt>
                <c:pt idx="129">
                  <c:v>43252</c:v>
                </c:pt>
                <c:pt idx="130">
                  <c:v>43344</c:v>
                </c:pt>
                <c:pt idx="131">
                  <c:v>43435</c:v>
                </c:pt>
                <c:pt idx="132">
                  <c:v>43525</c:v>
                </c:pt>
                <c:pt idx="133">
                  <c:v>43617</c:v>
                </c:pt>
                <c:pt idx="134">
                  <c:v>43709</c:v>
                </c:pt>
                <c:pt idx="135">
                  <c:v>43800</c:v>
                </c:pt>
                <c:pt idx="136">
                  <c:v>43891</c:v>
                </c:pt>
                <c:pt idx="137">
                  <c:v>43983</c:v>
                </c:pt>
                <c:pt idx="138">
                  <c:v>44075</c:v>
                </c:pt>
                <c:pt idx="139">
                  <c:v>44166</c:v>
                </c:pt>
                <c:pt idx="140">
                  <c:v>44256</c:v>
                </c:pt>
                <c:pt idx="141">
                  <c:v>44348</c:v>
                </c:pt>
                <c:pt idx="142">
                  <c:v>44440</c:v>
                </c:pt>
                <c:pt idx="143">
                  <c:v>44531</c:v>
                </c:pt>
                <c:pt idx="144">
                  <c:v>44621</c:v>
                </c:pt>
                <c:pt idx="145">
                  <c:v>44713</c:v>
                </c:pt>
                <c:pt idx="146">
                  <c:v>44805</c:v>
                </c:pt>
                <c:pt idx="147">
                  <c:v>44896</c:v>
                </c:pt>
                <c:pt idx="148">
                  <c:v>44986</c:v>
                </c:pt>
                <c:pt idx="149">
                  <c:v>45078</c:v>
                </c:pt>
                <c:pt idx="150">
                  <c:v>45170</c:v>
                </c:pt>
                <c:pt idx="151">
                  <c:v>45261</c:v>
                </c:pt>
                <c:pt idx="152">
                  <c:v>45352</c:v>
                </c:pt>
                <c:pt idx="153">
                  <c:v>45444</c:v>
                </c:pt>
                <c:pt idx="154">
                  <c:v>45536</c:v>
                </c:pt>
                <c:pt idx="155">
                  <c:v>45627</c:v>
                </c:pt>
                <c:pt idx="156">
                  <c:v>45717</c:v>
                </c:pt>
                <c:pt idx="157">
                  <c:v>45809</c:v>
                </c:pt>
              </c:numCache>
            </c:numRef>
          </c:cat>
          <c:val>
            <c:numRef>
              <c:f>'Fig 4 data'!$C$7:$C$164</c:f>
              <c:numCache>
                <c:formatCode>0.0</c:formatCode>
                <c:ptCount val="158"/>
                <c:pt idx="0">
                  <c:v>16.600000000000001</c:v>
                </c:pt>
                <c:pt idx="1">
                  <c:v>14.8</c:v>
                </c:pt>
                <c:pt idx="2">
                  <c:v>14.9</c:v>
                </c:pt>
                <c:pt idx="3">
                  <c:v>13.8</c:v>
                </c:pt>
                <c:pt idx="4">
                  <c:v>14.6</c:v>
                </c:pt>
                <c:pt idx="5">
                  <c:v>12.2</c:v>
                </c:pt>
                <c:pt idx="6">
                  <c:v>13.9</c:v>
                </c:pt>
                <c:pt idx="7">
                  <c:v>12.7</c:v>
                </c:pt>
                <c:pt idx="8">
                  <c:v>11.9</c:v>
                </c:pt>
                <c:pt idx="9">
                  <c:v>10.6</c:v>
                </c:pt>
                <c:pt idx="10">
                  <c:v>11.8</c:v>
                </c:pt>
                <c:pt idx="11">
                  <c:v>10.3</c:v>
                </c:pt>
                <c:pt idx="12">
                  <c:v>11.1</c:v>
                </c:pt>
                <c:pt idx="13">
                  <c:v>10.6</c:v>
                </c:pt>
                <c:pt idx="14">
                  <c:v>9.9</c:v>
                </c:pt>
                <c:pt idx="15">
                  <c:v>11.1</c:v>
                </c:pt>
                <c:pt idx="16">
                  <c:v>10.5</c:v>
                </c:pt>
                <c:pt idx="17">
                  <c:v>10.4</c:v>
                </c:pt>
                <c:pt idx="18">
                  <c:v>10.4</c:v>
                </c:pt>
                <c:pt idx="19">
                  <c:v>10.5</c:v>
                </c:pt>
                <c:pt idx="20">
                  <c:v>11</c:v>
                </c:pt>
                <c:pt idx="21">
                  <c:v>11</c:v>
                </c:pt>
                <c:pt idx="22">
                  <c:v>10.7</c:v>
                </c:pt>
                <c:pt idx="23">
                  <c:v>11.5</c:v>
                </c:pt>
                <c:pt idx="24">
                  <c:v>11</c:v>
                </c:pt>
                <c:pt idx="25">
                  <c:v>10.6</c:v>
                </c:pt>
                <c:pt idx="26">
                  <c:v>10</c:v>
                </c:pt>
                <c:pt idx="27">
                  <c:v>9.5</c:v>
                </c:pt>
                <c:pt idx="28">
                  <c:v>9.5</c:v>
                </c:pt>
                <c:pt idx="29">
                  <c:v>9.6999999999999993</c:v>
                </c:pt>
                <c:pt idx="30">
                  <c:v>10.4</c:v>
                </c:pt>
                <c:pt idx="31">
                  <c:v>10.4</c:v>
                </c:pt>
                <c:pt idx="32">
                  <c:v>10.6</c:v>
                </c:pt>
                <c:pt idx="33">
                  <c:v>10.9</c:v>
                </c:pt>
                <c:pt idx="34">
                  <c:v>10.8</c:v>
                </c:pt>
                <c:pt idx="35">
                  <c:v>11.3</c:v>
                </c:pt>
                <c:pt idx="36">
                  <c:v>10.4</c:v>
                </c:pt>
                <c:pt idx="37">
                  <c:v>10.3</c:v>
                </c:pt>
                <c:pt idx="38">
                  <c:v>10.5</c:v>
                </c:pt>
                <c:pt idx="39">
                  <c:v>12.3</c:v>
                </c:pt>
                <c:pt idx="40">
                  <c:v>11.5</c:v>
                </c:pt>
                <c:pt idx="41">
                  <c:v>12.4</c:v>
                </c:pt>
                <c:pt idx="42">
                  <c:v>11.8</c:v>
                </c:pt>
                <c:pt idx="43">
                  <c:v>12.2</c:v>
                </c:pt>
                <c:pt idx="44">
                  <c:v>11.1</c:v>
                </c:pt>
                <c:pt idx="45">
                  <c:v>12.7</c:v>
                </c:pt>
                <c:pt idx="46">
                  <c:v>11.4</c:v>
                </c:pt>
                <c:pt idx="47">
                  <c:v>11.6</c:v>
                </c:pt>
                <c:pt idx="48">
                  <c:v>11.3</c:v>
                </c:pt>
                <c:pt idx="49">
                  <c:v>11.8</c:v>
                </c:pt>
                <c:pt idx="50">
                  <c:v>11.9</c:v>
                </c:pt>
                <c:pt idx="51">
                  <c:v>12.4</c:v>
                </c:pt>
                <c:pt idx="52">
                  <c:v>14.3</c:v>
                </c:pt>
                <c:pt idx="53">
                  <c:v>15.3</c:v>
                </c:pt>
                <c:pt idx="54">
                  <c:v>15.7</c:v>
                </c:pt>
                <c:pt idx="55">
                  <c:v>15.8</c:v>
                </c:pt>
                <c:pt idx="56">
                  <c:v>15.5</c:v>
                </c:pt>
                <c:pt idx="57">
                  <c:v>16.5</c:v>
                </c:pt>
                <c:pt idx="58">
                  <c:v>16.899999999999999</c:v>
                </c:pt>
                <c:pt idx="59">
                  <c:v>16.899999999999999</c:v>
                </c:pt>
                <c:pt idx="60">
                  <c:v>16.7</c:v>
                </c:pt>
                <c:pt idx="61">
                  <c:v>18.3</c:v>
                </c:pt>
                <c:pt idx="62">
                  <c:v>19.600000000000001</c:v>
                </c:pt>
                <c:pt idx="63">
                  <c:v>21.4</c:v>
                </c:pt>
                <c:pt idx="64">
                  <c:v>20.8</c:v>
                </c:pt>
                <c:pt idx="65">
                  <c:v>22.2</c:v>
                </c:pt>
                <c:pt idx="66">
                  <c:v>21.2</c:v>
                </c:pt>
                <c:pt idx="67">
                  <c:v>20.9</c:v>
                </c:pt>
                <c:pt idx="68">
                  <c:v>21.6</c:v>
                </c:pt>
                <c:pt idx="69">
                  <c:v>20.5</c:v>
                </c:pt>
                <c:pt idx="70">
                  <c:v>22.5</c:v>
                </c:pt>
                <c:pt idx="71">
                  <c:v>22.7</c:v>
                </c:pt>
                <c:pt idx="72">
                  <c:v>22.1</c:v>
                </c:pt>
                <c:pt idx="73">
                  <c:v>23.7</c:v>
                </c:pt>
                <c:pt idx="74">
                  <c:v>25.7</c:v>
                </c:pt>
                <c:pt idx="75">
                  <c:v>27.8</c:v>
                </c:pt>
                <c:pt idx="76">
                  <c:v>27.8</c:v>
                </c:pt>
                <c:pt idx="77">
                  <c:v>26.8</c:v>
                </c:pt>
                <c:pt idx="78">
                  <c:v>27.5</c:v>
                </c:pt>
                <c:pt idx="79">
                  <c:v>26.3</c:v>
                </c:pt>
                <c:pt idx="80">
                  <c:v>27.3</c:v>
                </c:pt>
                <c:pt idx="81">
                  <c:v>28.1</c:v>
                </c:pt>
                <c:pt idx="82">
                  <c:v>28</c:v>
                </c:pt>
                <c:pt idx="83">
                  <c:v>30.3</c:v>
                </c:pt>
                <c:pt idx="84">
                  <c:v>29.6</c:v>
                </c:pt>
                <c:pt idx="85">
                  <c:v>29.2</c:v>
                </c:pt>
                <c:pt idx="86">
                  <c:v>30.1</c:v>
                </c:pt>
                <c:pt idx="87">
                  <c:v>31.2</c:v>
                </c:pt>
                <c:pt idx="88">
                  <c:v>31.4</c:v>
                </c:pt>
                <c:pt idx="89">
                  <c:v>31</c:v>
                </c:pt>
                <c:pt idx="90">
                  <c:v>31.1</c:v>
                </c:pt>
                <c:pt idx="91">
                  <c:v>37.9</c:v>
                </c:pt>
                <c:pt idx="92">
                  <c:v>34</c:v>
                </c:pt>
                <c:pt idx="93">
                  <c:v>33.6</c:v>
                </c:pt>
                <c:pt idx="94">
                  <c:v>33.9</c:v>
                </c:pt>
                <c:pt idx="95">
                  <c:v>34.6</c:v>
                </c:pt>
                <c:pt idx="96">
                  <c:v>34.5</c:v>
                </c:pt>
                <c:pt idx="97">
                  <c:v>35.1</c:v>
                </c:pt>
                <c:pt idx="98">
                  <c:v>37</c:v>
                </c:pt>
                <c:pt idx="99">
                  <c:v>37.200000000000003</c:v>
                </c:pt>
                <c:pt idx="100">
                  <c:v>38</c:v>
                </c:pt>
                <c:pt idx="101">
                  <c:v>38</c:v>
                </c:pt>
                <c:pt idx="102">
                  <c:v>38.799999999999997</c:v>
                </c:pt>
                <c:pt idx="103">
                  <c:v>39.6</c:v>
                </c:pt>
                <c:pt idx="104">
                  <c:v>39.6</c:v>
                </c:pt>
                <c:pt idx="105">
                  <c:v>41</c:v>
                </c:pt>
                <c:pt idx="106">
                  <c:v>40.799999999999997</c:v>
                </c:pt>
                <c:pt idx="107">
                  <c:v>38.9</c:v>
                </c:pt>
                <c:pt idx="108">
                  <c:v>40.700000000000003</c:v>
                </c:pt>
                <c:pt idx="109">
                  <c:v>38.4</c:v>
                </c:pt>
                <c:pt idx="110">
                  <c:v>40.700000000000003</c:v>
                </c:pt>
                <c:pt idx="111">
                  <c:v>41</c:v>
                </c:pt>
                <c:pt idx="112">
                  <c:v>41.8</c:v>
                </c:pt>
                <c:pt idx="113">
                  <c:v>38.9</c:v>
                </c:pt>
                <c:pt idx="114">
                  <c:v>39.6</c:v>
                </c:pt>
                <c:pt idx="115">
                  <c:v>40.5</c:v>
                </c:pt>
                <c:pt idx="116">
                  <c:v>41.8</c:v>
                </c:pt>
                <c:pt idx="117">
                  <c:v>41.4</c:v>
                </c:pt>
                <c:pt idx="118">
                  <c:v>40.1</c:v>
                </c:pt>
                <c:pt idx="119">
                  <c:v>41.2</c:v>
                </c:pt>
                <c:pt idx="120">
                  <c:v>41.5</c:v>
                </c:pt>
                <c:pt idx="121">
                  <c:v>42.4</c:v>
                </c:pt>
                <c:pt idx="122">
                  <c:v>43.7</c:v>
                </c:pt>
                <c:pt idx="123">
                  <c:v>45</c:v>
                </c:pt>
                <c:pt idx="124">
                  <c:v>44.9</c:v>
                </c:pt>
                <c:pt idx="125">
                  <c:v>45</c:v>
                </c:pt>
                <c:pt idx="126">
                  <c:v>46.5</c:v>
                </c:pt>
                <c:pt idx="127">
                  <c:v>44.6</c:v>
                </c:pt>
                <c:pt idx="128">
                  <c:v>44.8</c:v>
                </c:pt>
                <c:pt idx="129">
                  <c:v>44.7</c:v>
                </c:pt>
                <c:pt idx="130">
                  <c:v>45.4</c:v>
                </c:pt>
                <c:pt idx="131">
                  <c:v>44.1</c:v>
                </c:pt>
                <c:pt idx="132">
                  <c:v>43.8</c:v>
                </c:pt>
                <c:pt idx="133">
                  <c:v>44.6</c:v>
                </c:pt>
                <c:pt idx="134">
                  <c:v>45.8</c:v>
                </c:pt>
                <c:pt idx="135">
                  <c:v>44.6</c:v>
                </c:pt>
                <c:pt idx="136">
                  <c:v>44.3</c:v>
                </c:pt>
                <c:pt idx="137">
                  <c:v>45.8</c:v>
                </c:pt>
                <c:pt idx="138">
                  <c:v>44.9</c:v>
                </c:pt>
                <c:pt idx="139">
                  <c:v>46.7</c:v>
                </c:pt>
                <c:pt idx="140">
                  <c:v>45.7</c:v>
                </c:pt>
                <c:pt idx="141">
                  <c:v>45.3</c:v>
                </c:pt>
                <c:pt idx="142">
                  <c:v>46.5</c:v>
                </c:pt>
                <c:pt idx="143">
                  <c:v>47.5</c:v>
                </c:pt>
                <c:pt idx="144">
                  <c:v>47.3</c:v>
                </c:pt>
                <c:pt idx="145">
                  <c:v>46.8</c:v>
                </c:pt>
                <c:pt idx="146">
                  <c:v>48.6</c:v>
                </c:pt>
                <c:pt idx="147">
                  <c:v>49.1</c:v>
                </c:pt>
                <c:pt idx="148">
                  <c:v>49</c:v>
                </c:pt>
                <c:pt idx="149">
                  <c:v>48.8</c:v>
                </c:pt>
                <c:pt idx="150">
                  <c:v>48.6</c:v>
                </c:pt>
                <c:pt idx="151">
                  <c:v>47.8</c:v>
                </c:pt>
                <c:pt idx="152">
                  <c:v>48</c:v>
                </c:pt>
                <c:pt idx="153">
                  <c:v>48.6</c:v>
                </c:pt>
                <c:pt idx="154">
                  <c:v>48.4</c:v>
                </c:pt>
                <c:pt idx="155">
                  <c:v>47.6</c:v>
                </c:pt>
                <c:pt idx="156">
                  <c:v>47.4</c:v>
                </c:pt>
                <c:pt idx="157">
                  <c:v>47</c:v>
                </c:pt>
              </c:numCache>
            </c:numRef>
          </c:val>
          <c:smooth val="0"/>
          <c:extLst>
            <c:ext xmlns:c16="http://schemas.microsoft.com/office/drawing/2014/chart" uri="{C3380CC4-5D6E-409C-BE32-E72D297353CC}">
              <c16:uniqueId val="{00000000-1506-43C8-88B3-6A6F88C5FF9D}"/>
            </c:ext>
          </c:extLst>
        </c:ser>
        <c:ser>
          <c:idx val="1"/>
          <c:order val="1"/>
          <c:tx>
            <c:strRef>
              <c:f>'Fig 4 data'!$D$5</c:f>
              <c:strCache>
                <c:ptCount val="1"/>
                <c:pt idx="0">
                  <c:v>70-74</c:v>
                </c:pt>
              </c:strCache>
            </c:strRef>
          </c:tx>
          <c:spPr>
            <a:ln w="38100" cap="rnd">
              <a:solidFill>
                <a:srgbClr val="67A854"/>
              </a:solidFill>
              <a:round/>
            </a:ln>
            <a:effectLst/>
          </c:spPr>
          <c:marker>
            <c:symbol val="none"/>
          </c:marker>
          <c:cat>
            <c:numRef>
              <c:f>'Fig 4 data'!$B$7:$B$164</c:f>
              <c:numCache>
                <c:formatCode>mmm\-yy</c:formatCode>
                <c:ptCount val="158"/>
                <c:pt idx="0">
                  <c:v>31472</c:v>
                </c:pt>
                <c:pt idx="1">
                  <c:v>31564</c:v>
                </c:pt>
                <c:pt idx="2">
                  <c:v>31656</c:v>
                </c:pt>
                <c:pt idx="3">
                  <c:v>31747</c:v>
                </c:pt>
                <c:pt idx="4">
                  <c:v>31837</c:v>
                </c:pt>
                <c:pt idx="5">
                  <c:v>31929</c:v>
                </c:pt>
                <c:pt idx="6">
                  <c:v>32021</c:v>
                </c:pt>
                <c:pt idx="7">
                  <c:v>32112</c:v>
                </c:pt>
                <c:pt idx="8">
                  <c:v>32203</c:v>
                </c:pt>
                <c:pt idx="9">
                  <c:v>32295</c:v>
                </c:pt>
                <c:pt idx="10">
                  <c:v>32387</c:v>
                </c:pt>
                <c:pt idx="11">
                  <c:v>32478</c:v>
                </c:pt>
                <c:pt idx="12">
                  <c:v>32568</c:v>
                </c:pt>
                <c:pt idx="13">
                  <c:v>32660</c:v>
                </c:pt>
                <c:pt idx="14">
                  <c:v>32752</c:v>
                </c:pt>
                <c:pt idx="15">
                  <c:v>32843</c:v>
                </c:pt>
                <c:pt idx="16">
                  <c:v>32933</c:v>
                </c:pt>
                <c:pt idx="17">
                  <c:v>33025</c:v>
                </c:pt>
                <c:pt idx="18">
                  <c:v>33117</c:v>
                </c:pt>
                <c:pt idx="19">
                  <c:v>33208</c:v>
                </c:pt>
                <c:pt idx="20">
                  <c:v>33298</c:v>
                </c:pt>
                <c:pt idx="21">
                  <c:v>33390</c:v>
                </c:pt>
                <c:pt idx="22">
                  <c:v>33482</c:v>
                </c:pt>
                <c:pt idx="23">
                  <c:v>33573</c:v>
                </c:pt>
                <c:pt idx="24">
                  <c:v>33664</c:v>
                </c:pt>
                <c:pt idx="25">
                  <c:v>33756</c:v>
                </c:pt>
                <c:pt idx="26">
                  <c:v>33848</c:v>
                </c:pt>
                <c:pt idx="27">
                  <c:v>33939</c:v>
                </c:pt>
                <c:pt idx="28">
                  <c:v>34029</c:v>
                </c:pt>
                <c:pt idx="29">
                  <c:v>34121</c:v>
                </c:pt>
                <c:pt idx="30">
                  <c:v>34213</c:v>
                </c:pt>
                <c:pt idx="31">
                  <c:v>34304</c:v>
                </c:pt>
                <c:pt idx="32">
                  <c:v>34394</c:v>
                </c:pt>
                <c:pt idx="33">
                  <c:v>34486</c:v>
                </c:pt>
                <c:pt idx="34">
                  <c:v>34578</c:v>
                </c:pt>
                <c:pt idx="35">
                  <c:v>34669</c:v>
                </c:pt>
                <c:pt idx="36">
                  <c:v>34759</c:v>
                </c:pt>
                <c:pt idx="37">
                  <c:v>34851</c:v>
                </c:pt>
                <c:pt idx="38">
                  <c:v>34943</c:v>
                </c:pt>
                <c:pt idx="39">
                  <c:v>35034</c:v>
                </c:pt>
                <c:pt idx="40">
                  <c:v>35125</c:v>
                </c:pt>
                <c:pt idx="41">
                  <c:v>35217</c:v>
                </c:pt>
                <c:pt idx="42">
                  <c:v>35309</c:v>
                </c:pt>
                <c:pt idx="43">
                  <c:v>35400</c:v>
                </c:pt>
                <c:pt idx="44">
                  <c:v>35490</c:v>
                </c:pt>
                <c:pt idx="45">
                  <c:v>35582</c:v>
                </c:pt>
                <c:pt idx="46">
                  <c:v>35674</c:v>
                </c:pt>
                <c:pt idx="47">
                  <c:v>35765</c:v>
                </c:pt>
                <c:pt idx="48">
                  <c:v>35855</c:v>
                </c:pt>
                <c:pt idx="49">
                  <c:v>35947</c:v>
                </c:pt>
                <c:pt idx="50">
                  <c:v>36039</c:v>
                </c:pt>
                <c:pt idx="51">
                  <c:v>36130</c:v>
                </c:pt>
                <c:pt idx="52">
                  <c:v>36220</c:v>
                </c:pt>
                <c:pt idx="53">
                  <c:v>36312</c:v>
                </c:pt>
                <c:pt idx="54">
                  <c:v>36404</c:v>
                </c:pt>
                <c:pt idx="55">
                  <c:v>36495</c:v>
                </c:pt>
                <c:pt idx="56">
                  <c:v>36586</c:v>
                </c:pt>
                <c:pt idx="57">
                  <c:v>36678</c:v>
                </c:pt>
                <c:pt idx="58">
                  <c:v>36770</c:v>
                </c:pt>
                <c:pt idx="59">
                  <c:v>36861</c:v>
                </c:pt>
                <c:pt idx="60">
                  <c:v>36951</c:v>
                </c:pt>
                <c:pt idx="61">
                  <c:v>37043</c:v>
                </c:pt>
                <c:pt idx="62">
                  <c:v>37135</c:v>
                </c:pt>
                <c:pt idx="63">
                  <c:v>37226</c:v>
                </c:pt>
                <c:pt idx="64">
                  <c:v>37316</c:v>
                </c:pt>
                <c:pt idx="65">
                  <c:v>37408</c:v>
                </c:pt>
                <c:pt idx="66">
                  <c:v>37500</c:v>
                </c:pt>
                <c:pt idx="67">
                  <c:v>37591</c:v>
                </c:pt>
                <c:pt idx="68">
                  <c:v>37681</c:v>
                </c:pt>
                <c:pt idx="69">
                  <c:v>37773</c:v>
                </c:pt>
                <c:pt idx="70">
                  <c:v>37865</c:v>
                </c:pt>
                <c:pt idx="71">
                  <c:v>37956</c:v>
                </c:pt>
                <c:pt idx="72">
                  <c:v>38047</c:v>
                </c:pt>
                <c:pt idx="73">
                  <c:v>38139</c:v>
                </c:pt>
                <c:pt idx="74">
                  <c:v>38231</c:v>
                </c:pt>
                <c:pt idx="75">
                  <c:v>38322</c:v>
                </c:pt>
                <c:pt idx="76">
                  <c:v>38412</c:v>
                </c:pt>
                <c:pt idx="77">
                  <c:v>38504</c:v>
                </c:pt>
                <c:pt idx="78">
                  <c:v>38596</c:v>
                </c:pt>
                <c:pt idx="79">
                  <c:v>38687</c:v>
                </c:pt>
                <c:pt idx="80">
                  <c:v>38777</c:v>
                </c:pt>
                <c:pt idx="81">
                  <c:v>38869</c:v>
                </c:pt>
                <c:pt idx="82">
                  <c:v>38961</c:v>
                </c:pt>
                <c:pt idx="83">
                  <c:v>39052</c:v>
                </c:pt>
                <c:pt idx="84">
                  <c:v>39142</c:v>
                </c:pt>
                <c:pt idx="85">
                  <c:v>39234</c:v>
                </c:pt>
                <c:pt idx="86">
                  <c:v>39326</c:v>
                </c:pt>
                <c:pt idx="87">
                  <c:v>39417</c:v>
                </c:pt>
                <c:pt idx="88">
                  <c:v>39508</c:v>
                </c:pt>
                <c:pt idx="89">
                  <c:v>39600</c:v>
                </c:pt>
                <c:pt idx="90">
                  <c:v>39692</c:v>
                </c:pt>
                <c:pt idx="91">
                  <c:v>39783</c:v>
                </c:pt>
                <c:pt idx="92">
                  <c:v>39873</c:v>
                </c:pt>
                <c:pt idx="93">
                  <c:v>39965</c:v>
                </c:pt>
                <c:pt idx="94">
                  <c:v>40057</c:v>
                </c:pt>
                <c:pt idx="95">
                  <c:v>40148</c:v>
                </c:pt>
                <c:pt idx="96">
                  <c:v>40238</c:v>
                </c:pt>
                <c:pt idx="97">
                  <c:v>40330</c:v>
                </c:pt>
                <c:pt idx="98">
                  <c:v>40422</c:v>
                </c:pt>
                <c:pt idx="99">
                  <c:v>40513</c:v>
                </c:pt>
                <c:pt idx="100">
                  <c:v>40603</c:v>
                </c:pt>
                <c:pt idx="101">
                  <c:v>40695</c:v>
                </c:pt>
                <c:pt idx="102">
                  <c:v>40787</c:v>
                </c:pt>
                <c:pt idx="103">
                  <c:v>40878</c:v>
                </c:pt>
                <c:pt idx="104">
                  <c:v>40969</c:v>
                </c:pt>
                <c:pt idx="105">
                  <c:v>41061</c:v>
                </c:pt>
                <c:pt idx="106">
                  <c:v>41153</c:v>
                </c:pt>
                <c:pt idx="107">
                  <c:v>41244</c:v>
                </c:pt>
                <c:pt idx="108">
                  <c:v>41334</c:v>
                </c:pt>
                <c:pt idx="109">
                  <c:v>41426</c:v>
                </c:pt>
                <c:pt idx="110">
                  <c:v>41518</c:v>
                </c:pt>
                <c:pt idx="111">
                  <c:v>41609</c:v>
                </c:pt>
                <c:pt idx="112">
                  <c:v>41699</c:v>
                </c:pt>
                <c:pt idx="113">
                  <c:v>41791</c:v>
                </c:pt>
                <c:pt idx="114">
                  <c:v>41883</c:v>
                </c:pt>
                <c:pt idx="115">
                  <c:v>41974</c:v>
                </c:pt>
                <c:pt idx="116">
                  <c:v>42064</c:v>
                </c:pt>
                <c:pt idx="117">
                  <c:v>42156</c:v>
                </c:pt>
                <c:pt idx="118">
                  <c:v>42248</c:v>
                </c:pt>
                <c:pt idx="119">
                  <c:v>42339</c:v>
                </c:pt>
                <c:pt idx="120">
                  <c:v>42430</c:v>
                </c:pt>
                <c:pt idx="121">
                  <c:v>42522</c:v>
                </c:pt>
                <c:pt idx="122">
                  <c:v>42614</c:v>
                </c:pt>
                <c:pt idx="123">
                  <c:v>42705</c:v>
                </c:pt>
                <c:pt idx="124">
                  <c:v>42795</c:v>
                </c:pt>
                <c:pt idx="125">
                  <c:v>42887</c:v>
                </c:pt>
                <c:pt idx="126">
                  <c:v>42979</c:v>
                </c:pt>
                <c:pt idx="127">
                  <c:v>43070</c:v>
                </c:pt>
                <c:pt idx="128">
                  <c:v>43160</c:v>
                </c:pt>
                <c:pt idx="129">
                  <c:v>43252</c:v>
                </c:pt>
                <c:pt idx="130">
                  <c:v>43344</c:v>
                </c:pt>
                <c:pt idx="131">
                  <c:v>43435</c:v>
                </c:pt>
                <c:pt idx="132">
                  <c:v>43525</c:v>
                </c:pt>
                <c:pt idx="133">
                  <c:v>43617</c:v>
                </c:pt>
                <c:pt idx="134">
                  <c:v>43709</c:v>
                </c:pt>
                <c:pt idx="135">
                  <c:v>43800</c:v>
                </c:pt>
                <c:pt idx="136">
                  <c:v>43891</c:v>
                </c:pt>
                <c:pt idx="137">
                  <c:v>43983</c:v>
                </c:pt>
                <c:pt idx="138">
                  <c:v>44075</c:v>
                </c:pt>
                <c:pt idx="139">
                  <c:v>44166</c:v>
                </c:pt>
                <c:pt idx="140">
                  <c:v>44256</c:v>
                </c:pt>
                <c:pt idx="141">
                  <c:v>44348</c:v>
                </c:pt>
                <c:pt idx="142">
                  <c:v>44440</c:v>
                </c:pt>
                <c:pt idx="143">
                  <c:v>44531</c:v>
                </c:pt>
                <c:pt idx="144">
                  <c:v>44621</c:v>
                </c:pt>
                <c:pt idx="145">
                  <c:v>44713</c:v>
                </c:pt>
                <c:pt idx="146">
                  <c:v>44805</c:v>
                </c:pt>
                <c:pt idx="147">
                  <c:v>44896</c:v>
                </c:pt>
                <c:pt idx="148">
                  <c:v>44986</c:v>
                </c:pt>
                <c:pt idx="149">
                  <c:v>45078</c:v>
                </c:pt>
                <c:pt idx="150">
                  <c:v>45170</c:v>
                </c:pt>
                <c:pt idx="151">
                  <c:v>45261</c:v>
                </c:pt>
                <c:pt idx="152">
                  <c:v>45352</c:v>
                </c:pt>
                <c:pt idx="153">
                  <c:v>45444</c:v>
                </c:pt>
                <c:pt idx="154">
                  <c:v>45536</c:v>
                </c:pt>
                <c:pt idx="155">
                  <c:v>45627</c:v>
                </c:pt>
                <c:pt idx="156">
                  <c:v>45717</c:v>
                </c:pt>
                <c:pt idx="157">
                  <c:v>45809</c:v>
                </c:pt>
              </c:numCache>
            </c:numRef>
          </c:cat>
          <c:val>
            <c:numRef>
              <c:f>'Fig 4 data'!$D$7:$D$164</c:f>
              <c:numCache>
                <c:formatCode>0.0</c:formatCode>
                <c:ptCount val="158"/>
                <c:pt idx="0">
                  <c:v>7.8</c:v>
                </c:pt>
                <c:pt idx="1">
                  <c:v>7.8</c:v>
                </c:pt>
                <c:pt idx="2">
                  <c:v>8.6</c:v>
                </c:pt>
                <c:pt idx="3">
                  <c:v>7.5</c:v>
                </c:pt>
                <c:pt idx="4">
                  <c:v>7.9</c:v>
                </c:pt>
                <c:pt idx="5">
                  <c:v>7.9</c:v>
                </c:pt>
                <c:pt idx="6">
                  <c:v>6.7</c:v>
                </c:pt>
                <c:pt idx="7">
                  <c:v>8.1</c:v>
                </c:pt>
                <c:pt idx="8">
                  <c:v>7.4</c:v>
                </c:pt>
                <c:pt idx="9">
                  <c:v>7.5</c:v>
                </c:pt>
                <c:pt idx="10">
                  <c:v>6.6</c:v>
                </c:pt>
                <c:pt idx="11">
                  <c:v>7.7</c:v>
                </c:pt>
                <c:pt idx="12">
                  <c:v>6.7</c:v>
                </c:pt>
                <c:pt idx="13">
                  <c:v>6.4</c:v>
                </c:pt>
                <c:pt idx="14">
                  <c:v>6.7</c:v>
                </c:pt>
                <c:pt idx="15">
                  <c:v>5.9</c:v>
                </c:pt>
                <c:pt idx="16">
                  <c:v>5.6</c:v>
                </c:pt>
                <c:pt idx="17">
                  <c:v>6.6</c:v>
                </c:pt>
                <c:pt idx="18">
                  <c:v>6.7</c:v>
                </c:pt>
                <c:pt idx="19">
                  <c:v>5.3</c:v>
                </c:pt>
                <c:pt idx="20">
                  <c:v>5.4</c:v>
                </c:pt>
                <c:pt idx="21">
                  <c:v>5.6</c:v>
                </c:pt>
                <c:pt idx="22">
                  <c:v>5.2</c:v>
                </c:pt>
                <c:pt idx="23">
                  <c:v>3.8</c:v>
                </c:pt>
                <c:pt idx="24">
                  <c:v>4.0999999999999996</c:v>
                </c:pt>
                <c:pt idx="25">
                  <c:v>4.2</c:v>
                </c:pt>
                <c:pt idx="26">
                  <c:v>4.2</c:v>
                </c:pt>
                <c:pt idx="27">
                  <c:v>4.2</c:v>
                </c:pt>
                <c:pt idx="28">
                  <c:v>4</c:v>
                </c:pt>
                <c:pt idx="29">
                  <c:v>4.4000000000000004</c:v>
                </c:pt>
                <c:pt idx="30">
                  <c:v>4</c:v>
                </c:pt>
                <c:pt idx="31">
                  <c:v>5.0999999999999996</c:v>
                </c:pt>
                <c:pt idx="32">
                  <c:v>5.5</c:v>
                </c:pt>
                <c:pt idx="33">
                  <c:v>5.0999999999999996</c:v>
                </c:pt>
                <c:pt idx="34">
                  <c:v>5.2</c:v>
                </c:pt>
                <c:pt idx="35">
                  <c:v>5.7</c:v>
                </c:pt>
                <c:pt idx="36">
                  <c:v>6.6</c:v>
                </c:pt>
                <c:pt idx="37">
                  <c:v>5.8</c:v>
                </c:pt>
                <c:pt idx="38">
                  <c:v>5.2</c:v>
                </c:pt>
                <c:pt idx="39">
                  <c:v>6.3</c:v>
                </c:pt>
                <c:pt idx="40">
                  <c:v>6.8</c:v>
                </c:pt>
                <c:pt idx="41">
                  <c:v>6.9</c:v>
                </c:pt>
                <c:pt idx="42">
                  <c:v>7</c:v>
                </c:pt>
                <c:pt idx="43">
                  <c:v>7.6</c:v>
                </c:pt>
                <c:pt idx="44">
                  <c:v>7</c:v>
                </c:pt>
                <c:pt idx="45">
                  <c:v>6.6</c:v>
                </c:pt>
                <c:pt idx="46">
                  <c:v>4.9000000000000004</c:v>
                </c:pt>
                <c:pt idx="47">
                  <c:v>5.2</c:v>
                </c:pt>
                <c:pt idx="48">
                  <c:v>5</c:v>
                </c:pt>
                <c:pt idx="49">
                  <c:v>5.6</c:v>
                </c:pt>
                <c:pt idx="50">
                  <c:v>5.7</c:v>
                </c:pt>
                <c:pt idx="51">
                  <c:v>5.5</c:v>
                </c:pt>
                <c:pt idx="52">
                  <c:v>5.8</c:v>
                </c:pt>
                <c:pt idx="53">
                  <c:v>5.4</c:v>
                </c:pt>
                <c:pt idx="54">
                  <c:v>5.3</c:v>
                </c:pt>
                <c:pt idx="55">
                  <c:v>6.7</c:v>
                </c:pt>
                <c:pt idx="56">
                  <c:v>6.8</c:v>
                </c:pt>
                <c:pt idx="57">
                  <c:v>6.5</c:v>
                </c:pt>
                <c:pt idx="58">
                  <c:v>7.4</c:v>
                </c:pt>
                <c:pt idx="59">
                  <c:v>6.5</c:v>
                </c:pt>
                <c:pt idx="60">
                  <c:v>6.7</c:v>
                </c:pt>
                <c:pt idx="61">
                  <c:v>7.7</c:v>
                </c:pt>
                <c:pt idx="62">
                  <c:v>7.6</c:v>
                </c:pt>
                <c:pt idx="63">
                  <c:v>7.4</c:v>
                </c:pt>
                <c:pt idx="64">
                  <c:v>7.9</c:v>
                </c:pt>
                <c:pt idx="65">
                  <c:v>8.9</c:v>
                </c:pt>
                <c:pt idx="66">
                  <c:v>8.6</c:v>
                </c:pt>
                <c:pt idx="67">
                  <c:v>8.8000000000000007</c:v>
                </c:pt>
                <c:pt idx="68">
                  <c:v>7.9</c:v>
                </c:pt>
                <c:pt idx="69">
                  <c:v>9.3000000000000007</c:v>
                </c:pt>
                <c:pt idx="70">
                  <c:v>9.8000000000000007</c:v>
                </c:pt>
                <c:pt idx="71">
                  <c:v>9.6</c:v>
                </c:pt>
                <c:pt idx="72">
                  <c:v>9.6999999999999993</c:v>
                </c:pt>
                <c:pt idx="73">
                  <c:v>9.6</c:v>
                </c:pt>
                <c:pt idx="74">
                  <c:v>10</c:v>
                </c:pt>
                <c:pt idx="75">
                  <c:v>9.8000000000000007</c:v>
                </c:pt>
                <c:pt idx="76">
                  <c:v>8.5</c:v>
                </c:pt>
                <c:pt idx="77">
                  <c:v>10.199999999999999</c:v>
                </c:pt>
                <c:pt idx="78">
                  <c:v>9.6999999999999993</c:v>
                </c:pt>
                <c:pt idx="79">
                  <c:v>7.5</c:v>
                </c:pt>
                <c:pt idx="80">
                  <c:v>9.4</c:v>
                </c:pt>
                <c:pt idx="81">
                  <c:v>11.5</c:v>
                </c:pt>
                <c:pt idx="82">
                  <c:v>11.3</c:v>
                </c:pt>
                <c:pt idx="83">
                  <c:v>13</c:v>
                </c:pt>
                <c:pt idx="84">
                  <c:v>12.4</c:v>
                </c:pt>
                <c:pt idx="85">
                  <c:v>13.5</c:v>
                </c:pt>
                <c:pt idx="86">
                  <c:v>13.7</c:v>
                </c:pt>
                <c:pt idx="87">
                  <c:v>14.5</c:v>
                </c:pt>
                <c:pt idx="88">
                  <c:v>12.4</c:v>
                </c:pt>
                <c:pt idx="89">
                  <c:v>13.2</c:v>
                </c:pt>
                <c:pt idx="90">
                  <c:v>13.6</c:v>
                </c:pt>
                <c:pt idx="91">
                  <c:v>16.7</c:v>
                </c:pt>
                <c:pt idx="92">
                  <c:v>14.9</c:v>
                </c:pt>
                <c:pt idx="93">
                  <c:v>14.6</c:v>
                </c:pt>
                <c:pt idx="94">
                  <c:v>14.7</c:v>
                </c:pt>
                <c:pt idx="95">
                  <c:v>13.8</c:v>
                </c:pt>
                <c:pt idx="96">
                  <c:v>14.3</c:v>
                </c:pt>
                <c:pt idx="97">
                  <c:v>14.9</c:v>
                </c:pt>
                <c:pt idx="98">
                  <c:v>15.3</c:v>
                </c:pt>
                <c:pt idx="99">
                  <c:v>16.100000000000001</c:v>
                </c:pt>
                <c:pt idx="100">
                  <c:v>16.899999999999999</c:v>
                </c:pt>
                <c:pt idx="101">
                  <c:v>17.899999999999999</c:v>
                </c:pt>
                <c:pt idx="102">
                  <c:v>17.8</c:v>
                </c:pt>
                <c:pt idx="103">
                  <c:v>18.2</c:v>
                </c:pt>
                <c:pt idx="104">
                  <c:v>19</c:v>
                </c:pt>
                <c:pt idx="105">
                  <c:v>19.100000000000001</c:v>
                </c:pt>
                <c:pt idx="106">
                  <c:v>18.399999999999999</c:v>
                </c:pt>
                <c:pt idx="107">
                  <c:v>18.7</c:v>
                </c:pt>
                <c:pt idx="108">
                  <c:v>19.3</c:v>
                </c:pt>
                <c:pt idx="109">
                  <c:v>19.5</c:v>
                </c:pt>
                <c:pt idx="110">
                  <c:v>20.7</c:v>
                </c:pt>
                <c:pt idx="111">
                  <c:v>20.399999999999999</c:v>
                </c:pt>
                <c:pt idx="112">
                  <c:v>19</c:v>
                </c:pt>
                <c:pt idx="113">
                  <c:v>19.3</c:v>
                </c:pt>
                <c:pt idx="114">
                  <c:v>19.3</c:v>
                </c:pt>
                <c:pt idx="115">
                  <c:v>21</c:v>
                </c:pt>
                <c:pt idx="116">
                  <c:v>20</c:v>
                </c:pt>
                <c:pt idx="117">
                  <c:v>19.600000000000001</c:v>
                </c:pt>
                <c:pt idx="118">
                  <c:v>20.9</c:v>
                </c:pt>
                <c:pt idx="119">
                  <c:v>21</c:v>
                </c:pt>
                <c:pt idx="120">
                  <c:v>21.6</c:v>
                </c:pt>
                <c:pt idx="121">
                  <c:v>23.2</c:v>
                </c:pt>
                <c:pt idx="122">
                  <c:v>22</c:v>
                </c:pt>
                <c:pt idx="123">
                  <c:v>22.9</c:v>
                </c:pt>
                <c:pt idx="124">
                  <c:v>23.2</c:v>
                </c:pt>
                <c:pt idx="125">
                  <c:v>22.8</c:v>
                </c:pt>
                <c:pt idx="126">
                  <c:v>22.9</c:v>
                </c:pt>
                <c:pt idx="127">
                  <c:v>23.5</c:v>
                </c:pt>
                <c:pt idx="128">
                  <c:v>23.9</c:v>
                </c:pt>
                <c:pt idx="129">
                  <c:v>24.1</c:v>
                </c:pt>
                <c:pt idx="130">
                  <c:v>24.5</c:v>
                </c:pt>
                <c:pt idx="131">
                  <c:v>23.8</c:v>
                </c:pt>
                <c:pt idx="132">
                  <c:v>23.5</c:v>
                </c:pt>
                <c:pt idx="133">
                  <c:v>22.7</c:v>
                </c:pt>
                <c:pt idx="134">
                  <c:v>23.7</c:v>
                </c:pt>
                <c:pt idx="135">
                  <c:v>25.4</c:v>
                </c:pt>
                <c:pt idx="136">
                  <c:v>23.8</c:v>
                </c:pt>
                <c:pt idx="137">
                  <c:v>24.2</c:v>
                </c:pt>
                <c:pt idx="138">
                  <c:v>25.5</c:v>
                </c:pt>
                <c:pt idx="139">
                  <c:v>25.8</c:v>
                </c:pt>
                <c:pt idx="140">
                  <c:v>25.6</c:v>
                </c:pt>
                <c:pt idx="141">
                  <c:v>24.9</c:v>
                </c:pt>
                <c:pt idx="142">
                  <c:v>26.3</c:v>
                </c:pt>
                <c:pt idx="143">
                  <c:v>25.1</c:v>
                </c:pt>
                <c:pt idx="144">
                  <c:v>24.9</c:v>
                </c:pt>
                <c:pt idx="145">
                  <c:v>23.2</c:v>
                </c:pt>
                <c:pt idx="146">
                  <c:v>24.7</c:v>
                </c:pt>
                <c:pt idx="147">
                  <c:v>24.7</c:v>
                </c:pt>
                <c:pt idx="148">
                  <c:v>24.9</c:v>
                </c:pt>
                <c:pt idx="149">
                  <c:v>26.9</c:v>
                </c:pt>
                <c:pt idx="150">
                  <c:v>27.4</c:v>
                </c:pt>
                <c:pt idx="151">
                  <c:v>26.1</c:v>
                </c:pt>
                <c:pt idx="152">
                  <c:v>24.1</c:v>
                </c:pt>
                <c:pt idx="153">
                  <c:v>24.9</c:v>
                </c:pt>
                <c:pt idx="154">
                  <c:v>25</c:v>
                </c:pt>
                <c:pt idx="155">
                  <c:v>26.2</c:v>
                </c:pt>
                <c:pt idx="156">
                  <c:v>26.1</c:v>
                </c:pt>
                <c:pt idx="157">
                  <c:v>26.6</c:v>
                </c:pt>
              </c:numCache>
            </c:numRef>
          </c:val>
          <c:smooth val="0"/>
          <c:extLst>
            <c:ext xmlns:c16="http://schemas.microsoft.com/office/drawing/2014/chart" uri="{C3380CC4-5D6E-409C-BE32-E72D297353CC}">
              <c16:uniqueId val="{00000001-1506-43C8-88B3-6A6F88C5FF9D}"/>
            </c:ext>
          </c:extLst>
        </c:ser>
        <c:ser>
          <c:idx val="2"/>
          <c:order val="2"/>
          <c:tx>
            <c:strRef>
              <c:f>'Fig 4 data'!$E$5</c:f>
              <c:strCache>
                <c:ptCount val="1"/>
                <c:pt idx="0">
                  <c:v>75+</c:v>
                </c:pt>
              </c:strCache>
            </c:strRef>
          </c:tx>
          <c:spPr>
            <a:ln w="38100" cap="rnd">
              <a:solidFill>
                <a:srgbClr val="3F403A"/>
              </a:solidFill>
              <a:round/>
            </a:ln>
            <a:effectLst/>
          </c:spPr>
          <c:marker>
            <c:symbol val="none"/>
          </c:marker>
          <c:cat>
            <c:numRef>
              <c:f>'Fig 4 data'!$B$7:$B$164</c:f>
              <c:numCache>
                <c:formatCode>mmm\-yy</c:formatCode>
                <c:ptCount val="158"/>
                <c:pt idx="0">
                  <c:v>31472</c:v>
                </c:pt>
                <c:pt idx="1">
                  <c:v>31564</c:v>
                </c:pt>
                <c:pt idx="2">
                  <c:v>31656</c:v>
                </c:pt>
                <c:pt idx="3">
                  <c:v>31747</c:v>
                </c:pt>
                <c:pt idx="4">
                  <c:v>31837</c:v>
                </c:pt>
                <c:pt idx="5">
                  <c:v>31929</c:v>
                </c:pt>
                <c:pt idx="6">
                  <c:v>32021</c:v>
                </c:pt>
                <c:pt idx="7">
                  <c:v>32112</c:v>
                </c:pt>
                <c:pt idx="8">
                  <c:v>32203</c:v>
                </c:pt>
                <c:pt idx="9">
                  <c:v>32295</c:v>
                </c:pt>
                <c:pt idx="10">
                  <c:v>32387</c:v>
                </c:pt>
                <c:pt idx="11">
                  <c:v>32478</c:v>
                </c:pt>
                <c:pt idx="12">
                  <c:v>32568</c:v>
                </c:pt>
                <c:pt idx="13">
                  <c:v>32660</c:v>
                </c:pt>
                <c:pt idx="14">
                  <c:v>32752</c:v>
                </c:pt>
                <c:pt idx="15">
                  <c:v>32843</c:v>
                </c:pt>
                <c:pt idx="16">
                  <c:v>32933</c:v>
                </c:pt>
                <c:pt idx="17">
                  <c:v>33025</c:v>
                </c:pt>
                <c:pt idx="18">
                  <c:v>33117</c:v>
                </c:pt>
                <c:pt idx="19">
                  <c:v>33208</c:v>
                </c:pt>
                <c:pt idx="20">
                  <c:v>33298</c:v>
                </c:pt>
                <c:pt idx="21">
                  <c:v>33390</c:v>
                </c:pt>
                <c:pt idx="22">
                  <c:v>33482</c:v>
                </c:pt>
                <c:pt idx="23">
                  <c:v>33573</c:v>
                </c:pt>
                <c:pt idx="24">
                  <c:v>33664</c:v>
                </c:pt>
                <c:pt idx="25">
                  <c:v>33756</c:v>
                </c:pt>
                <c:pt idx="26">
                  <c:v>33848</c:v>
                </c:pt>
                <c:pt idx="27">
                  <c:v>33939</c:v>
                </c:pt>
                <c:pt idx="28">
                  <c:v>34029</c:v>
                </c:pt>
                <c:pt idx="29">
                  <c:v>34121</c:v>
                </c:pt>
                <c:pt idx="30">
                  <c:v>34213</c:v>
                </c:pt>
                <c:pt idx="31">
                  <c:v>34304</c:v>
                </c:pt>
                <c:pt idx="32">
                  <c:v>34394</c:v>
                </c:pt>
                <c:pt idx="33">
                  <c:v>34486</c:v>
                </c:pt>
                <c:pt idx="34">
                  <c:v>34578</c:v>
                </c:pt>
                <c:pt idx="35">
                  <c:v>34669</c:v>
                </c:pt>
                <c:pt idx="36">
                  <c:v>34759</c:v>
                </c:pt>
                <c:pt idx="37">
                  <c:v>34851</c:v>
                </c:pt>
                <c:pt idx="38">
                  <c:v>34943</c:v>
                </c:pt>
                <c:pt idx="39">
                  <c:v>35034</c:v>
                </c:pt>
                <c:pt idx="40">
                  <c:v>35125</c:v>
                </c:pt>
                <c:pt idx="41">
                  <c:v>35217</c:v>
                </c:pt>
                <c:pt idx="42">
                  <c:v>35309</c:v>
                </c:pt>
                <c:pt idx="43">
                  <c:v>35400</c:v>
                </c:pt>
                <c:pt idx="44">
                  <c:v>35490</c:v>
                </c:pt>
                <c:pt idx="45">
                  <c:v>35582</c:v>
                </c:pt>
                <c:pt idx="46">
                  <c:v>35674</c:v>
                </c:pt>
                <c:pt idx="47">
                  <c:v>35765</c:v>
                </c:pt>
                <c:pt idx="48">
                  <c:v>35855</c:v>
                </c:pt>
                <c:pt idx="49">
                  <c:v>35947</c:v>
                </c:pt>
                <c:pt idx="50">
                  <c:v>36039</c:v>
                </c:pt>
                <c:pt idx="51">
                  <c:v>36130</c:v>
                </c:pt>
                <c:pt idx="52">
                  <c:v>36220</c:v>
                </c:pt>
                <c:pt idx="53">
                  <c:v>36312</c:v>
                </c:pt>
                <c:pt idx="54">
                  <c:v>36404</c:v>
                </c:pt>
                <c:pt idx="55">
                  <c:v>36495</c:v>
                </c:pt>
                <c:pt idx="56">
                  <c:v>36586</c:v>
                </c:pt>
                <c:pt idx="57">
                  <c:v>36678</c:v>
                </c:pt>
                <c:pt idx="58">
                  <c:v>36770</c:v>
                </c:pt>
                <c:pt idx="59">
                  <c:v>36861</c:v>
                </c:pt>
                <c:pt idx="60">
                  <c:v>36951</c:v>
                </c:pt>
                <c:pt idx="61">
                  <c:v>37043</c:v>
                </c:pt>
                <c:pt idx="62">
                  <c:v>37135</c:v>
                </c:pt>
                <c:pt idx="63">
                  <c:v>37226</c:v>
                </c:pt>
                <c:pt idx="64">
                  <c:v>37316</c:v>
                </c:pt>
                <c:pt idx="65">
                  <c:v>37408</c:v>
                </c:pt>
                <c:pt idx="66">
                  <c:v>37500</c:v>
                </c:pt>
                <c:pt idx="67">
                  <c:v>37591</c:v>
                </c:pt>
                <c:pt idx="68">
                  <c:v>37681</c:v>
                </c:pt>
                <c:pt idx="69">
                  <c:v>37773</c:v>
                </c:pt>
                <c:pt idx="70">
                  <c:v>37865</c:v>
                </c:pt>
                <c:pt idx="71">
                  <c:v>37956</c:v>
                </c:pt>
                <c:pt idx="72">
                  <c:v>38047</c:v>
                </c:pt>
                <c:pt idx="73">
                  <c:v>38139</c:v>
                </c:pt>
                <c:pt idx="74">
                  <c:v>38231</c:v>
                </c:pt>
                <c:pt idx="75">
                  <c:v>38322</c:v>
                </c:pt>
                <c:pt idx="76">
                  <c:v>38412</c:v>
                </c:pt>
                <c:pt idx="77">
                  <c:v>38504</c:v>
                </c:pt>
                <c:pt idx="78">
                  <c:v>38596</c:v>
                </c:pt>
                <c:pt idx="79">
                  <c:v>38687</c:v>
                </c:pt>
                <c:pt idx="80">
                  <c:v>38777</c:v>
                </c:pt>
                <c:pt idx="81">
                  <c:v>38869</c:v>
                </c:pt>
                <c:pt idx="82">
                  <c:v>38961</c:v>
                </c:pt>
                <c:pt idx="83">
                  <c:v>39052</c:v>
                </c:pt>
                <c:pt idx="84">
                  <c:v>39142</c:v>
                </c:pt>
                <c:pt idx="85">
                  <c:v>39234</c:v>
                </c:pt>
                <c:pt idx="86">
                  <c:v>39326</c:v>
                </c:pt>
                <c:pt idx="87">
                  <c:v>39417</c:v>
                </c:pt>
                <c:pt idx="88">
                  <c:v>39508</c:v>
                </c:pt>
                <c:pt idx="89">
                  <c:v>39600</c:v>
                </c:pt>
                <c:pt idx="90">
                  <c:v>39692</c:v>
                </c:pt>
                <c:pt idx="91">
                  <c:v>39783</c:v>
                </c:pt>
                <c:pt idx="92">
                  <c:v>39873</c:v>
                </c:pt>
                <c:pt idx="93">
                  <c:v>39965</c:v>
                </c:pt>
                <c:pt idx="94">
                  <c:v>40057</c:v>
                </c:pt>
                <c:pt idx="95">
                  <c:v>40148</c:v>
                </c:pt>
                <c:pt idx="96">
                  <c:v>40238</c:v>
                </c:pt>
                <c:pt idx="97">
                  <c:v>40330</c:v>
                </c:pt>
                <c:pt idx="98">
                  <c:v>40422</c:v>
                </c:pt>
                <c:pt idx="99">
                  <c:v>40513</c:v>
                </c:pt>
                <c:pt idx="100">
                  <c:v>40603</c:v>
                </c:pt>
                <c:pt idx="101">
                  <c:v>40695</c:v>
                </c:pt>
                <c:pt idx="102">
                  <c:v>40787</c:v>
                </c:pt>
                <c:pt idx="103">
                  <c:v>40878</c:v>
                </c:pt>
                <c:pt idx="104">
                  <c:v>40969</c:v>
                </c:pt>
                <c:pt idx="105">
                  <c:v>41061</c:v>
                </c:pt>
                <c:pt idx="106">
                  <c:v>41153</c:v>
                </c:pt>
                <c:pt idx="107">
                  <c:v>41244</c:v>
                </c:pt>
                <c:pt idx="108">
                  <c:v>41334</c:v>
                </c:pt>
                <c:pt idx="109">
                  <c:v>41426</c:v>
                </c:pt>
                <c:pt idx="110">
                  <c:v>41518</c:v>
                </c:pt>
                <c:pt idx="111">
                  <c:v>41609</c:v>
                </c:pt>
                <c:pt idx="112">
                  <c:v>41699</c:v>
                </c:pt>
                <c:pt idx="113">
                  <c:v>41791</c:v>
                </c:pt>
                <c:pt idx="114">
                  <c:v>41883</c:v>
                </c:pt>
                <c:pt idx="115">
                  <c:v>41974</c:v>
                </c:pt>
                <c:pt idx="116">
                  <c:v>42064</c:v>
                </c:pt>
                <c:pt idx="117">
                  <c:v>42156</c:v>
                </c:pt>
                <c:pt idx="118">
                  <c:v>42248</c:v>
                </c:pt>
                <c:pt idx="119">
                  <c:v>42339</c:v>
                </c:pt>
                <c:pt idx="120">
                  <c:v>42430</c:v>
                </c:pt>
                <c:pt idx="121">
                  <c:v>42522</c:v>
                </c:pt>
                <c:pt idx="122">
                  <c:v>42614</c:v>
                </c:pt>
                <c:pt idx="123">
                  <c:v>42705</c:v>
                </c:pt>
                <c:pt idx="124">
                  <c:v>42795</c:v>
                </c:pt>
                <c:pt idx="125">
                  <c:v>42887</c:v>
                </c:pt>
                <c:pt idx="126">
                  <c:v>42979</c:v>
                </c:pt>
                <c:pt idx="127">
                  <c:v>43070</c:v>
                </c:pt>
                <c:pt idx="128">
                  <c:v>43160</c:v>
                </c:pt>
                <c:pt idx="129">
                  <c:v>43252</c:v>
                </c:pt>
                <c:pt idx="130">
                  <c:v>43344</c:v>
                </c:pt>
                <c:pt idx="131">
                  <c:v>43435</c:v>
                </c:pt>
                <c:pt idx="132">
                  <c:v>43525</c:v>
                </c:pt>
                <c:pt idx="133">
                  <c:v>43617</c:v>
                </c:pt>
                <c:pt idx="134">
                  <c:v>43709</c:v>
                </c:pt>
                <c:pt idx="135">
                  <c:v>43800</c:v>
                </c:pt>
                <c:pt idx="136">
                  <c:v>43891</c:v>
                </c:pt>
                <c:pt idx="137">
                  <c:v>43983</c:v>
                </c:pt>
                <c:pt idx="138">
                  <c:v>44075</c:v>
                </c:pt>
                <c:pt idx="139">
                  <c:v>44166</c:v>
                </c:pt>
                <c:pt idx="140">
                  <c:v>44256</c:v>
                </c:pt>
                <c:pt idx="141">
                  <c:v>44348</c:v>
                </c:pt>
                <c:pt idx="142">
                  <c:v>44440</c:v>
                </c:pt>
                <c:pt idx="143">
                  <c:v>44531</c:v>
                </c:pt>
                <c:pt idx="144">
                  <c:v>44621</c:v>
                </c:pt>
                <c:pt idx="145">
                  <c:v>44713</c:v>
                </c:pt>
                <c:pt idx="146">
                  <c:v>44805</c:v>
                </c:pt>
                <c:pt idx="147">
                  <c:v>44896</c:v>
                </c:pt>
                <c:pt idx="148">
                  <c:v>44986</c:v>
                </c:pt>
                <c:pt idx="149">
                  <c:v>45078</c:v>
                </c:pt>
                <c:pt idx="150">
                  <c:v>45170</c:v>
                </c:pt>
                <c:pt idx="151">
                  <c:v>45261</c:v>
                </c:pt>
                <c:pt idx="152">
                  <c:v>45352</c:v>
                </c:pt>
                <c:pt idx="153">
                  <c:v>45444</c:v>
                </c:pt>
                <c:pt idx="154">
                  <c:v>45536</c:v>
                </c:pt>
                <c:pt idx="155">
                  <c:v>45627</c:v>
                </c:pt>
                <c:pt idx="156">
                  <c:v>45717</c:v>
                </c:pt>
                <c:pt idx="157">
                  <c:v>45809</c:v>
                </c:pt>
              </c:numCache>
            </c:numRef>
          </c:cat>
          <c:val>
            <c:numRef>
              <c:f>'Fig 4 data'!$E$7:$E$164</c:f>
              <c:numCache>
                <c:formatCode>0.0</c:formatCode>
                <c:ptCount val="158"/>
                <c:pt idx="0">
                  <c:v>3.5</c:v>
                </c:pt>
                <c:pt idx="1">
                  <c:v>3.5</c:v>
                </c:pt>
                <c:pt idx="2">
                  <c:v>3.9</c:v>
                </c:pt>
                <c:pt idx="3">
                  <c:v>4.5</c:v>
                </c:pt>
                <c:pt idx="4">
                  <c:v>4.4000000000000004</c:v>
                </c:pt>
                <c:pt idx="5">
                  <c:v>3.7</c:v>
                </c:pt>
                <c:pt idx="6">
                  <c:v>3.5</c:v>
                </c:pt>
                <c:pt idx="7">
                  <c:v>3.5</c:v>
                </c:pt>
                <c:pt idx="8">
                  <c:v>4.2</c:v>
                </c:pt>
                <c:pt idx="9">
                  <c:v>2.8</c:v>
                </c:pt>
                <c:pt idx="10">
                  <c:v>2.9</c:v>
                </c:pt>
                <c:pt idx="11">
                  <c:v>3.5</c:v>
                </c:pt>
                <c:pt idx="12">
                  <c:v>3</c:v>
                </c:pt>
                <c:pt idx="13">
                  <c:v>3.8</c:v>
                </c:pt>
                <c:pt idx="14">
                  <c:v>3.3</c:v>
                </c:pt>
                <c:pt idx="15">
                  <c:v>3.7</c:v>
                </c:pt>
                <c:pt idx="16">
                  <c:v>2.6</c:v>
                </c:pt>
                <c:pt idx="17">
                  <c:v>3.6</c:v>
                </c:pt>
                <c:pt idx="18">
                  <c:v>3.1</c:v>
                </c:pt>
                <c:pt idx="19">
                  <c:v>2.7</c:v>
                </c:pt>
                <c:pt idx="20">
                  <c:v>2.5</c:v>
                </c:pt>
                <c:pt idx="21">
                  <c:v>2.7</c:v>
                </c:pt>
                <c:pt idx="22">
                  <c:v>1.9</c:v>
                </c:pt>
                <c:pt idx="23">
                  <c:v>2</c:v>
                </c:pt>
                <c:pt idx="24">
                  <c:v>2.2000000000000002</c:v>
                </c:pt>
                <c:pt idx="25">
                  <c:v>2.2000000000000002</c:v>
                </c:pt>
                <c:pt idx="26">
                  <c:v>1.9</c:v>
                </c:pt>
                <c:pt idx="27">
                  <c:v>1.9</c:v>
                </c:pt>
                <c:pt idx="28">
                  <c:v>1.7</c:v>
                </c:pt>
                <c:pt idx="29">
                  <c:v>1.8</c:v>
                </c:pt>
                <c:pt idx="30">
                  <c:v>1.7</c:v>
                </c:pt>
                <c:pt idx="31">
                  <c:v>1.9</c:v>
                </c:pt>
                <c:pt idx="32">
                  <c:v>2.2999999999999998</c:v>
                </c:pt>
                <c:pt idx="33">
                  <c:v>2.2999999999999998</c:v>
                </c:pt>
                <c:pt idx="34">
                  <c:v>2.2999999999999998</c:v>
                </c:pt>
                <c:pt idx="35">
                  <c:v>2.6</c:v>
                </c:pt>
                <c:pt idx="36">
                  <c:v>2</c:v>
                </c:pt>
                <c:pt idx="37">
                  <c:v>1.8</c:v>
                </c:pt>
                <c:pt idx="38">
                  <c:v>1.5</c:v>
                </c:pt>
                <c:pt idx="39">
                  <c:v>1.5</c:v>
                </c:pt>
                <c:pt idx="40">
                  <c:v>1.7</c:v>
                </c:pt>
                <c:pt idx="41">
                  <c:v>1.6</c:v>
                </c:pt>
                <c:pt idx="42">
                  <c:v>2.1</c:v>
                </c:pt>
                <c:pt idx="43">
                  <c:v>2.1</c:v>
                </c:pt>
                <c:pt idx="44">
                  <c:v>2.2000000000000002</c:v>
                </c:pt>
                <c:pt idx="45">
                  <c:v>2.1</c:v>
                </c:pt>
                <c:pt idx="46">
                  <c:v>2.1</c:v>
                </c:pt>
                <c:pt idx="47">
                  <c:v>1.6</c:v>
                </c:pt>
                <c:pt idx="48">
                  <c:v>1.6</c:v>
                </c:pt>
                <c:pt idx="49">
                  <c:v>1.7</c:v>
                </c:pt>
                <c:pt idx="50">
                  <c:v>1.8</c:v>
                </c:pt>
                <c:pt idx="51">
                  <c:v>2.1</c:v>
                </c:pt>
                <c:pt idx="52">
                  <c:v>2.2999999999999998</c:v>
                </c:pt>
                <c:pt idx="53">
                  <c:v>2.6</c:v>
                </c:pt>
                <c:pt idx="54">
                  <c:v>1.7</c:v>
                </c:pt>
                <c:pt idx="55">
                  <c:v>1.3</c:v>
                </c:pt>
                <c:pt idx="56">
                  <c:v>1.8</c:v>
                </c:pt>
                <c:pt idx="57">
                  <c:v>1.7</c:v>
                </c:pt>
                <c:pt idx="58">
                  <c:v>1.8</c:v>
                </c:pt>
                <c:pt idx="59">
                  <c:v>2.6</c:v>
                </c:pt>
                <c:pt idx="60">
                  <c:v>2.2999999999999998</c:v>
                </c:pt>
                <c:pt idx="61">
                  <c:v>2.6</c:v>
                </c:pt>
                <c:pt idx="62">
                  <c:v>2.1</c:v>
                </c:pt>
                <c:pt idx="63">
                  <c:v>1.8</c:v>
                </c:pt>
                <c:pt idx="64">
                  <c:v>2.2999999999999998</c:v>
                </c:pt>
                <c:pt idx="65">
                  <c:v>2.5</c:v>
                </c:pt>
                <c:pt idx="66">
                  <c:v>2.1</c:v>
                </c:pt>
                <c:pt idx="67">
                  <c:v>1.9</c:v>
                </c:pt>
                <c:pt idx="68">
                  <c:v>1.9</c:v>
                </c:pt>
                <c:pt idx="69">
                  <c:v>2.2000000000000002</c:v>
                </c:pt>
                <c:pt idx="70">
                  <c:v>2.1</c:v>
                </c:pt>
                <c:pt idx="71">
                  <c:v>2.5</c:v>
                </c:pt>
                <c:pt idx="72">
                  <c:v>2.6</c:v>
                </c:pt>
                <c:pt idx="73">
                  <c:v>2.7</c:v>
                </c:pt>
                <c:pt idx="74">
                  <c:v>3</c:v>
                </c:pt>
                <c:pt idx="75">
                  <c:v>2.8</c:v>
                </c:pt>
                <c:pt idx="76">
                  <c:v>2.4</c:v>
                </c:pt>
                <c:pt idx="77">
                  <c:v>2.6</c:v>
                </c:pt>
                <c:pt idx="78">
                  <c:v>2.5</c:v>
                </c:pt>
                <c:pt idx="79">
                  <c:v>2.5</c:v>
                </c:pt>
                <c:pt idx="80">
                  <c:v>2.7</c:v>
                </c:pt>
                <c:pt idx="81">
                  <c:v>2</c:v>
                </c:pt>
                <c:pt idx="82">
                  <c:v>2.2999999999999998</c:v>
                </c:pt>
                <c:pt idx="83">
                  <c:v>3</c:v>
                </c:pt>
                <c:pt idx="84">
                  <c:v>2.5</c:v>
                </c:pt>
                <c:pt idx="85">
                  <c:v>3.4</c:v>
                </c:pt>
                <c:pt idx="86">
                  <c:v>2.2000000000000002</c:v>
                </c:pt>
                <c:pt idx="87">
                  <c:v>3.4</c:v>
                </c:pt>
                <c:pt idx="88">
                  <c:v>2.9</c:v>
                </c:pt>
                <c:pt idx="89">
                  <c:v>3.2</c:v>
                </c:pt>
                <c:pt idx="90">
                  <c:v>3.4</c:v>
                </c:pt>
                <c:pt idx="91">
                  <c:v>3.2</c:v>
                </c:pt>
                <c:pt idx="92">
                  <c:v>3</c:v>
                </c:pt>
                <c:pt idx="93">
                  <c:v>3.2</c:v>
                </c:pt>
                <c:pt idx="94">
                  <c:v>2.9</c:v>
                </c:pt>
                <c:pt idx="95">
                  <c:v>3.2</c:v>
                </c:pt>
                <c:pt idx="96">
                  <c:v>3</c:v>
                </c:pt>
                <c:pt idx="97">
                  <c:v>3.9</c:v>
                </c:pt>
                <c:pt idx="98">
                  <c:v>3.9</c:v>
                </c:pt>
                <c:pt idx="99">
                  <c:v>3.7</c:v>
                </c:pt>
                <c:pt idx="100">
                  <c:v>4.3</c:v>
                </c:pt>
                <c:pt idx="101">
                  <c:v>4.8</c:v>
                </c:pt>
                <c:pt idx="102">
                  <c:v>4.4000000000000004</c:v>
                </c:pt>
                <c:pt idx="103">
                  <c:v>4.5</c:v>
                </c:pt>
                <c:pt idx="104">
                  <c:v>4</c:v>
                </c:pt>
                <c:pt idx="105">
                  <c:v>4.5</c:v>
                </c:pt>
                <c:pt idx="106">
                  <c:v>4.9000000000000004</c:v>
                </c:pt>
                <c:pt idx="107">
                  <c:v>3.9</c:v>
                </c:pt>
                <c:pt idx="108">
                  <c:v>4.2</c:v>
                </c:pt>
                <c:pt idx="109">
                  <c:v>4.5</c:v>
                </c:pt>
                <c:pt idx="110">
                  <c:v>4.8</c:v>
                </c:pt>
                <c:pt idx="111">
                  <c:v>4.9000000000000004</c:v>
                </c:pt>
                <c:pt idx="112">
                  <c:v>5.4</c:v>
                </c:pt>
                <c:pt idx="113">
                  <c:v>5.8</c:v>
                </c:pt>
                <c:pt idx="114">
                  <c:v>5.5</c:v>
                </c:pt>
                <c:pt idx="115">
                  <c:v>6.6</c:v>
                </c:pt>
                <c:pt idx="116">
                  <c:v>7</c:v>
                </c:pt>
                <c:pt idx="117">
                  <c:v>6.1</c:v>
                </c:pt>
                <c:pt idx="118">
                  <c:v>5.7</c:v>
                </c:pt>
                <c:pt idx="119">
                  <c:v>5.9</c:v>
                </c:pt>
                <c:pt idx="120">
                  <c:v>5.9</c:v>
                </c:pt>
                <c:pt idx="121">
                  <c:v>7</c:v>
                </c:pt>
                <c:pt idx="122">
                  <c:v>7.4</c:v>
                </c:pt>
                <c:pt idx="123">
                  <c:v>6.6</c:v>
                </c:pt>
                <c:pt idx="124">
                  <c:v>6.9</c:v>
                </c:pt>
                <c:pt idx="125">
                  <c:v>6.7</c:v>
                </c:pt>
                <c:pt idx="126">
                  <c:v>7.4</c:v>
                </c:pt>
                <c:pt idx="127">
                  <c:v>7.9</c:v>
                </c:pt>
                <c:pt idx="128">
                  <c:v>7.5</c:v>
                </c:pt>
                <c:pt idx="129">
                  <c:v>7</c:v>
                </c:pt>
                <c:pt idx="130">
                  <c:v>7</c:v>
                </c:pt>
                <c:pt idx="131">
                  <c:v>6.8</c:v>
                </c:pt>
                <c:pt idx="132">
                  <c:v>7.2</c:v>
                </c:pt>
                <c:pt idx="133">
                  <c:v>7.1</c:v>
                </c:pt>
                <c:pt idx="134">
                  <c:v>7.5</c:v>
                </c:pt>
                <c:pt idx="135">
                  <c:v>8.4</c:v>
                </c:pt>
                <c:pt idx="136">
                  <c:v>8</c:v>
                </c:pt>
                <c:pt idx="137">
                  <c:v>7.7</c:v>
                </c:pt>
                <c:pt idx="138">
                  <c:v>8</c:v>
                </c:pt>
                <c:pt idx="139">
                  <c:v>8</c:v>
                </c:pt>
                <c:pt idx="140">
                  <c:v>7.3</c:v>
                </c:pt>
                <c:pt idx="141">
                  <c:v>8.3000000000000007</c:v>
                </c:pt>
                <c:pt idx="142">
                  <c:v>8.1999999999999993</c:v>
                </c:pt>
                <c:pt idx="143">
                  <c:v>8.3000000000000007</c:v>
                </c:pt>
                <c:pt idx="144">
                  <c:v>8.6</c:v>
                </c:pt>
                <c:pt idx="145">
                  <c:v>7.8</c:v>
                </c:pt>
                <c:pt idx="146">
                  <c:v>8</c:v>
                </c:pt>
                <c:pt idx="147">
                  <c:v>8.5</c:v>
                </c:pt>
                <c:pt idx="148">
                  <c:v>9</c:v>
                </c:pt>
                <c:pt idx="149">
                  <c:v>9.1</c:v>
                </c:pt>
                <c:pt idx="150">
                  <c:v>8.9</c:v>
                </c:pt>
                <c:pt idx="151">
                  <c:v>9.5</c:v>
                </c:pt>
                <c:pt idx="152">
                  <c:v>8.8000000000000007</c:v>
                </c:pt>
                <c:pt idx="153">
                  <c:v>9</c:v>
                </c:pt>
                <c:pt idx="154">
                  <c:v>8.6</c:v>
                </c:pt>
                <c:pt idx="155">
                  <c:v>8.6999999999999993</c:v>
                </c:pt>
                <c:pt idx="156">
                  <c:v>9.1999999999999993</c:v>
                </c:pt>
                <c:pt idx="157">
                  <c:v>9.3000000000000007</c:v>
                </c:pt>
              </c:numCache>
            </c:numRef>
          </c:val>
          <c:smooth val="0"/>
          <c:extLst>
            <c:ext xmlns:c16="http://schemas.microsoft.com/office/drawing/2014/chart" uri="{C3380CC4-5D6E-409C-BE32-E72D297353CC}">
              <c16:uniqueId val="{00000002-1506-43C8-88B3-6A6F88C5FF9D}"/>
            </c:ext>
          </c:extLst>
        </c:ser>
        <c:dLbls>
          <c:showLegendKey val="0"/>
          <c:showVal val="0"/>
          <c:showCatName val="0"/>
          <c:showSerName val="0"/>
          <c:showPercent val="0"/>
          <c:showBubbleSize val="0"/>
        </c:dLbls>
        <c:smooth val="0"/>
        <c:axId val="109536079"/>
        <c:axId val="109539439"/>
      </c:lineChart>
      <c:dateAx>
        <c:axId val="109536079"/>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Quarterly</a:t>
                </a:r>
              </a:p>
            </c:rich>
          </c:tx>
          <c:layout>
            <c:manualLayout>
              <c:xMode val="edge"/>
              <c:yMode val="edge"/>
              <c:x val="0.44619965956725138"/>
              <c:y val="0.88062270870984416"/>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yyyy" sourceLinked="0"/>
        <c:majorTickMark val="out"/>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9539439"/>
        <c:crosses val="autoZero"/>
        <c:auto val="1"/>
        <c:lblOffset val="100"/>
        <c:baseTimeUnit val="months"/>
        <c:majorUnit val="60"/>
        <c:majorTimeUnit val="months"/>
      </c:dateAx>
      <c:valAx>
        <c:axId val="109539439"/>
        <c:scaling>
          <c:orientation val="minMax"/>
        </c:scaling>
        <c:delete val="0"/>
        <c:axPos val="l"/>
        <c:majorGridlines>
          <c:spPr>
            <a:ln w="9525" cap="flat" cmpd="sng" algn="ctr">
              <a:solidFill>
                <a:schemeClr val="bg1">
                  <a:lumMod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9536079"/>
        <c:crosses val="autoZero"/>
        <c:crossBetween val="between"/>
      </c:valAx>
      <c:spPr>
        <a:noFill/>
        <a:ln>
          <a:noFill/>
        </a:ln>
        <a:effectLst/>
      </c:spPr>
    </c:plotArea>
    <c:legend>
      <c:legendPos val="b"/>
      <c:layout>
        <c:manualLayout>
          <c:xMode val="edge"/>
          <c:yMode val="edge"/>
          <c:x val="0.32790330490004205"/>
          <c:y val="0.9434550366916904"/>
          <c:w val="0.3592463724952597"/>
          <c:h val="5.4443615119713143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4968277734093086E-2"/>
          <c:y val="7.8113379209951692E-2"/>
          <c:w val="0.91943664702650885"/>
          <c:h val="0.68299659233772259"/>
        </c:manualLayout>
      </c:layout>
      <c:lineChart>
        <c:grouping val="standard"/>
        <c:varyColors val="0"/>
        <c:ser>
          <c:idx val="4"/>
          <c:order val="0"/>
          <c:tx>
            <c:strRef>
              <c:f>'Fig 5 data'!$G$5</c:f>
              <c:strCache>
                <c:ptCount val="1"/>
                <c:pt idx="0">
                  <c:v>Actual</c:v>
                </c:pt>
              </c:strCache>
            </c:strRef>
          </c:tx>
          <c:spPr>
            <a:ln w="38100">
              <a:solidFill>
                <a:srgbClr val="0083AC"/>
              </a:solidFill>
            </a:ln>
          </c:spPr>
          <c:marker>
            <c:symbol val="none"/>
          </c:marker>
          <c:cat>
            <c:numRef>
              <c:f>'Fig 5 data'!$B$7:$B$56</c:f>
              <c:numCache>
                <c:formatCode>General</c:formatCode>
                <c:ptCount val="5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pt idx="26">
                  <c:v>2027</c:v>
                </c:pt>
                <c:pt idx="27">
                  <c:v>2028</c:v>
                </c:pt>
                <c:pt idx="28">
                  <c:v>2029</c:v>
                </c:pt>
                <c:pt idx="29">
                  <c:v>2030</c:v>
                </c:pt>
                <c:pt idx="30">
                  <c:v>2031</c:v>
                </c:pt>
                <c:pt idx="31">
                  <c:v>2032</c:v>
                </c:pt>
                <c:pt idx="32">
                  <c:v>2033</c:v>
                </c:pt>
                <c:pt idx="33">
                  <c:v>2034</c:v>
                </c:pt>
                <c:pt idx="34">
                  <c:v>2035</c:v>
                </c:pt>
                <c:pt idx="35">
                  <c:v>2036</c:v>
                </c:pt>
                <c:pt idx="36">
                  <c:v>2037</c:v>
                </c:pt>
                <c:pt idx="37">
                  <c:v>2038</c:v>
                </c:pt>
                <c:pt idx="38">
                  <c:v>2039</c:v>
                </c:pt>
                <c:pt idx="39">
                  <c:v>2040</c:v>
                </c:pt>
                <c:pt idx="40">
                  <c:v>2041</c:v>
                </c:pt>
                <c:pt idx="41">
                  <c:v>2042</c:v>
                </c:pt>
                <c:pt idx="42">
                  <c:v>2043</c:v>
                </c:pt>
                <c:pt idx="43">
                  <c:v>2044</c:v>
                </c:pt>
                <c:pt idx="44">
                  <c:v>2045</c:v>
                </c:pt>
                <c:pt idx="45">
                  <c:v>2046</c:v>
                </c:pt>
                <c:pt idx="46">
                  <c:v>2047</c:v>
                </c:pt>
                <c:pt idx="47">
                  <c:v>2048</c:v>
                </c:pt>
                <c:pt idx="48">
                  <c:v>2049</c:v>
                </c:pt>
                <c:pt idx="49">
                  <c:v>2050</c:v>
                </c:pt>
              </c:numCache>
            </c:numRef>
          </c:cat>
          <c:val>
            <c:numRef>
              <c:f>'Fig 5 data'!$G$7:$G$56</c:f>
              <c:numCache>
                <c:formatCode>0.00</c:formatCode>
                <c:ptCount val="50"/>
                <c:pt idx="0">
                  <c:v>6.5</c:v>
                </c:pt>
                <c:pt idx="1">
                  <c:v>6.8000000000000007</c:v>
                </c:pt>
                <c:pt idx="2">
                  <c:v>5.6000000000000005</c:v>
                </c:pt>
                <c:pt idx="3">
                  <c:v>6.2</c:v>
                </c:pt>
                <c:pt idx="4">
                  <c:v>6.02</c:v>
                </c:pt>
                <c:pt idx="5">
                  <c:v>5.79</c:v>
                </c:pt>
                <c:pt idx="6">
                  <c:v>5.96</c:v>
                </c:pt>
                <c:pt idx="7">
                  <c:v>6.41</c:v>
                </c:pt>
                <c:pt idx="8">
                  <c:v>5.43</c:v>
                </c:pt>
                <c:pt idx="9">
                  <c:v>5.82</c:v>
                </c:pt>
                <c:pt idx="10">
                  <c:v>5.42</c:v>
                </c:pt>
                <c:pt idx="11">
                  <c:v>4.1399999999999997</c:v>
                </c:pt>
                <c:pt idx="12">
                  <c:v>3.5700000000000003</c:v>
                </c:pt>
                <c:pt idx="13">
                  <c:v>4.55</c:v>
                </c:pt>
                <c:pt idx="14">
                  <c:v>3.7699999999999996</c:v>
                </c:pt>
                <c:pt idx="15">
                  <c:v>3.16</c:v>
                </c:pt>
                <c:pt idx="16">
                  <c:v>2.86</c:v>
                </c:pt>
                <c:pt idx="17">
                  <c:v>2.88</c:v>
                </c:pt>
                <c:pt idx="18">
                  <c:v>2.31</c:v>
                </c:pt>
                <c:pt idx="19">
                  <c:v>1.18</c:v>
                </c:pt>
                <c:pt idx="20">
                  <c:v>1.1599999999999999</c:v>
                </c:pt>
                <c:pt idx="21">
                  <c:v>2.65</c:v>
                </c:pt>
                <c:pt idx="22">
                  <c:v>4.1500000000000004</c:v>
                </c:pt>
                <c:pt idx="23">
                  <c:v>4.8500000000000005</c:v>
                </c:pt>
              </c:numCache>
            </c:numRef>
          </c:val>
          <c:smooth val="0"/>
          <c:extLst>
            <c:ext xmlns:c16="http://schemas.microsoft.com/office/drawing/2014/chart" uri="{C3380CC4-5D6E-409C-BE32-E72D297353CC}">
              <c16:uniqueId val="{00000004-6068-48B3-A543-A154FE31A7B0}"/>
            </c:ext>
          </c:extLst>
        </c:ser>
        <c:ser>
          <c:idx val="3"/>
          <c:order val="1"/>
          <c:tx>
            <c:strRef>
              <c:f>'Fig 5 data'!$F$5</c:f>
              <c:strCache>
                <c:ptCount val="1"/>
                <c:pt idx="0">
                  <c:v>LTFS 2025</c:v>
                </c:pt>
              </c:strCache>
            </c:strRef>
          </c:tx>
          <c:spPr>
            <a:ln w="38100">
              <a:solidFill>
                <a:srgbClr val="67A854"/>
              </a:solidFill>
            </a:ln>
          </c:spPr>
          <c:marker>
            <c:symbol val="none"/>
          </c:marker>
          <c:cat>
            <c:numRef>
              <c:f>'Fig 5 data'!$B$7:$B$56</c:f>
              <c:numCache>
                <c:formatCode>General</c:formatCode>
                <c:ptCount val="5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pt idx="26">
                  <c:v>2027</c:v>
                </c:pt>
                <c:pt idx="27">
                  <c:v>2028</c:v>
                </c:pt>
                <c:pt idx="28">
                  <c:v>2029</c:v>
                </c:pt>
                <c:pt idx="29">
                  <c:v>2030</c:v>
                </c:pt>
                <c:pt idx="30">
                  <c:v>2031</c:v>
                </c:pt>
                <c:pt idx="31">
                  <c:v>2032</c:v>
                </c:pt>
                <c:pt idx="32">
                  <c:v>2033</c:v>
                </c:pt>
                <c:pt idx="33">
                  <c:v>2034</c:v>
                </c:pt>
                <c:pt idx="34">
                  <c:v>2035</c:v>
                </c:pt>
                <c:pt idx="35">
                  <c:v>2036</c:v>
                </c:pt>
                <c:pt idx="36">
                  <c:v>2037</c:v>
                </c:pt>
                <c:pt idx="37">
                  <c:v>2038</c:v>
                </c:pt>
                <c:pt idx="38">
                  <c:v>2039</c:v>
                </c:pt>
                <c:pt idx="39">
                  <c:v>2040</c:v>
                </c:pt>
                <c:pt idx="40">
                  <c:v>2041</c:v>
                </c:pt>
                <c:pt idx="41">
                  <c:v>2042</c:v>
                </c:pt>
                <c:pt idx="42">
                  <c:v>2043</c:v>
                </c:pt>
                <c:pt idx="43">
                  <c:v>2044</c:v>
                </c:pt>
                <c:pt idx="44">
                  <c:v>2045</c:v>
                </c:pt>
                <c:pt idx="45">
                  <c:v>2046</c:v>
                </c:pt>
                <c:pt idx="46">
                  <c:v>2047</c:v>
                </c:pt>
                <c:pt idx="47">
                  <c:v>2048</c:v>
                </c:pt>
                <c:pt idx="48">
                  <c:v>2049</c:v>
                </c:pt>
                <c:pt idx="49">
                  <c:v>2050</c:v>
                </c:pt>
              </c:numCache>
            </c:numRef>
          </c:cat>
          <c:val>
            <c:numRef>
              <c:f>'Fig 5 data'!$F$7:$F$56</c:f>
              <c:numCache>
                <c:formatCode>0.00</c:formatCode>
                <c:ptCount val="50"/>
                <c:pt idx="23">
                  <c:v>4.8500000000000005</c:v>
                </c:pt>
                <c:pt idx="24">
                  <c:v>4.4400000000000004</c:v>
                </c:pt>
                <c:pt idx="25">
                  <c:v>4.3</c:v>
                </c:pt>
                <c:pt idx="26">
                  <c:v>4.29</c:v>
                </c:pt>
                <c:pt idx="27">
                  <c:v>4.24</c:v>
                </c:pt>
                <c:pt idx="28">
                  <c:v>4.26</c:v>
                </c:pt>
                <c:pt idx="29">
                  <c:v>4.3</c:v>
                </c:pt>
                <c:pt idx="30">
                  <c:v>4.3</c:v>
                </c:pt>
                <c:pt idx="31">
                  <c:v>4.3</c:v>
                </c:pt>
                <c:pt idx="32">
                  <c:v>4.3</c:v>
                </c:pt>
                <c:pt idx="33">
                  <c:v>4.3</c:v>
                </c:pt>
                <c:pt idx="34">
                  <c:v>4.3</c:v>
                </c:pt>
                <c:pt idx="35">
                  <c:v>4.3</c:v>
                </c:pt>
                <c:pt idx="36">
                  <c:v>4.3</c:v>
                </c:pt>
                <c:pt idx="37">
                  <c:v>4.3</c:v>
                </c:pt>
                <c:pt idx="38">
                  <c:v>4.3</c:v>
                </c:pt>
                <c:pt idx="39">
                  <c:v>4.3</c:v>
                </c:pt>
                <c:pt idx="40">
                  <c:v>4.3</c:v>
                </c:pt>
                <c:pt idx="41">
                  <c:v>4.3</c:v>
                </c:pt>
                <c:pt idx="42">
                  <c:v>4.3</c:v>
                </c:pt>
                <c:pt idx="43">
                  <c:v>4.3</c:v>
                </c:pt>
                <c:pt idx="44">
                  <c:v>4.3</c:v>
                </c:pt>
                <c:pt idx="45">
                  <c:v>4.3</c:v>
                </c:pt>
                <c:pt idx="46">
                  <c:v>4.3</c:v>
                </c:pt>
                <c:pt idx="47">
                  <c:v>4.3</c:v>
                </c:pt>
                <c:pt idx="48">
                  <c:v>4.3</c:v>
                </c:pt>
                <c:pt idx="49">
                  <c:v>4.3</c:v>
                </c:pt>
              </c:numCache>
            </c:numRef>
          </c:val>
          <c:smooth val="0"/>
          <c:extLst>
            <c:ext xmlns:c16="http://schemas.microsoft.com/office/drawing/2014/chart" uri="{C3380CC4-5D6E-409C-BE32-E72D297353CC}">
              <c16:uniqueId val="{00000003-6068-48B3-A543-A154FE31A7B0}"/>
            </c:ext>
          </c:extLst>
        </c:ser>
        <c:ser>
          <c:idx val="2"/>
          <c:order val="2"/>
          <c:tx>
            <c:strRef>
              <c:f>'Fig 5 data'!$E$5</c:f>
              <c:strCache>
                <c:ptCount val="1"/>
                <c:pt idx="0">
                  <c:v>LTFS 2021</c:v>
                </c:pt>
              </c:strCache>
            </c:strRef>
          </c:tx>
          <c:spPr>
            <a:ln w="38100">
              <a:solidFill>
                <a:srgbClr val="3F403A"/>
              </a:solidFill>
            </a:ln>
          </c:spPr>
          <c:marker>
            <c:symbol val="none"/>
          </c:marker>
          <c:cat>
            <c:numRef>
              <c:f>'Fig 5 data'!$B$7:$B$56</c:f>
              <c:numCache>
                <c:formatCode>General</c:formatCode>
                <c:ptCount val="5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pt idx="26">
                  <c:v>2027</c:v>
                </c:pt>
                <c:pt idx="27">
                  <c:v>2028</c:v>
                </c:pt>
                <c:pt idx="28">
                  <c:v>2029</c:v>
                </c:pt>
                <c:pt idx="29">
                  <c:v>2030</c:v>
                </c:pt>
                <c:pt idx="30">
                  <c:v>2031</c:v>
                </c:pt>
                <c:pt idx="31">
                  <c:v>2032</c:v>
                </c:pt>
                <c:pt idx="32">
                  <c:v>2033</c:v>
                </c:pt>
                <c:pt idx="33">
                  <c:v>2034</c:v>
                </c:pt>
                <c:pt idx="34">
                  <c:v>2035</c:v>
                </c:pt>
                <c:pt idx="35">
                  <c:v>2036</c:v>
                </c:pt>
                <c:pt idx="36">
                  <c:v>2037</c:v>
                </c:pt>
                <c:pt idx="37">
                  <c:v>2038</c:v>
                </c:pt>
                <c:pt idx="38">
                  <c:v>2039</c:v>
                </c:pt>
                <c:pt idx="39">
                  <c:v>2040</c:v>
                </c:pt>
                <c:pt idx="40">
                  <c:v>2041</c:v>
                </c:pt>
                <c:pt idx="41">
                  <c:v>2042</c:v>
                </c:pt>
                <c:pt idx="42">
                  <c:v>2043</c:v>
                </c:pt>
                <c:pt idx="43">
                  <c:v>2044</c:v>
                </c:pt>
                <c:pt idx="44">
                  <c:v>2045</c:v>
                </c:pt>
                <c:pt idx="45">
                  <c:v>2046</c:v>
                </c:pt>
                <c:pt idx="46">
                  <c:v>2047</c:v>
                </c:pt>
                <c:pt idx="47">
                  <c:v>2048</c:v>
                </c:pt>
                <c:pt idx="48">
                  <c:v>2049</c:v>
                </c:pt>
                <c:pt idx="49">
                  <c:v>2050</c:v>
                </c:pt>
              </c:numCache>
            </c:numRef>
          </c:cat>
          <c:val>
            <c:numRef>
              <c:f>'Fig 5 data'!$E$7:$E$56</c:f>
              <c:numCache>
                <c:formatCode>0.00</c:formatCode>
                <c:ptCount val="50"/>
                <c:pt idx="20">
                  <c:v>1.1599999999999999</c:v>
                </c:pt>
                <c:pt idx="21">
                  <c:v>2.06</c:v>
                </c:pt>
                <c:pt idx="22">
                  <c:v>2.35</c:v>
                </c:pt>
                <c:pt idx="23">
                  <c:v>2.58</c:v>
                </c:pt>
                <c:pt idx="24">
                  <c:v>2.8</c:v>
                </c:pt>
                <c:pt idx="25">
                  <c:v>2.9465116279069767</c:v>
                </c:pt>
                <c:pt idx="26">
                  <c:v>3.0856303218584529</c:v>
                </c:pt>
                <c:pt idx="27">
                  <c:v>3.2163429695614427</c:v>
                </c:pt>
                <c:pt idx="28">
                  <c:v>3.3379271325126139</c:v>
                </c:pt>
                <c:pt idx="29">
                  <c:v>3.4499502416233239</c:v>
                </c:pt>
                <c:pt idx="30">
                  <c:v>3.5522512661339092</c:v>
                </c:pt>
                <c:pt idx="31">
                  <c:v>3.6449091052022529</c:v>
                </c:pt>
                <c:pt idx="32">
                  <c:v>3.728202597080744</c:v>
                </c:pt>
                <c:pt idx="33">
                  <c:v>3.8025668957749623</c:v>
                </c:pt>
                <c:pt idx="34">
                  <c:v>3.8685502442048012</c:v>
                </c:pt>
                <c:pt idx="35">
                  <c:v>3.926774141581904</c:v>
                </c:pt>
                <c:pt idx="36">
                  <c:v>3.9778988037844347</c:v>
                </c:pt>
                <c:pt idx="37">
                  <c:v>4.0225948257538571</c:v>
                </c:pt>
                <c:pt idx="38">
                  <c:v>4.0672908477232799</c:v>
                </c:pt>
                <c:pt idx="39">
                  <c:v>4.1119868696927018</c:v>
                </c:pt>
                <c:pt idx="40">
                  <c:v>4.1566828916621246</c:v>
                </c:pt>
                <c:pt idx="41">
                  <c:v>4.2013789136315465</c:v>
                </c:pt>
                <c:pt idx="42">
                  <c:v>4.2460749356009693</c:v>
                </c:pt>
                <c:pt idx="43">
                  <c:v>4.2907709575703921</c:v>
                </c:pt>
                <c:pt idx="44">
                  <c:v>4.3</c:v>
                </c:pt>
                <c:pt idx="45">
                  <c:v>4.3</c:v>
                </c:pt>
                <c:pt idx="46">
                  <c:v>4.3</c:v>
                </c:pt>
                <c:pt idx="47">
                  <c:v>4.3</c:v>
                </c:pt>
                <c:pt idx="48">
                  <c:v>4.3</c:v>
                </c:pt>
                <c:pt idx="49">
                  <c:v>4.3</c:v>
                </c:pt>
              </c:numCache>
            </c:numRef>
          </c:val>
          <c:smooth val="0"/>
          <c:extLst>
            <c:ext xmlns:c16="http://schemas.microsoft.com/office/drawing/2014/chart" uri="{C3380CC4-5D6E-409C-BE32-E72D297353CC}">
              <c16:uniqueId val="{00000002-6068-48B3-A543-A154FE31A7B0}"/>
            </c:ext>
          </c:extLst>
        </c:ser>
        <c:ser>
          <c:idx val="1"/>
          <c:order val="3"/>
          <c:tx>
            <c:strRef>
              <c:f>'Fig 5 data'!$D$5</c:f>
              <c:strCache>
                <c:ptCount val="1"/>
                <c:pt idx="0">
                  <c:v>LTFS 2016</c:v>
                </c:pt>
              </c:strCache>
            </c:strRef>
          </c:tx>
          <c:spPr>
            <a:ln w="38100">
              <a:solidFill>
                <a:srgbClr val="A9A7A5"/>
              </a:solidFill>
            </a:ln>
          </c:spPr>
          <c:marker>
            <c:symbol val="none"/>
          </c:marker>
          <c:cat>
            <c:numRef>
              <c:f>'Fig 5 data'!$B$7:$B$56</c:f>
              <c:numCache>
                <c:formatCode>General</c:formatCode>
                <c:ptCount val="5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pt idx="26">
                  <c:v>2027</c:v>
                </c:pt>
                <c:pt idx="27">
                  <c:v>2028</c:v>
                </c:pt>
                <c:pt idx="28">
                  <c:v>2029</c:v>
                </c:pt>
                <c:pt idx="29">
                  <c:v>2030</c:v>
                </c:pt>
                <c:pt idx="30">
                  <c:v>2031</c:v>
                </c:pt>
                <c:pt idx="31">
                  <c:v>2032</c:v>
                </c:pt>
                <c:pt idx="32">
                  <c:v>2033</c:v>
                </c:pt>
                <c:pt idx="33">
                  <c:v>2034</c:v>
                </c:pt>
                <c:pt idx="34">
                  <c:v>2035</c:v>
                </c:pt>
                <c:pt idx="35">
                  <c:v>2036</c:v>
                </c:pt>
                <c:pt idx="36">
                  <c:v>2037</c:v>
                </c:pt>
                <c:pt idx="37">
                  <c:v>2038</c:v>
                </c:pt>
                <c:pt idx="38">
                  <c:v>2039</c:v>
                </c:pt>
                <c:pt idx="39">
                  <c:v>2040</c:v>
                </c:pt>
                <c:pt idx="40">
                  <c:v>2041</c:v>
                </c:pt>
                <c:pt idx="41">
                  <c:v>2042</c:v>
                </c:pt>
                <c:pt idx="42">
                  <c:v>2043</c:v>
                </c:pt>
                <c:pt idx="43">
                  <c:v>2044</c:v>
                </c:pt>
                <c:pt idx="44">
                  <c:v>2045</c:v>
                </c:pt>
                <c:pt idx="45">
                  <c:v>2046</c:v>
                </c:pt>
                <c:pt idx="46">
                  <c:v>2047</c:v>
                </c:pt>
                <c:pt idx="47">
                  <c:v>2048</c:v>
                </c:pt>
                <c:pt idx="48">
                  <c:v>2049</c:v>
                </c:pt>
                <c:pt idx="49">
                  <c:v>2050</c:v>
                </c:pt>
              </c:numCache>
            </c:numRef>
          </c:cat>
          <c:val>
            <c:numRef>
              <c:f>'Fig 5 data'!$D$7:$D$56</c:f>
              <c:numCache>
                <c:formatCode>0.00</c:formatCode>
                <c:ptCount val="50"/>
                <c:pt idx="15">
                  <c:v>3.25</c:v>
                </c:pt>
                <c:pt idx="16">
                  <c:v>3.11</c:v>
                </c:pt>
                <c:pt idx="17">
                  <c:v>3.5900000000000003</c:v>
                </c:pt>
                <c:pt idx="18">
                  <c:v>4.1300000000000008</c:v>
                </c:pt>
                <c:pt idx="19">
                  <c:v>4.3499999999999996</c:v>
                </c:pt>
                <c:pt idx="20">
                  <c:v>4.55</c:v>
                </c:pt>
                <c:pt idx="21">
                  <c:v>4.75</c:v>
                </c:pt>
                <c:pt idx="22">
                  <c:v>4.95</c:v>
                </c:pt>
                <c:pt idx="23">
                  <c:v>5.1499999999999995</c:v>
                </c:pt>
                <c:pt idx="24">
                  <c:v>5.3</c:v>
                </c:pt>
                <c:pt idx="25">
                  <c:v>5.3</c:v>
                </c:pt>
                <c:pt idx="26">
                  <c:v>5.3</c:v>
                </c:pt>
                <c:pt idx="27">
                  <c:v>5.3</c:v>
                </c:pt>
                <c:pt idx="28">
                  <c:v>5.3</c:v>
                </c:pt>
                <c:pt idx="29">
                  <c:v>5.3</c:v>
                </c:pt>
                <c:pt idx="30">
                  <c:v>5.3</c:v>
                </c:pt>
                <c:pt idx="31">
                  <c:v>5.3</c:v>
                </c:pt>
                <c:pt idx="32">
                  <c:v>5.3</c:v>
                </c:pt>
                <c:pt idx="33">
                  <c:v>5.3</c:v>
                </c:pt>
                <c:pt idx="34">
                  <c:v>5.3</c:v>
                </c:pt>
                <c:pt idx="35">
                  <c:v>5.3</c:v>
                </c:pt>
                <c:pt idx="36">
                  <c:v>5.3</c:v>
                </c:pt>
                <c:pt idx="37">
                  <c:v>5.3</c:v>
                </c:pt>
                <c:pt idx="38">
                  <c:v>5.3</c:v>
                </c:pt>
                <c:pt idx="39">
                  <c:v>5.3</c:v>
                </c:pt>
                <c:pt idx="40">
                  <c:v>5.3</c:v>
                </c:pt>
                <c:pt idx="41">
                  <c:v>5.3</c:v>
                </c:pt>
                <c:pt idx="42">
                  <c:v>5.3</c:v>
                </c:pt>
                <c:pt idx="43">
                  <c:v>5.3</c:v>
                </c:pt>
                <c:pt idx="44">
                  <c:v>5.3</c:v>
                </c:pt>
                <c:pt idx="45">
                  <c:v>5.3</c:v>
                </c:pt>
                <c:pt idx="46">
                  <c:v>5.3</c:v>
                </c:pt>
                <c:pt idx="47">
                  <c:v>5.3</c:v>
                </c:pt>
                <c:pt idx="48">
                  <c:v>5.3</c:v>
                </c:pt>
                <c:pt idx="49">
                  <c:v>5.3</c:v>
                </c:pt>
              </c:numCache>
            </c:numRef>
          </c:val>
          <c:smooth val="0"/>
          <c:extLst>
            <c:ext xmlns:c16="http://schemas.microsoft.com/office/drawing/2014/chart" uri="{C3380CC4-5D6E-409C-BE32-E72D297353CC}">
              <c16:uniqueId val="{00000001-6068-48B3-A543-A154FE31A7B0}"/>
            </c:ext>
          </c:extLst>
        </c:ser>
        <c:ser>
          <c:idx val="0"/>
          <c:order val="4"/>
          <c:tx>
            <c:strRef>
              <c:f>'Fig 5 data'!$C$5</c:f>
              <c:strCache>
                <c:ptCount val="1"/>
                <c:pt idx="0">
                  <c:v>LTFS 2006</c:v>
                </c:pt>
              </c:strCache>
            </c:strRef>
          </c:tx>
          <c:spPr>
            <a:ln w="38100">
              <a:solidFill>
                <a:srgbClr val="08BCE2"/>
              </a:solidFill>
            </a:ln>
          </c:spPr>
          <c:marker>
            <c:symbol val="none"/>
          </c:marker>
          <c:cat>
            <c:numRef>
              <c:f>'Fig 5 data'!$B$7:$B$56</c:f>
              <c:numCache>
                <c:formatCode>General</c:formatCode>
                <c:ptCount val="50"/>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pt idx="26">
                  <c:v>2027</c:v>
                </c:pt>
                <c:pt idx="27">
                  <c:v>2028</c:v>
                </c:pt>
                <c:pt idx="28">
                  <c:v>2029</c:v>
                </c:pt>
                <c:pt idx="29">
                  <c:v>2030</c:v>
                </c:pt>
                <c:pt idx="30">
                  <c:v>2031</c:v>
                </c:pt>
                <c:pt idx="31">
                  <c:v>2032</c:v>
                </c:pt>
                <c:pt idx="32">
                  <c:v>2033</c:v>
                </c:pt>
                <c:pt idx="33">
                  <c:v>2034</c:v>
                </c:pt>
                <c:pt idx="34">
                  <c:v>2035</c:v>
                </c:pt>
                <c:pt idx="35">
                  <c:v>2036</c:v>
                </c:pt>
                <c:pt idx="36">
                  <c:v>2037</c:v>
                </c:pt>
                <c:pt idx="37">
                  <c:v>2038</c:v>
                </c:pt>
                <c:pt idx="38">
                  <c:v>2039</c:v>
                </c:pt>
                <c:pt idx="39">
                  <c:v>2040</c:v>
                </c:pt>
                <c:pt idx="40">
                  <c:v>2041</c:v>
                </c:pt>
                <c:pt idx="41">
                  <c:v>2042</c:v>
                </c:pt>
                <c:pt idx="42">
                  <c:v>2043</c:v>
                </c:pt>
                <c:pt idx="43">
                  <c:v>2044</c:v>
                </c:pt>
                <c:pt idx="44">
                  <c:v>2045</c:v>
                </c:pt>
                <c:pt idx="45">
                  <c:v>2046</c:v>
                </c:pt>
                <c:pt idx="46">
                  <c:v>2047</c:v>
                </c:pt>
                <c:pt idx="47">
                  <c:v>2048</c:v>
                </c:pt>
                <c:pt idx="48">
                  <c:v>2049</c:v>
                </c:pt>
                <c:pt idx="49">
                  <c:v>2050</c:v>
                </c:pt>
              </c:numCache>
            </c:numRef>
          </c:cat>
          <c:val>
            <c:numRef>
              <c:f>'Fig 5 data'!$C$7:$C$56</c:f>
              <c:numCache>
                <c:formatCode>0.00</c:formatCode>
                <c:ptCount val="50"/>
                <c:pt idx="3">
                  <c:v>6.2</c:v>
                </c:pt>
                <c:pt idx="4">
                  <c:v>5.8000000000000007</c:v>
                </c:pt>
                <c:pt idx="5">
                  <c:v>5.8000000000000007</c:v>
                </c:pt>
                <c:pt idx="6">
                  <c:v>5.8999999999999995</c:v>
                </c:pt>
                <c:pt idx="7">
                  <c:v>6</c:v>
                </c:pt>
                <c:pt idx="8">
                  <c:v>6</c:v>
                </c:pt>
                <c:pt idx="9">
                  <c:v>6</c:v>
                </c:pt>
                <c:pt idx="10">
                  <c:v>6</c:v>
                </c:pt>
                <c:pt idx="11">
                  <c:v>6</c:v>
                </c:pt>
                <c:pt idx="12">
                  <c:v>6</c:v>
                </c:pt>
                <c:pt idx="13">
                  <c:v>6</c:v>
                </c:pt>
                <c:pt idx="14">
                  <c:v>6</c:v>
                </c:pt>
                <c:pt idx="15">
                  <c:v>6</c:v>
                </c:pt>
                <c:pt idx="16">
                  <c:v>6</c:v>
                </c:pt>
                <c:pt idx="17">
                  <c:v>6</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pt idx="32">
                  <c:v>6</c:v>
                </c:pt>
                <c:pt idx="33">
                  <c:v>6</c:v>
                </c:pt>
                <c:pt idx="34">
                  <c:v>6</c:v>
                </c:pt>
                <c:pt idx="35">
                  <c:v>6</c:v>
                </c:pt>
                <c:pt idx="36">
                  <c:v>6</c:v>
                </c:pt>
                <c:pt idx="37">
                  <c:v>6</c:v>
                </c:pt>
                <c:pt idx="38">
                  <c:v>6</c:v>
                </c:pt>
                <c:pt idx="39">
                  <c:v>6</c:v>
                </c:pt>
                <c:pt idx="40">
                  <c:v>6</c:v>
                </c:pt>
                <c:pt idx="41">
                  <c:v>6</c:v>
                </c:pt>
                <c:pt idx="42">
                  <c:v>6</c:v>
                </c:pt>
                <c:pt idx="43">
                  <c:v>6</c:v>
                </c:pt>
                <c:pt idx="44">
                  <c:v>6</c:v>
                </c:pt>
                <c:pt idx="45">
                  <c:v>6</c:v>
                </c:pt>
                <c:pt idx="46">
                  <c:v>6</c:v>
                </c:pt>
                <c:pt idx="47">
                  <c:v>6</c:v>
                </c:pt>
                <c:pt idx="48">
                  <c:v>6</c:v>
                </c:pt>
                <c:pt idx="49">
                  <c:v>6</c:v>
                </c:pt>
              </c:numCache>
            </c:numRef>
          </c:val>
          <c:smooth val="0"/>
          <c:extLst>
            <c:ext xmlns:c16="http://schemas.microsoft.com/office/drawing/2014/chart" uri="{C3380CC4-5D6E-409C-BE32-E72D297353CC}">
              <c16:uniqueId val="{00000000-6068-48B3-A543-A154FE31A7B0}"/>
            </c:ext>
          </c:extLst>
        </c:ser>
        <c:dLbls>
          <c:showLegendKey val="0"/>
          <c:showVal val="0"/>
          <c:showCatName val="0"/>
          <c:showSerName val="0"/>
          <c:showPercent val="0"/>
          <c:showBubbleSize val="0"/>
        </c:dLbls>
        <c:smooth val="0"/>
        <c:axId val="1555389792"/>
        <c:axId val="1555381632"/>
      </c:lineChart>
      <c:catAx>
        <c:axId val="1555389792"/>
        <c:scaling>
          <c:orientation val="minMax"/>
        </c:scaling>
        <c:delete val="0"/>
        <c:axPos val="b"/>
        <c:title>
          <c:tx>
            <c:rich>
              <a:bodyPr/>
              <a:lstStyle/>
              <a:p>
                <a:pPr algn="ctr">
                  <a:defRPr sz="1800" b="1">
                    <a:solidFill>
                      <a:srgbClr val="000000"/>
                    </a:solidFill>
                    <a:latin typeface="Arial"/>
                    <a:ea typeface="Arial"/>
                    <a:cs typeface="Arial"/>
                  </a:defRPr>
                </a:pPr>
                <a:r>
                  <a:rPr lang="en-NZ"/>
                  <a:t>Year ending 30 June</a:t>
                </a:r>
              </a:p>
            </c:rich>
          </c:tx>
          <c:layout>
            <c:manualLayout>
              <c:xMode val="edge"/>
              <c:yMode val="edge"/>
              <c:x val="0.38781035578487028"/>
              <c:y val="0.85208297492225238"/>
            </c:manualLayout>
          </c:layout>
          <c:overlay val="0"/>
        </c:title>
        <c:numFmt formatCode="General" sourceLinked="1"/>
        <c:majorTickMark val="out"/>
        <c:minorTickMark val="none"/>
        <c:tickLblPos val="low"/>
        <c:spPr>
          <a:ln w="9525">
            <a:solidFill>
              <a:srgbClr val="545454"/>
            </a:solidFill>
          </a:ln>
        </c:spPr>
        <c:txPr>
          <a:bodyPr/>
          <a:lstStyle/>
          <a:p>
            <a:pPr>
              <a:defRPr sz="1800">
                <a:solidFill>
                  <a:srgbClr val="000000"/>
                </a:solidFill>
                <a:latin typeface="Arial"/>
                <a:ea typeface="Arial"/>
                <a:cs typeface="Arial"/>
              </a:defRPr>
            </a:pPr>
            <a:endParaRPr lang="en-US"/>
          </a:p>
        </c:txPr>
        <c:crossAx val="1555381632"/>
        <c:crosses val="autoZero"/>
        <c:auto val="1"/>
        <c:lblAlgn val="ctr"/>
        <c:lblOffset val="100"/>
        <c:tickLblSkip val="5"/>
        <c:tickMarkSkip val="5"/>
        <c:noMultiLvlLbl val="0"/>
      </c:catAx>
      <c:valAx>
        <c:axId val="1555381632"/>
        <c:scaling>
          <c:orientation val="minMax"/>
          <c:max val="7"/>
        </c:scaling>
        <c:delete val="0"/>
        <c:axPos val="l"/>
        <c:majorGridlines>
          <c:spPr>
            <a:ln w="9525">
              <a:solidFill>
                <a:schemeClr val="bg1">
                  <a:lumMod val="50000"/>
                </a:schemeClr>
              </a:solidFill>
            </a:ln>
          </c:spPr>
        </c:majorGridlines>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rgbClr val="000000"/>
                </a:solidFill>
                <a:latin typeface="Arial"/>
                <a:ea typeface="Arial"/>
                <a:cs typeface="Arial"/>
              </a:defRPr>
            </a:pPr>
            <a:endParaRPr lang="en-US"/>
          </a:p>
        </c:txPr>
        <c:crossAx val="1555389792"/>
        <c:crosses val="autoZero"/>
        <c:crossBetween val="midCat"/>
      </c:valAx>
    </c:plotArea>
    <c:legend>
      <c:legendPos val="b"/>
      <c:layout>
        <c:manualLayout>
          <c:xMode val="edge"/>
          <c:yMode val="edge"/>
          <c:x val="0.14291373578302713"/>
          <c:y val="0.90353900615364258"/>
          <c:w val="0.71006974897368602"/>
          <c:h val="9.4359657248726261E-2"/>
        </c:manualLayout>
      </c:layout>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7470633917086771E-2"/>
          <c:y val="8.9257825329651069E-2"/>
          <c:w val="0.92003622079965286"/>
          <c:h val="0.63795971334963342"/>
        </c:manualLayout>
      </c:layout>
      <c:lineChart>
        <c:grouping val="standard"/>
        <c:varyColors val="0"/>
        <c:ser>
          <c:idx val="0"/>
          <c:order val="0"/>
          <c:tx>
            <c:strRef>
              <c:f>'Fig 6 data'!$C$5</c:f>
              <c:strCache>
                <c:ptCount val="1"/>
                <c:pt idx="0">
                  <c:v> Annual labour productivity growth (hours worked measure)</c:v>
                </c:pt>
              </c:strCache>
            </c:strRef>
          </c:tx>
          <c:spPr>
            <a:ln w="38100">
              <a:solidFill>
                <a:srgbClr val="0083AC"/>
              </a:solidFill>
            </a:ln>
          </c:spPr>
          <c:marker>
            <c:symbol val="none"/>
          </c:marker>
          <c:cat>
            <c:numRef>
              <c:f>'Fig 6 data'!$B$7:$B$38</c:f>
              <c:numCache>
                <c:formatCode>General</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'Fig 6 data'!$C$7:$C$38</c:f>
              <c:numCache>
                <c:formatCode>0.0</c:formatCode>
                <c:ptCount val="32"/>
                <c:pt idx="0">
                  <c:v>0.15977300765144253</c:v>
                </c:pt>
                <c:pt idx="1">
                  <c:v>1.5060821421726489</c:v>
                </c:pt>
                <c:pt idx="2">
                  <c:v>-8.3886246491360339E-3</c:v>
                </c:pt>
                <c:pt idx="3">
                  <c:v>0.43828112092050286</c:v>
                </c:pt>
                <c:pt idx="4">
                  <c:v>2.9280828268073877</c:v>
                </c:pt>
                <c:pt idx="5">
                  <c:v>1.6730726936318163</c:v>
                </c:pt>
                <c:pt idx="6">
                  <c:v>1.3731273669357558</c:v>
                </c:pt>
                <c:pt idx="7">
                  <c:v>3.42440713440888</c:v>
                </c:pt>
                <c:pt idx="8">
                  <c:v>-8.0182979848331115E-2</c:v>
                </c:pt>
                <c:pt idx="9">
                  <c:v>1.6614061630303212</c:v>
                </c:pt>
                <c:pt idx="10">
                  <c:v>2.1400528735130875</c:v>
                </c:pt>
                <c:pt idx="11">
                  <c:v>1.3326281189232514</c:v>
                </c:pt>
                <c:pt idx="12">
                  <c:v>0.7061461609018993</c:v>
                </c:pt>
                <c:pt idx="13">
                  <c:v>1.0208957230847027</c:v>
                </c:pt>
                <c:pt idx="14">
                  <c:v>2.0867436272844042</c:v>
                </c:pt>
                <c:pt idx="15">
                  <c:v>2.0283265945309603</c:v>
                </c:pt>
                <c:pt idx="16">
                  <c:v>-0.25308967021668849</c:v>
                </c:pt>
                <c:pt idx="17">
                  <c:v>2.9327707059153107</c:v>
                </c:pt>
                <c:pt idx="18">
                  <c:v>-0.76281661497942244</c:v>
                </c:pt>
                <c:pt idx="19">
                  <c:v>2.1492416503762213</c:v>
                </c:pt>
                <c:pt idx="20">
                  <c:v>1.347158361481382</c:v>
                </c:pt>
                <c:pt idx="21">
                  <c:v>-0.63608349612466197</c:v>
                </c:pt>
                <c:pt idx="22">
                  <c:v>0.98094132495096797</c:v>
                </c:pt>
                <c:pt idx="23">
                  <c:v>0.40674328362604317</c:v>
                </c:pt>
                <c:pt idx="24">
                  <c:v>-1.5529428445181903</c:v>
                </c:pt>
                <c:pt idx="25">
                  <c:v>-0.7564605896921206</c:v>
                </c:pt>
                <c:pt idx="26">
                  <c:v>0.7831655062706222</c:v>
                </c:pt>
                <c:pt idx="27">
                  <c:v>0.58547901332115515</c:v>
                </c:pt>
                <c:pt idx="28">
                  <c:v>2.9016811977040202</c:v>
                </c:pt>
                <c:pt idx="29">
                  <c:v>1.743137628925906</c:v>
                </c:pt>
                <c:pt idx="30">
                  <c:v>-0.86971612010154908</c:v>
                </c:pt>
                <c:pt idx="31">
                  <c:v>-0.48071085223794219</c:v>
                </c:pt>
              </c:numCache>
            </c:numRef>
          </c:val>
          <c:smooth val="0"/>
          <c:extLst>
            <c:ext xmlns:c16="http://schemas.microsoft.com/office/drawing/2014/chart" uri="{C3380CC4-5D6E-409C-BE32-E72D297353CC}">
              <c16:uniqueId val="{00000000-0CD0-47C7-AA64-50B10E36012D}"/>
            </c:ext>
          </c:extLst>
        </c:ser>
        <c:ser>
          <c:idx val="1"/>
          <c:order val="1"/>
          <c:tx>
            <c:strRef>
              <c:f>'Fig 6 data'!$D$5</c:f>
              <c:strCache>
                <c:ptCount val="1"/>
                <c:pt idx="0">
                  <c:v> Average over 30 years (1994/95–2023/24) ie, 1.0%</c:v>
                </c:pt>
              </c:strCache>
            </c:strRef>
          </c:tx>
          <c:spPr>
            <a:ln w="38100">
              <a:solidFill>
                <a:srgbClr val="67A854"/>
              </a:solidFill>
              <a:prstDash val="sysDash"/>
            </a:ln>
          </c:spPr>
          <c:marker>
            <c:symbol val="none"/>
          </c:marker>
          <c:cat>
            <c:numRef>
              <c:f>'Fig 6 data'!$B$7:$B$38</c:f>
              <c:numCache>
                <c:formatCode>General</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'Fig 6 data'!$D$7:$D$38</c:f>
              <c:numCache>
                <c:formatCode>0.0</c:formatCode>
                <c:ptCount val="32"/>
                <c:pt idx="0">
                  <c:v>0.97476990947255193</c:v>
                </c:pt>
                <c:pt idx="1">
                  <c:v>0.97476990947255193</c:v>
                </c:pt>
                <c:pt idx="2">
                  <c:v>0.97476990947255193</c:v>
                </c:pt>
                <c:pt idx="3">
                  <c:v>0.97476990947255193</c:v>
                </c:pt>
                <c:pt idx="4">
                  <c:v>0.97476990947255193</c:v>
                </c:pt>
                <c:pt idx="5">
                  <c:v>0.97476990947255193</c:v>
                </c:pt>
                <c:pt idx="6">
                  <c:v>0.97476990947255193</c:v>
                </c:pt>
                <c:pt idx="7">
                  <c:v>0.97476990947255193</c:v>
                </c:pt>
                <c:pt idx="8">
                  <c:v>0.97476990947255193</c:v>
                </c:pt>
                <c:pt idx="9">
                  <c:v>0.97476990947255193</c:v>
                </c:pt>
                <c:pt idx="10">
                  <c:v>0.97476990947255193</c:v>
                </c:pt>
                <c:pt idx="11">
                  <c:v>0.97476990947255193</c:v>
                </c:pt>
                <c:pt idx="12">
                  <c:v>0.97476990947255193</c:v>
                </c:pt>
                <c:pt idx="13">
                  <c:v>0.97476990947255193</c:v>
                </c:pt>
                <c:pt idx="14">
                  <c:v>0.97476990947255193</c:v>
                </c:pt>
                <c:pt idx="15">
                  <c:v>0.97476990947255193</c:v>
                </c:pt>
                <c:pt idx="16">
                  <c:v>0.97476990947255193</c:v>
                </c:pt>
                <c:pt idx="17">
                  <c:v>0.97476990947255193</c:v>
                </c:pt>
                <c:pt idx="18">
                  <c:v>0.97476990947255193</c:v>
                </c:pt>
                <c:pt idx="19">
                  <c:v>0.97476990947255193</c:v>
                </c:pt>
                <c:pt idx="20">
                  <c:v>0.97476990947255193</c:v>
                </c:pt>
                <c:pt idx="21">
                  <c:v>0.97476990947255193</c:v>
                </c:pt>
                <c:pt idx="22">
                  <c:v>0.97476990947255193</c:v>
                </c:pt>
                <c:pt idx="23">
                  <c:v>0.97476990947255193</c:v>
                </c:pt>
                <c:pt idx="24">
                  <c:v>0.97476990947255193</c:v>
                </c:pt>
                <c:pt idx="25">
                  <c:v>0.97476990947255193</c:v>
                </c:pt>
                <c:pt idx="26">
                  <c:v>0.97476990947255193</c:v>
                </c:pt>
                <c:pt idx="27">
                  <c:v>0.97476990947255193</c:v>
                </c:pt>
                <c:pt idx="28">
                  <c:v>0.97476990947255193</c:v>
                </c:pt>
                <c:pt idx="29">
                  <c:v>0.97476990947255193</c:v>
                </c:pt>
                <c:pt idx="30">
                  <c:v>0.97476990947255193</c:v>
                </c:pt>
                <c:pt idx="31">
                  <c:v>0.97476990947255193</c:v>
                </c:pt>
              </c:numCache>
            </c:numRef>
          </c:val>
          <c:smooth val="0"/>
          <c:extLst>
            <c:ext xmlns:c16="http://schemas.microsoft.com/office/drawing/2014/chart" uri="{C3380CC4-5D6E-409C-BE32-E72D297353CC}">
              <c16:uniqueId val="{00000001-0CD0-47C7-AA64-50B10E36012D}"/>
            </c:ext>
          </c:extLst>
        </c:ser>
        <c:ser>
          <c:idx val="2"/>
          <c:order val="2"/>
          <c:tx>
            <c:strRef>
              <c:f>'Fig 6 data'!$E$5</c:f>
              <c:strCache>
                <c:ptCount val="1"/>
                <c:pt idx="0">
                  <c:v> Average over 20 years (2004/05–2023/24) ie, 0.7%</c:v>
                </c:pt>
              </c:strCache>
            </c:strRef>
          </c:tx>
          <c:spPr>
            <a:ln w="38100">
              <a:solidFill>
                <a:srgbClr val="3E403A"/>
              </a:solidFill>
              <a:prstDash val="sysDash"/>
            </a:ln>
          </c:spPr>
          <c:marker>
            <c:symbol val="none"/>
          </c:marker>
          <c:cat>
            <c:numRef>
              <c:f>'Fig 6 data'!$B$7:$B$38</c:f>
              <c:numCache>
                <c:formatCode>General</c:formatCode>
                <c:ptCount val="32"/>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f>'Fig 6 data'!$E$7:$E$38</c:f>
              <c:numCache>
                <c:formatCode>0.0</c:formatCode>
                <c:ptCount val="32"/>
                <c:pt idx="0">
                  <c:v>0.71803052952515078</c:v>
                </c:pt>
                <c:pt idx="1">
                  <c:v>0.71803052952515078</c:v>
                </c:pt>
                <c:pt idx="2">
                  <c:v>0.71803052952515078</c:v>
                </c:pt>
                <c:pt idx="3">
                  <c:v>0.71803052952515078</c:v>
                </c:pt>
                <c:pt idx="4">
                  <c:v>0.71803052952515078</c:v>
                </c:pt>
                <c:pt idx="5">
                  <c:v>0.71803052952515078</c:v>
                </c:pt>
                <c:pt idx="6">
                  <c:v>0.71803052952515078</c:v>
                </c:pt>
                <c:pt idx="7">
                  <c:v>0.71803052952515078</c:v>
                </c:pt>
                <c:pt idx="8">
                  <c:v>0.71803052952515078</c:v>
                </c:pt>
                <c:pt idx="9">
                  <c:v>0.71803052952515078</c:v>
                </c:pt>
                <c:pt idx="10">
                  <c:v>0.71803052952515078</c:v>
                </c:pt>
                <c:pt idx="11">
                  <c:v>0.71803052952515078</c:v>
                </c:pt>
                <c:pt idx="12">
                  <c:v>0.71803052952515078</c:v>
                </c:pt>
                <c:pt idx="13">
                  <c:v>0.71803052952515078</c:v>
                </c:pt>
                <c:pt idx="14">
                  <c:v>0.71803052952515078</c:v>
                </c:pt>
                <c:pt idx="15">
                  <c:v>0.71803052952515078</c:v>
                </c:pt>
                <c:pt idx="16">
                  <c:v>0.71803052952515078</c:v>
                </c:pt>
                <c:pt idx="17">
                  <c:v>0.71803052952515078</c:v>
                </c:pt>
                <c:pt idx="18">
                  <c:v>0.71803052952515078</c:v>
                </c:pt>
                <c:pt idx="19">
                  <c:v>0.71803052952515078</c:v>
                </c:pt>
                <c:pt idx="20">
                  <c:v>0.71803052952515078</c:v>
                </c:pt>
                <c:pt idx="21">
                  <c:v>0.71803052952515078</c:v>
                </c:pt>
                <c:pt idx="22">
                  <c:v>0.71803052952515078</c:v>
                </c:pt>
                <c:pt idx="23">
                  <c:v>0.71803052952515078</c:v>
                </c:pt>
                <c:pt idx="24">
                  <c:v>0.71803052952515078</c:v>
                </c:pt>
                <c:pt idx="25">
                  <c:v>0.71803052952515078</c:v>
                </c:pt>
                <c:pt idx="26">
                  <c:v>0.71803052952515078</c:v>
                </c:pt>
                <c:pt idx="27">
                  <c:v>0.71803052952515078</c:v>
                </c:pt>
                <c:pt idx="28">
                  <c:v>0.71803052952515078</c:v>
                </c:pt>
                <c:pt idx="29">
                  <c:v>0.71803052952515078</c:v>
                </c:pt>
                <c:pt idx="30">
                  <c:v>0.71803052952515078</c:v>
                </c:pt>
                <c:pt idx="31">
                  <c:v>0.71803052952515078</c:v>
                </c:pt>
              </c:numCache>
            </c:numRef>
          </c:val>
          <c:smooth val="0"/>
          <c:extLst>
            <c:ext xmlns:c16="http://schemas.microsoft.com/office/drawing/2014/chart" uri="{C3380CC4-5D6E-409C-BE32-E72D297353CC}">
              <c16:uniqueId val="{00000002-0CD0-47C7-AA64-50B10E36012D}"/>
            </c:ext>
          </c:extLst>
        </c:ser>
        <c:dLbls>
          <c:showLegendKey val="0"/>
          <c:showVal val="0"/>
          <c:showCatName val="0"/>
          <c:showSerName val="0"/>
          <c:showPercent val="0"/>
          <c:showBubbleSize val="0"/>
        </c:dLbls>
        <c:smooth val="0"/>
        <c:axId val="1537498768"/>
        <c:axId val="1537487728"/>
      </c:lineChart>
      <c:catAx>
        <c:axId val="1537498768"/>
        <c:scaling>
          <c:orientation val="minMax"/>
        </c:scaling>
        <c:delete val="0"/>
        <c:axPos val="b"/>
        <c:title>
          <c:tx>
            <c:rich>
              <a:bodyPr/>
              <a:lstStyle/>
              <a:p>
                <a:pPr algn="ctr">
                  <a:defRPr sz="1800" b="1">
                    <a:solidFill>
                      <a:srgbClr val="000000"/>
                    </a:solidFill>
                    <a:latin typeface="Arial"/>
                    <a:ea typeface="Arial"/>
                    <a:cs typeface="Arial"/>
                  </a:defRPr>
                </a:pPr>
                <a:r>
                  <a:rPr lang="en-NZ"/>
                  <a:t>Year ending 30 June</a:t>
                </a:r>
              </a:p>
            </c:rich>
          </c:tx>
          <c:layout>
            <c:manualLayout>
              <c:xMode val="edge"/>
              <c:yMode val="edge"/>
              <c:x val="0.38538739021431245"/>
              <c:y val="0.80629781715157511"/>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537487728"/>
        <c:crossesAt val="-2"/>
        <c:auto val="1"/>
        <c:lblAlgn val="ctr"/>
        <c:lblOffset val="100"/>
        <c:tickLblSkip val="5"/>
        <c:tickMarkSkip val="5"/>
        <c:noMultiLvlLbl val="0"/>
      </c:catAx>
      <c:valAx>
        <c:axId val="1537487728"/>
        <c:scaling>
          <c:orientation val="minMax"/>
        </c:scaling>
        <c:delete val="0"/>
        <c:axPos val="l"/>
        <c:majorGridlines>
          <c:spPr>
            <a:ln w="9525">
              <a:solidFill>
                <a:schemeClr val="bg1">
                  <a:lumMod val="50000"/>
                </a:schemeClr>
              </a:solidFill>
            </a:ln>
          </c:spPr>
        </c:majorGridlines>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ysClr val="windowText" lastClr="000000"/>
                </a:solidFill>
                <a:latin typeface="Arial"/>
                <a:ea typeface="Arial"/>
                <a:cs typeface="Arial"/>
              </a:defRPr>
            </a:pPr>
            <a:endParaRPr lang="en-US"/>
          </a:p>
        </c:txPr>
        <c:crossAx val="1537498768"/>
        <c:crosses val="autoZero"/>
        <c:crossBetween val="midCat"/>
      </c:valAx>
    </c:plotArea>
    <c:legend>
      <c:legendPos val="b"/>
      <c:layout>
        <c:manualLayout>
          <c:xMode val="edge"/>
          <c:yMode val="edge"/>
          <c:x val="0.14440033907462196"/>
          <c:y val="0.86007072773989746"/>
          <c:w val="0.73719981988142314"/>
          <c:h val="0.13782792407150604"/>
        </c:manualLayout>
      </c:layout>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210655105420392E-2"/>
          <c:y val="0.10934774985775343"/>
          <c:w val="0.91646483438682913"/>
          <c:h val="0.62191986556045153"/>
        </c:manualLayout>
      </c:layout>
      <c:barChart>
        <c:barDir val="col"/>
        <c:grouping val="stacked"/>
        <c:varyColors val="0"/>
        <c:ser>
          <c:idx val="0"/>
          <c:order val="0"/>
          <c:tx>
            <c:strRef>
              <c:f>'Fig 7 data'!$C$7</c:f>
              <c:strCache>
                <c:ptCount val="1"/>
                <c:pt idx="0">
                  <c:v>CPI inflation</c:v>
                </c:pt>
              </c:strCache>
            </c:strRef>
          </c:tx>
          <c:spPr>
            <a:solidFill>
              <a:srgbClr val="0083AC"/>
            </a:solidFill>
            <a:ln>
              <a:noFill/>
            </a:ln>
            <a:effectLst/>
          </c:spPr>
          <c:invertIfNegative val="0"/>
          <c:cat>
            <c:numRef>
              <c:f>'Fig 7 data'!$B$8:$B$26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'Fig 7 data'!$C$8:$C$26</c:f>
              <c:numCache>
                <c:formatCode>0.00</c:formatCode>
                <c:ptCount val="19"/>
                <c:pt idx="0">
                  <c:v>1.049507194294419E-3</c:v>
                </c:pt>
                <c:pt idx="1">
                  <c:v>-4.2376250744495803E-3</c:v>
                </c:pt>
                <c:pt idx="2">
                  <c:v>4.4134854892385889E-3</c:v>
                </c:pt>
                <c:pt idx="3">
                  <c:v>1.870169863523663E-2</c:v>
                </c:pt>
                <c:pt idx="4">
                  <c:v>1.7042477649253485E-2</c:v>
                </c:pt>
                <c:pt idx="5">
                  <c:v>3.822780455065522E-2</c:v>
                </c:pt>
                <c:pt idx="6">
                  <c:v>4.1615001592909762E-2</c:v>
                </c:pt>
                <c:pt idx="7">
                  <c:v>2.7983357580861457E-2</c:v>
                </c:pt>
                <c:pt idx="8">
                  <c:v>2.2814209907644045E-2</c:v>
                </c:pt>
                <c:pt idx="9">
                  <c:v>5.8633056857877452E-3</c:v>
                </c:pt>
                <c:pt idx="10">
                  <c:v>-1.4995300517384624E-2</c:v>
                </c:pt>
                <c:pt idx="11">
                  <c:v>-2.2690108340360116E-2</c:v>
                </c:pt>
                <c:pt idx="12">
                  <c:v>-2.9258500794272502E-2</c:v>
                </c:pt>
                <c:pt idx="13">
                  <c:v>-3.3269039659430177E-2</c:v>
                </c:pt>
                <c:pt idx="14">
                  <c:v>-3.6234786714583356E-2</c:v>
                </c:pt>
                <c:pt idx="15">
                  <c:v>-3.7810038041534044E-2</c:v>
                </c:pt>
                <c:pt idx="16">
                  <c:v>2.0308961577377493E-2</c:v>
                </c:pt>
                <c:pt idx="17">
                  <c:v>9.0428481392095472E-2</c:v>
                </c:pt>
                <c:pt idx="18">
                  <c:v>0.12968727150883552</c:v>
                </c:pt>
              </c:numCache>
            </c:numRef>
          </c:val>
          <c:extLst>
            <c:ext xmlns:c16="http://schemas.microsoft.com/office/drawing/2014/chart" uri="{C3380CC4-5D6E-409C-BE32-E72D297353CC}">
              <c16:uniqueId val="{00000000-6C4C-42BF-9F09-A3D376626534}"/>
            </c:ext>
          </c:extLst>
        </c:ser>
        <c:ser>
          <c:idx val="1"/>
          <c:order val="1"/>
          <c:tx>
            <c:strRef>
              <c:f>'Fig 7 data'!$D$7</c:f>
              <c:strCache>
                <c:ptCount val="1"/>
                <c:pt idx="0">
                  <c:v>Total population</c:v>
                </c:pt>
              </c:strCache>
            </c:strRef>
          </c:tx>
          <c:spPr>
            <a:solidFill>
              <a:srgbClr val="A9A7A5"/>
            </a:solidFill>
            <a:ln>
              <a:noFill/>
            </a:ln>
            <a:effectLst/>
          </c:spPr>
          <c:invertIfNegative val="0"/>
          <c:cat>
            <c:numRef>
              <c:f>'Fig 7 data'!$B$8:$B$26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'Fig 7 data'!$D$8:$D$26</c:f>
              <c:numCache>
                <c:formatCode>0.00</c:formatCode>
                <c:ptCount val="19"/>
                <c:pt idx="0">
                  <c:v>4.1975794264197397E-3</c:v>
                </c:pt>
                <c:pt idx="1">
                  <c:v>7.9475632987062728E-3</c:v>
                </c:pt>
                <c:pt idx="2">
                  <c:v>9.020593925110898E-3</c:v>
                </c:pt>
                <c:pt idx="3">
                  <c:v>9.5164331612878073E-3</c:v>
                </c:pt>
                <c:pt idx="4">
                  <c:v>1.3203621963391976E-2</c:v>
                </c:pt>
                <c:pt idx="5">
                  <c:v>1.4540700543457463E-2</c:v>
                </c:pt>
                <c:pt idx="6">
                  <c:v>1.277120005865906E-2</c:v>
                </c:pt>
                <c:pt idx="7">
                  <c:v>1.1831817642565357E-2</c:v>
                </c:pt>
                <c:pt idx="8">
                  <c:v>1.8367774661043779E-2</c:v>
                </c:pt>
                <c:pt idx="9">
                  <c:v>3.2353402333236359E-2</c:v>
                </c:pt>
                <c:pt idx="10">
                  <c:v>4.9522784196343261E-2</c:v>
                </c:pt>
                <c:pt idx="11">
                  <c:v>6.7186656242933518E-2</c:v>
                </c:pt>
                <c:pt idx="12">
                  <c:v>8.2070897252868091E-2</c:v>
                </c:pt>
                <c:pt idx="13">
                  <c:v>9.3295407198226821E-2</c:v>
                </c:pt>
                <c:pt idx="14">
                  <c:v>0.10915865956206972</c:v>
                </c:pt>
                <c:pt idx="15">
                  <c:v>0.11227519442183098</c:v>
                </c:pt>
                <c:pt idx="16">
                  <c:v>0.10578722863629086</c:v>
                </c:pt>
                <c:pt idx="17">
                  <c:v>0.11388406789487227</c:v>
                </c:pt>
                <c:pt idx="18">
                  <c:v>0.13724439455955273</c:v>
                </c:pt>
              </c:numCache>
            </c:numRef>
          </c:val>
          <c:extLst>
            <c:ext xmlns:c16="http://schemas.microsoft.com/office/drawing/2014/chart" uri="{C3380CC4-5D6E-409C-BE32-E72D297353CC}">
              <c16:uniqueId val="{00000001-6C4C-42BF-9F09-A3D376626534}"/>
            </c:ext>
          </c:extLst>
        </c:ser>
        <c:ser>
          <c:idx val="2"/>
          <c:order val="2"/>
          <c:tx>
            <c:strRef>
              <c:f>'Fig 7 data'!$E$7</c:f>
              <c:strCache>
                <c:ptCount val="1"/>
                <c:pt idx="0">
                  <c:v>GDP deflator relative to CPI </c:v>
                </c:pt>
              </c:strCache>
            </c:strRef>
          </c:tx>
          <c:spPr>
            <a:solidFill>
              <a:srgbClr val="67A854"/>
            </a:solidFill>
            <a:ln>
              <a:noFill/>
            </a:ln>
            <a:effectLst/>
          </c:spPr>
          <c:invertIfNegative val="0"/>
          <c:cat>
            <c:numRef>
              <c:f>'Fig 7 data'!$B$8:$B$26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'Fig 7 data'!$E$8:$E$26</c:f>
              <c:numCache>
                <c:formatCode>0.00</c:formatCode>
                <c:ptCount val="19"/>
                <c:pt idx="0">
                  <c:v>1.4155814952893087E-3</c:v>
                </c:pt>
                <c:pt idx="1">
                  <c:v>2.8241476900023987E-2</c:v>
                </c:pt>
                <c:pt idx="2">
                  <c:v>5.1687393469163845E-2</c:v>
                </c:pt>
                <c:pt idx="3">
                  <c:v>3.512307932590808E-2</c:v>
                </c:pt>
                <c:pt idx="4">
                  <c:v>2.8104930980973442E-2</c:v>
                </c:pt>
                <c:pt idx="5">
                  <c:v>3.4029742747358815E-2</c:v>
                </c:pt>
                <c:pt idx="6">
                  <c:v>2.3776536221322697E-2</c:v>
                </c:pt>
                <c:pt idx="7">
                  <c:v>1.0482193675775631E-2</c:v>
                </c:pt>
                <c:pt idx="8">
                  <c:v>5.1387290243845807E-2</c:v>
                </c:pt>
                <c:pt idx="9">
                  <c:v>4.2766921325595786E-2</c:v>
                </c:pt>
                <c:pt idx="10">
                  <c:v>4.8865727109182244E-2</c:v>
                </c:pt>
                <c:pt idx="11">
                  <c:v>6.2475112149980361E-2</c:v>
                </c:pt>
                <c:pt idx="12">
                  <c:v>7.3528783880564164E-2</c:v>
                </c:pt>
                <c:pt idx="13">
                  <c:v>7.0869525783115339E-2</c:v>
                </c:pt>
                <c:pt idx="14">
                  <c:v>8.2695941111374571E-2</c:v>
                </c:pt>
                <c:pt idx="15">
                  <c:v>7.6277540670731669E-2</c:v>
                </c:pt>
                <c:pt idx="16">
                  <c:v>7.0093124508785021E-2</c:v>
                </c:pt>
                <c:pt idx="17">
                  <c:v>5.4131065863325611E-2</c:v>
                </c:pt>
                <c:pt idx="18">
                  <c:v>5.2451028384472242E-2</c:v>
                </c:pt>
              </c:numCache>
            </c:numRef>
          </c:val>
          <c:extLst>
            <c:ext xmlns:c16="http://schemas.microsoft.com/office/drawing/2014/chart" uri="{C3380CC4-5D6E-409C-BE32-E72D297353CC}">
              <c16:uniqueId val="{00000002-6C4C-42BF-9F09-A3D376626534}"/>
            </c:ext>
          </c:extLst>
        </c:ser>
        <c:ser>
          <c:idx val="3"/>
          <c:order val="3"/>
          <c:tx>
            <c:strRef>
              <c:f>'Fig 7 data'!$F$7</c:f>
              <c:strCache>
                <c:ptCount val="1"/>
                <c:pt idx="0">
                  <c:v>Participation rate (15+ popn)</c:v>
                </c:pt>
              </c:strCache>
            </c:strRef>
          </c:tx>
          <c:spPr>
            <a:solidFill>
              <a:srgbClr val="08BCE2"/>
            </a:solidFill>
            <a:ln>
              <a:noFill/>
            </a:ln>
            <a:effectLst/>
          </c:spPr>
          <c:invertIfNegative val="0"/>
          <c:cat>
            <c:numRef>
              <c:f>'Fig 7 data'!$B$8:$B$26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'Fig 7 data'!$F$8:$F$26</c:f>
              <c:numCache>
                <c:formatCode>0.00</c:formatCode>
                <c:ptCount val="19"/>
                <c:pt idx="0">
                  <c:v>5.0354241351251439E-3</c:v>
                </c:pt>
                <c:pt idx="1">
                  <c:v>1.0093524980256507E-2</c:v>
                </c:pt>
                <c:pt idx="2">
                  <c:v>1.3167534997588159E-2</c:v>
                </c:pt>
                <c:pt idx="3">
                  <c:v>1.2151854487167491E-2</c:v>
                </c:pt>
                <c:pt idx="4">
                  <c:v>-2.7338967339451958E-3</c:v>
                </c:pt>
                <c:pt idx="5">
                  <c:v>-2.7806252628459482E-3</c:v>
                </c:pt>
                <c:pt idx="6">
                  <c:v>2.0385570877077264E-3</c:v>
                </c:pt>
                <c:pt idx="7">
                  <c:v>-2.33536490085684E-3</c:v>
                </c:pt>
                <c:pt idx="8">
                  <c:v>1.1250998487963404E-2</c:v>
                </c:pt>
                <c:pt idx="9">
                  <c:v>2.4541854899471804E-2</c:v>
                </c:pt>
                <c:pt idx="10">
                  <c:v>2.3631592338390073E-2</c:v>
                </c:pt>
                <c:pt idx="11">
                  <c:v>5.0137235132145519E-2</c:v>
                </c:pt>
                <c:pt idx="12">
                  <c:v>6.2571764986745992E-2</c:v>
                </c:pt>
                <c:pt idx="13">
                  <c:v>6.0410560119985135E-2</c:v>
                </c:pt>
                <c:pt idx="14">
                  <c:v>5.8278361662388312E-2</c:v>
                </c:pt>
                <c:pt idx="15">
                  <c:v>6.0637252443761169E-2</c:v>
                </c:pt>
                <c:pt idx="16">
                  <c:v>7.5019357272007925E-2</c:v>
                </c:pt>
                <c:pt idx="17">
                  <c:v>9.4068902539286348E-2</c:v>
                </c:pt>
                <c:pt idx="18">
                  <c:v>9.4902835489072301E-2</c:v>
                </c:pt>
              </c:numCache>
            </c:numRef>
          </c:val>
          <c:extLst>
            <c:ext xmlns:c16="http://schemas.microsoft.com/office/drawing/2014/chart" uri="{C3380CC4-5D6E-409C-BE32-E72D297353CC}">
              <c16:uniqueId val="{00000003-6C4C-42BF-9F09-A3D376626534}"/>
            </c:ext>
          </c:extLst>
        </c:ser>
        <c:ser>
          <c:idx val="4"/>
          <c:order val="4"/>
          <c:tx>
            <c:strRef>
              <c:f>'Fig 7 data'!$G$7</c:f>
              <c:strCache>
                <c:ptCount val="1"/>
                <c:pt idx="0">
                  <c:v>Labour productivity</c:v>
                </c:pt>
              </c:strCache>
            </c:strRef>
          </c:tx>
          <c:spPr>
            <a:solidFill>
              <a:srgbClr val="3F403A"/>
            </a:solidFill>
            <a:ln>
              <a:noFill/>
            </a:ln>
            <a:effectLst/>
          </c:spPr>
          <c:invertIfNegative val="0"/>
          <c:cat>
            <c:numRef>
              <c:f>'Fig 7 data'!$B$8:$B$26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'Fig 7 data'!$G$8:$G$26</c:f>
              <c:numCache>
                <c:formatCode>0.00</c:formatCode>
                <c:ptCount val="19"/>
                <c:pt idx="0">
                  <c:v>9.195949894277522E-3</c:v>
                </c:pt>
                <c:pt idx="1">
                  <c:v>1.2351020892535924E-2</c:v>
                </c:pt>
                <c:pt idx="2">
                  <c:v>6.5796159766124962E-3</c:v>
                </c:pt>
                <c:pt idx="3">
                  <c:v>-9.6124012252758462E-3</c:v>
                </c:pt>
                <c:pt idx="4">
                  <c:v>2.2692263984965599E-2</c:v>
                </c:pt>
                <c:pt idx="5">
                  <c:v>-1.2579705214669445E-2</c:v>
                </c:pt>
                <c:pt idx="6">
                  <c:v>2.6655232370620396E-4</c:v>
                </c:pt>
                <c:pt idx="7">
                  <c:v>4.7343494446825396E-3</c:v>
                </c:pt>
                <c:pt idx="8">
                  <c:v>-2.8891533678348624E-2</c:v>
                </c:pt>
                <c:pt idx="9">
                  <c:v>-3.6204549529955665E-2</c:v>
                </c:pt>
                <c:pt idx="10">
                  <c:v>-4.3204496777281554E-2</c:v>
                </c:pt>
                <c:pt idx="11">
                  <c:v>-7.7429708343367265E-2</c:v>
                </c:pt>
                <c:pt idx="12">
                  <c:v>-9.2902274676782248E-2</c:v>
                </c:pt>
                <c:pt idx="13">
                  <c:v>-8.6377498385548312E-2</c:v>
                </c:pt>
                <c:pt idx="14">
                  <c:v>-0.10899865101047301</c:v>
                </c:pt>
                <c:pt idx="15">
                  <c:v>-9.0576294098025922E-2</c:v>
                </c:pt>
                <c:pt idx="16">
                  <c:v>-8.7335201958523401E-2</c:v>
                </c:pt>
                <c:pt idx="17">
                  <c:v>-0.11174962205992034</c:v>
                </c:pt>
                <c:pt idx="18">
                  <c:v>-0.13786053921015751</c:v>
                </c:pt>
              </c:numCache>
            </c:numRef>
          </c:val>
          <c:extLst>
            <c:ext xmlns:c16="http://schemas.microsoft.com/office/drawing/2014/chart" uri="{C3380CC4-5D6E-409C-BE32-E72D297353CC}">
              <c16:uniqueId val="{00000004-6C4C-42BF-9F09-A3D376626534}"/>
            </c:ext>
          </c:extLst>
        </c:ser>
        <c:ser>
          <c:idx val="5"/>
          <c:order val="5"/>
          <c:tx>
            <c:strRef>
              <c:f>'Fig 7 data'!$H$7</c:f>
              <c:strCache>
                <c:ptCount val="1"/>
                <c:pt idx="0">
                  <c:v>Other Factors</c:v>
                </c:pt>
              </c:strCache>
            </c:strRef>
          </c:tx>
          <c:spPr>
            <a:solidFill>
              <a:srgbClr val="B3D3AA"/>
            </a:solidFill>
            <a:ln>
              <a:noFill/>
            </a:ln>
            <a:effectLst/>
          </c:spPr>
          <c:invertIfNegative val="0"/>
          <c:cat>
            <c:numRef>
              <c:f>'Fig 7 data'!$B$8:$B$26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'Fig 7 data'!$H$8:$H$26</c:f>
              <c:numCache>
                <c:formatCode>0.00</c:formatCode>
                <c:ptCount val="19"/>
                <c:pt idx="0">
                  <c:v>-7.4500680305401579E-3</c:v>
                </c:pt>
                <c:pt idx="1">
                  <c:v>4.0183586775307534E-3</c:v>
                </c:pt>
                <c:pt idx="2">
                  <c:v>-5.2770930593093457E-4</c:v>
                </c:pt>
                <c:pt idx="3">
                  <c:v>-3.6454533344933093E-2</c:v>
                </c:pt>
                <c:pt idx="4">
                  <c:v>-6.2682210708804198E-2</c:v>
                </c:pt>
                <c:pt idx="5">
                  <c:v>-5.9602949024192942E-2</c:v>
                </c:pt>
                <c:pt idx="6">
                  <c:v>-6.7848857017968056E-2</c:v>
                </c:pt>
                <c:pt idx="7">
                  <c:v>-7.4713464848428113E-2</c:v>
                </c:pt>
                <c:pt idx="8">
                  <c:v>-4.4430212669468783E-2</c:v>
                </c:pt>
                <c:pt idx="9">
                  <c:v>-4.8020908250972716E-2</c:v>
                </c:pt>
                <c:pt idx="10">
                  <c:v>-2.6686334425661262E-2</c:v>
                </c:pt>
                <c:pt idx="11">
                  <c:v>-1.4466813310367588E-3</c:v>
                </c:pt>
                <c:pt idx="12">
                  <c:v>3.9431646662079434E-2</c:v>
                </c:pt>
                <c:pt idx="13">
                  <c:v>5.1102405484037217E-2</c:v>
                </c:pt>
                <c:pt idx="14">
                  <c:v>2.1924087676578496E-2</c:v>
                </c:pt>
                <c:pt idx="15">
                  <c:v>9.3141701905762875E-2</c:v>
                </c:pt>
                <c:pt idx="16">
                  <c:v>9.57394540659946E-2</c:v>
                </c:pt>
                <c:pt idx="17">
                  <c:v>0.18712493114427042</c:v>
                </c:pt>
                <c:pt idx="18">
                  <c:v>0.192877989736017</c:v>
                </c:pt>
              </c:numCache>
            </c:numRef>
          </c:val>
          <c:extLst>
            <c:ext xmlns:c16="http://schemas.microsoft.com/office/drawing/2014/chart" uri="{C3380CC4-5D6E-409C-BE32-E72D297353CC}">
              <c16:uniqueId val="{00000005-6C4C-42BF-9F09-A3D376626534}"/>
            </c:ext>
          </c:extLst>
        </c:ser>
        <c:dLbls>
          <c:showLegendKey val="0"/>
          <c:showVal val="0"/>
          <c:showCatName val="0"/>
          <c:showSerName val="0"/>
          <c:showPercent val="0"/>
          <c:showBubbleSize val="0"/>
        </c:dLbls>
        <c:gapWidth val="150"/>
        <c:overlap val="100"/>
        <c:axId val="1294583344"/>
        <c:axId val="1294584304"/>
      </c:barChart>
      <c:lineChart>
        <c:grouping val="standard"/>
        <c:varyColors val="0"/>
        <c:ser>
          <c:idx val="6"/>
          <c:order val="6"/>
          <c:tx>
            <c:strRef>
              <c:f>'Fig 7 data'!$I$7</c:f>
              <c:strCache>
                <c:ptCount val="1"/>
                <c:pt idx="0">
                  <c:v>Nominal GDP</c:v>
                </c:pt>
              </c:strCache>
            </c:strRef>
          </c:tx>
          <c:spPr>
            <a:ln w="28575" cap="rnd">
              <a:solidFill>
                <a:srgbClr val="000000"/>
              </a:solidFill>
              <a:round/>
            </a:ln>
            <a:effectLst/>
          </c:spPr>
          <c:marker>
            <c:symbol val="none"/>
          </c:marker>
          <c:cat>
            <c:numRef>
              <c:f>'Fig 7 data'!$B$8:$B$26</c:f>
              <c:numCache>
                <c:formatCode>General</c:formatCod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numCache>
            </c:numRef>
          </c:cat>
          <c:val>
            <c:numRef>
              <c:f>'Fig 7 data'!$I$8:$I$26</c:f>
              <c:numCache>
                <c:formatCode>0.00</c:formatCode>
                <c:ptCount val="19"/>
                <c:pt idx="0">
                  <c:v>1.3443974114865975E-2</c:v>
                </c:pt>
                <c:pt idx="1">
                  <c:v>5.8414319674603865E-2</c:v>
                </c:pt>
                <c:pt idx="2">
                  <c:v>8.4340914551783053E-2</c:v>
                </c:pt>
                <c:pt idx="3">
                  <c:v>2.9426131039391068E-2</c:v>
                </c:pt>
                <c:pt idx="4">
                  <c:v>1.5627187135835108E-2</c:v>
                </c:pt>
                <c:pt idx="5">
                  <c:v>1.1834968339763163E-2</c:v>
                </c:pt>
                <c:pt idx="6">
                  <c:v>1.2618990266337393E-2</c:v>
                </c:pt>
                <c:pt idx="7">
                  <c:v>-2.2017111405399969E-2</c:v>
                </c:pt>
                <c:pt idx="8">
                  <c:v>3.0498526952679628E-2</c:v>
                </c:pt>
                <c:pt idx="9">
                  <c:v>2.1300026463163313E-2</c:v>
                </c:pt>
                <c:pt idx="10">
                  <c:v>3.7133971923588138E-2</c:v>
                </c:pt>
                <c:pt idx="11">
                  <c:v>7.8232505510295258E-2</c:v>
                </c:pt>
                <c:pt idx="12">
                  <c:v>0.13544231731120293</c:v>
                </c:pt>
                <c:pt idx="13">
                  <c:v>0.15603136054038602</c:v>
                </c:pt>
                <c:pt idx="14">
                  <c:v>0.12682361228735473</c:v>
                </c:pt>
                <c:pt idx="15">
                  <c:v>0.21394535730252673</c:v>
                </c:pt>
                <c:pt idx="16">
                  <c:v>0.2796129241019325</c:v>
                </c:pt>
                <c:pt idx="17">
                  <c:v>0.42788782677392989</c:v>
                </c:pt>
                <c:pt idx="18">
                  <c:v>0.46930298046779217</c:v>
                </c:pt>
              </c:numCache>
            </c:numRef>
          </c:val>
          <c:smooth val="0"/>
          <c:extLst>
            <c:ext xmlns:c16="http://schemas.microsoft.com/office/drawing/2014/chart" uri="{C3380CC4-5D6E-409C-BE32-E72D297353CC}">
              <c16:uniqueId val="{00000006-6C4C-42BF-9F09-A3D376626534}"/>
            </c:ext>
          </c:extLst>
        </c:ser>
        <c:dLbls>
          <c:showLegendKey val="0"/>
          <c:showVal val="0"/>
          <c:showCatName val="0"/>
          <c:showSerName val="0"/>
          <c:showPercent val="0"/>
          <c:showBubbleSize val="0"/>
        </c:dLbls>
        <c:marker val="1"/>
        <c:smooth val="0"/>
        <c:axId val="1294583344"/>
        <c:axId val="1294584304"/>
      </c:lineChart>
      <c:catAx>
        <c:axId val="1294583344"/>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a:t>
                </a:r>
                <a:r>
                  <a:rPr lang="en-NZ" sz="1800" b="1" baseline="0">
                    <a:solidFill>
                      <a:sysClr val="windowText" lastClr="000000"/>
                    </a:solidFill>
                    <a:latin typeface="Arial" panose="020B0604020202020204" pitchFamily="34" charset="0"/>
                    <a:cs typeface="Arial" panose="020B0604020202020204" pitchFamily="34" charset="0"/>
                  </a:rPr>
                  <a:t> ending 30 June</a:t>
                </a:r>
                <a:endParaRPr lang="en-NZ" sz="18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6891971945402957"/>
              <c:y val="0.79738117449353607"/>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Z"/>
            </a:p>
          </c:txPr>
        </c:title>
        <c:numFmt formatCode="General" sourceLinked="1"/>
        <c:majorTickMark val="out"/>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94584304"/>
        <c:crosses val="autoZero"/>
        <c:auto val="1"/>
        <c:lblAlgn val="ctr"/>
        <c:lblOffset val="100"/>
        <c:tickLblSkip val="5"/>
        <c:tickMarkSkip val="5"/>
        <c:noMultiLvlLbl val="0"/>
      </c:catAx>
      <c:valAx>
        <c:axId val="1294584304"/>
        <c:scaling>
          <c:orientation val="minMax"/>
          <c:max val="0.8"/>
        </c:scaling>
        <c:delete val="0"/>
        <c:axPos val="l"/>
        <c:majorGridlines>
          <c:spPr>
            <a:ln w="9525" cap="flat" cmpd="sng" algn="ctr">
              <a:solidFill>
                <a:schemeClr val="bg1">
                  <a:lumMod val="5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94583344"/>
        <c:crosses val="autoZero"/>
        <c:crossBetween val="between"/>
      </c:valAx>
      <c:spPr>
        <a:noFill/>
        <a:ln>
          <a:noFill/>
        </a:ln>
        <a:effectLst/>
      </c:spPr>
    </c:plotArea>
    <c:legend>
      <c:legendPos val="b"/>
      <c:layout>
        <c:manualLayout>
          <c:xMode val="edge"/>
          <c:yMode val="edge"/>
          <c:x val="1.0271611509000992E-2"/>
          <c:y val="0.85267191986556046"/>
          <c:w val="0.98219555709483142"/>
          <c:h val="0.14732808013443954"/>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593471372023221E-2"/>
          <c:y val="7.6859474858472249E-2"/>
          <c:w val="0.88904212047515596"/>
          <c:h val="0.79428099082175807"/>
        </c:manualLayout>
      </c:layout>
      <c:lineChart>
        <c:grouping val="standard"/>
        <c:varyColors val="0"/>
        <c:ser>
          <c:idx val="5"/>
          <c:order val="0"/>
          <c:tx>
            <c:strRef>
              <c:f>'Fig 8 data'!$C$5</c:f>
              <c:strCache>
                <c:ptCount val="1"/>
                <c:pt idx="0">
                  <c:v>2025</c:v>
                </c:pt>
              </c:strCache>
            </c:strRef>
          </c:tx>
          <c:spPr>
            <a:ln w="47625" cap="rnd">
              <a:solidFill>
                <a:srgbClr val="0083AC"/>
              </a:solidFill>
              <a:round/>
            </a:ln>
            <a:effectLst/>
          </c:spPr>
          <c:marker>
            <c:symbol val="none"/>
          </c:marker>
          <c:cat>
            <c:numRef>
              <c:f>'Fig 8 data'!$B$7:$B$38</c:f>
              <c:numCache>
                <c:formatCode>@</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'Fig 8 data'!$C$7:$C$38</c:f>
              <c:numCache>
                <c:formatCode>0.0</c:formatCode>
                <c:ptCount val="32"/>
                <c:pt idx="0">
                  <c:v>46.717882953605717</c:v>
                </c:pt>
                <c:pt idx="1">
                  <c:v>43.382280567954957</c:v>
                </c:pt>
                <c:pt idx="2">
                  <c:v>35.732737353469211</c:v>
                </c:pt>
                <c:pt idx="3">
                  <c:v>30.609097884799834</c:v>
                </c:pt>
                <c:pt idx="4">
                  <c:v>30.004585557021603</c:v>
                </c:pt>
                <c:pt idx="5">
                  <c:v>24.76738355706301</c:v>
                </c:pt>
                <c:pt idx="6">
                  <c:v>23.319815568603438</c:v>
                </c:pt>
                <c:pt idx="7">
                  <c:v>21.044251436296044</c:v>
                </c:pt>
                <c:pt idx="8">
                  <c:v>20.178155748779982</c:v>
                </c:pt>
                <c:pt idx="9">
                  <c:v>18.478330596441538</c:v>
                </c:pt>
                <c:pt idx="10">
                  <c:v>16.664584017266549</c:v>
                </c:pt>
                <c:pt idx="11">
                  <c:v>12.677675809774049</c:v>
                </c:pt>
                <c:pt idx="12">
                  <c:v>9.8275557420210014</c:v>
                </c:pt>
                <c:pt idx="13">
                  <c:v>7.6275389500447499</c:v>
                </c:pt>
                <c:pt idx="14">
                  <c:v>5.4295816395663961</c:v>
                </c:pt>
                <c:pt idx="15">
                  <c:v>9.0158365678834187</c:v>
                </c:pt>
                <c:pt idx="16">
                  <c:v>13.548311908103749</c:v>
                </c:pt>
                <c:pt idx="17">
                  <c:v>19.470349057244611</c:v>
                </c:pt>
                <c:pt idx="18">
                  <c:v>23.54633196559432</c:v>
                </c:pt>
                <c:pt idx="19">
                  <c:v>25.474147173822786</c:v>
                </c:pt>
                <c:pt idx="20">
                  <c:v>25.281901362997839</c:v>
                </c:pt>
                <c:pt idx="21">
                  <c:v>24.659578967918268</c:v>
                </c:pt>
                <c:pt idx="22">
                  <c:v>23.898443202576772</c:v>
                </c:pt>
                <c:pt idx="23">
                  <c:v>21.560411199234437</c:v>
                </c:pt>
                <c:pt idx="24">
                  <c:v>19.436002663809042</c:v>
                </c:pt>
                <c:pt idx="25">
                  <c:v>18.593806358530426</c:v>
                </c:pt>
                <c:pt idx="26">
                  <c:v>26.249012218580681</c:v>
                </c:pt>
                <c:pt idx="27">
                  <c:v>29.726872708529296</c:v>
                </c:pt>
                <c:pt idx="28">
                  <c:v>35.238545756816762</c:v>
                </c:pt>
                <c:pt idx="29">
                  <c:v>38.668698807362524</c:v>
                </c:pt>
                <c:pt idx="30">
                  <c:v>41.715364388928776</c:v>
                </c:pt>
                <c:pt idx="31">
                  <c:v>42.662266631123209</c:v>
                </c:pt>
              </c:numCache>
            </c:numRef>
          </c:val>
          <c:smooth val="0"/>
          <c:extLst>
            <c:ext xmlns:c16="http://schemas.microsoft.com/office/drawing/2014/chart" uri="{C3380CC4-5D6E-409C-BE32-E72D297353CC}">
              <c16:uniqueId val="{00000005-68EF-481D-BE2B-279F11B744AB}"/>
            </c:ext>
          </c:extLst>
        </c:ser>
        <c:ser>
          <c:idx val="4"/>
          <c:order val="1"/>
          <c:tx>
            <c:strRef>
              <c:f>'Fig 8 data'!$D$5</c:f>
              <c:strCache>
                <c:ptCount val="1"/>
                <c:pt idx="0">
                  <c:v>2021</c:v>
                </c:pt>
              </c:strCache>
            </c:strRef>
          </c:tx>
          <c:spPr>
            <a:ln w="38100" cap="rnd">
              <a:solidFill>
                <a:srgbClr val="67A854"/>
              </a:solidFill>
              <a:round/>
            </a:ln>
            <a:effectLst/>
          </c:spPr>
          <c:marker>
            <c:symbol val="none"/>
          </c:marker>
          <c:cat>
            <c:numRef>
              <c:f>'Fig 8 data'!$B$7:$B$38</c:f>
              <c:numCache>
                <c:formatCode>@</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'Fig 8 data'!$D$7:$D$38</c:f>
              <c:numCache>
                <c:formatCode>General</c:formatCode>
                <c:ptCount val="32"/>
                <c:pt idx="26" formatCode="0.0">
                  <c:v>26.33848467234451</c:v>
                </c:pt>
                <c:pt idx="27" formatCode="0.0">
                  <c:v>33.987840872729876</c:v>
                </c:pt>
                <c:pt idx="28" formatCode="0.0">
                  <c:v>43.835455850312513</c:v>
                </c:pt>
                <c:pt idx="29" formatCode="0.0">
                  <c:v>48.019651471573447</c:v>
                </c:pt>
                <c:pt idx="30" formatCode="0.0">
                  <c:v>46.897638356471219</c:v>
                </c:pt>
                <c:pt idx="31" formatCode="0.0">
                  <c:v>43.626535389367504</c:v>
                </c:pt>
              </c:numCache>
            </c:numRef>
          </c:val>
          <c:smooth val="0"/>
          <c:extLst>
            <c:ext xmlns:c16="http://schemas.microsoft.com/office/drawing/2014/chart" uri="{C3380CC4-5D6E-409C-BE32-E72D297353CC}">
              <c16:uniqueId val="{00000004-68EF-481D-BE2B-279F11B744AB}"/>
            </c:ext>
          </c:extLst>
        </c:ser>
        <c:ser>
          <c:idx val="3"/>
          <c:order val="2"/>
          <c:tx>
            <c:strRef>
              <c:f>'Fig 8 data'!$E$5</c:f>
              <c:strCache>
                <c:ptCount val="1"/>
                <c:pt idx="0">
                  <c:v>2016</c:v>
                </c:pt>
              </c:strCache>
            </c:strRef>
          </c:tx>
          <c:spPr>
            <a:ln w="38100" cap="rnd">
              <a:solidFill>
                <a:srgbClr val="3F403A"/>
              </a:solidFill>
              <a:prstDash val="solid"/>
              <a:round/>
            </a:ln>
            <a:effectLst/>
          </c:spPr>
          <c:marker>
            <c:symbol val="none"/>
          </c:marker>
          <c:cat>
            <c:numRef>
              <c:f>'Fig 8 data'!$B$7:$B$38</c:f>
              <c:numCache>
                <c:formatCode>@</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'Fig 8 data'!$E$7:$E$38</c:f>
              <c:numCache>
                <c:formatCode>General</c:formatCode>
                <c:ptCount val="32"/>
                <c:pt idx="21" formatCode="0.0">
                  <c:v>25.097690206142893</c:v>
                </c:pt>
                <c:pt idx="22" formatCode="0.0">
                  <c:v>24.896252288846423</c:v>
                </c:pt>
                <c:pt idx="23" formatCode="0.0">
                  <c:v>25.591031141014163</c:v>
                </c:pt>
                <c:pt idx="24" formatCode="0.0">
                  <c:v>24.964731852436607</c:v>
                </c:pt>
                <c:pt idx="25" formatCode="0.0">
                  <c:v>23.057307557166659</c:v>
                </c:pt>
                <c:pt idx="26" formatCode="0.0">
                  <c:v>20.839266018249276</c:v>
                </c:pt>
                <c:pt idx="27" formatCode="0.0">
                  <c:v>20.512064513167772</c:v>
                </c:pt>
                <c:pt idx="28" formatCode="0.0">
                  <c:v>20.73533129773098</c:v>
                </c:pt>
                <c:pt idx="29" formatCode="0.0">
                  <c:v>21.306109352161791</c:v>
                </c:pt>
                <c:pt idx="30" formatCode="0.0">
                  <c:v>22.179450076739677</c:v>
                </c:pt>
                <c:pt idx="31" formatCode="0.0">
                  <c:v>23.279044908493905</c:v>
                </c:pt>
              </c:numCache>
            </c:numRef>
          </c:val>
          <c:smooth val="0"/>
          <c:extLst>
            <c:ext xmlns:c16="http://schemas.microsoft.com/office/drawing/2014/chart" uri="{C3380CC4-5D6E-409C-BE32-E72D297353CC}">
              <c16:uniqueId val="{00000003-68EF-481D-BE2B-279F11B744AB}"/>
            </c:ext>
          </c:extLst>
        </c:ser>
        <c:ser>
          <c:idx val="2"/>
          <c:order val="3"/>
          <c:tx>
            <c:strRef>
              <c:f>'Fig 8 data'!$F$5</c:f>
              <c:strCache>
                <c:ptCount val="1"/>
                <c:pt idx="0">
                  <c:v>2013</c:v>
                </c:pt>
              </c:strCache>
            </c:strRef>
          </c:tx>
          <c:spPr>
            <a:ln w="38100" cap="rnd">
              <a:solidFill>
                <a:srgbClr val="A9A7A5"/>
              </a:solidFill>
              <a:round/>
            </a:ln>
            <a:effectLst/>
          </c:spPr>
          <c:marker>
            <c:symbol val="none"/>
          </c:marker>
          <c:cat>
            <c:numRef>
              <c:f>'Fig 8 data'!$B$7:$B$38</c:f>
              <c:numCache>
                <c:formatCode>@</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'Fig 8 data'!$F$7:$F$38</c:f>
              <c:numCache>
                <c:formatCode>General</c:formatCode>
                <c:ptCount val="32"/>
                <c:pt idx="14" formatCode="0.0">
                  <c:v>5.5246178868794349</c:v>
                </c:pt>
                <c:pt idx="15" formatCode="0.0">
                  <c:v>9.2292182201448103</c:v>
                </c:pt>
                <c:pt idx="16" formatCode="0.0">
                  <c:v>13.94070845368565</c:v>
                </c:pt>
                <c:pt idx="17" formatCode="0.0">
                  <c:v>20.040552553512388</c:v>
                </c:pt>
                <c:pt idx="18" formatCode="0.0">
                  <c:v>24.306484959250156</c:v>
                </c:pt>
                <c:pt idx="19" formatCode="0.0">
                  <c:v>27.096855651783546</c:v>
                </c:pt>
                <c:pt idx="20" formatCode="0.0">
                  <c:v>28.419163463394941</c:v>
                </c:pt>
                <c:pt idx="21" formatCode="0.0">
                  <c:v>28.674869932844167</c:v>
                </c:pt>
                <c:pt idx="22" formatCode="0.0">
                  <c:v>28.490984790923218</c:v>
                </c:pt>
                <c:pt idx="23" formatCode="0.0">
                  <c:v>28.638953080328978</c:v>
                </c:pt>
                <c:pt idx="24" formatCode="0.0">
                  <c:v>28.657175740621526</c:v>
                </c:pt>
                <c:pt idx="25" formatCode="0.0">
                  <c:v>28.029571475881831</c:v>
                </c:pt>
                <c:pt idx="26" formatCode="0.0">
                  <c:v>27.371275400696547</c:v>
                </c:pt>
                <c:pt idx="27" formatCode="0.0">
                  <c:v>27.625982705491438</c:v>
                </c:pt>
                <c:pt idx="28" formatCode="0.0">
                  <c:v>27.981229310833459</c:v>
                </c:pt>
                <c:pt idx="29" formatCode="0.0">
                  <c:v>28.483979489116429</c:v>
                </c:pt>
                <c:pt idx="30" formatCode="0.0">
                  <c:v>29.149872113027019</c:v>
                </c:pt>
                <c:pt idx="31" formatCode="0.0">
                  <c:v>29.98444076534474</c:v>
                </c:pt>
              </c:numCache>
            </c:numRef>
          </c:val>
          <c:smooth val="0"/>
          <c:extLst>
            <c:ext xmlns:c16="http://schemas.microsoft.com/office/drawing/2014/chart" uri="{C3380CC4-5D6E-409C-BE32-E72D297353CC}">
              <c16:uniqueId val="{00000002-68EF-481D-BE2B-279F11B744AB}"/>
            </c:ext>
          </c:extLst>
        </c:ser>
        <c:ser>
          <c:idx val="1"/>
          <c:order val="4"/>
          <c:tx>
            <c:strRef>
              <c:f>'Fig 8 data'!$G$5</c:f>
              <c:strCache>
                <c:ptCount val="1"/>
                <c:pt idx="0">
                  <c:v>2009</c:v>
                </c:pt>
              </c:strCache>
            </c:strRef>
          </c:tx>
          <c:spPr>
            <a:ln w="38100" cap="rnd">
              <a:solidFill>
                <a:srgbClr val="00B5E4"/>
              </a:solidFill>
              <a:round/>
            </a:ln>
            <a:effectLst/>
          </c:spPr>
          <c:marker>
            <c:symbol val="none"/>
          </c:marker>
          <c:cat>
            <c:numRef>
              <c:f>'Fig 8 data'!$B$7:$B$38</c:f>
              <c:numCache>
                <c:formatCode>@</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'Fig 8 data'!$G$7:$G$38</c:f>
              <c:numCache>
                <c:formatCode>General</c:formatCode>
                <c:ptCount val="32"/>
                <c:pt idx="14" formatCode="0.0">
                  <c:v>5.7234680042627488</c:v>
                </c:pt>
                <c:pt idx="15" formatCode="0.0">
                  <c:v>9.5892186742611596</c:v>
                </c:pt>
                <c:pt idx="16" formatCode="0.0">
                  <c:v>15.606298969639395</c:v>
                </c:pt>
                <c:pt idx="17" formatCode="0.0">
                  <c:v>21.759899631643336</c:v>
                </c:pt>
                <c:pt idx="18" formatCode="0.0">
                  <c:v>27.103055408987487</c:v>
                </c:pt>
                <c:pt idx="19" formatCode="0.0">
                  <c:v>30.926636767976802</c:v>
                </c:pt>
                <c:pt idx="20" formatCode="0.0">
                  <c:v>33.672004835129989</c:v>
                </c:pt>
                <c:pt idx="21" formatCode="0.0">
                  <c:v>35.649797339240337</c:v>
                </c:pt>
                <c:pt idx="22" formatCode="0.0">
                  <c:v>37.175191745565719</c:v>
                </c:pt>
                <c:pt idx="23" formatCode="0.0">
                  <c:v>39.13115002477678</c:v>
                </c:pt>
                <c:pt idx="24" formatCode="0.0">
                  <c:v>41.000749966537207</c:v>
                </c:pt>
                <c:pt idx="25" formatCode="0.0">
                  <c:v>42.822479095577975</c:v>
                </c:pt>
                <c:pt idx="26" formatCode="0.0">
                  <c:v>44.595819939125697</c:v>
                </c:pt>
                <c:pt idx="27" formatCode="0.0">
                  <c:v>47.246425251550647</c:v>
                </c:pt>
                <c:pt idx="28" formatCode="0.0">
                  <c:v>49.889514962381689</c:v>
                </c:pt>
                <c:pt idx="29" formatCode="0.0">
                  <c:v>52.418843347355391</c:v>
                </c:pt>
                <c:pt idx="30" formatCode="0.0">
                  <c:v>55.261229837245843</c:v>
                </c:pt>
                <c:pt idx="31" formatCode="0.0">
                  <c:v>58.435837100333941</c:v>
                </c:pt>
              </c:numCache>
            </c:numRef>
          </c:val>
          <c:smooth val="0"/>
          <c:extLst>
            <c:ext xmlns:c16="http://schemas.microsoft.com/office/drawing/2014/chart" uri="{C3380CC4-5D6E-409C-BE32-E72D297353CC}">
              <c16:uniqueId val="{00000001-68EF-481D-BE2B-279F11B744AB}"/>
            </c:ext>
          </c:extLst>
        </c:ser>
        <c:ser>
          <c:idx val="0"/>
          <c:order val="5"/>
          <c:tx>
            <c:strRef>
              <c:f>'Fig 8 data'!$H$5</c:f>
              <c:strCache>
                <c:ptCount val="1"/>
                <c:pt idx="0">
                  <c:v>2006</c:v>
                </c:pt>
              </c:strCache>
            </c:strRef>
          </c:tx>
          <c:spPr>
            <a:ln w="38100" cap="rnd">
              <a:solidFill>
                <a:srgbClr val="0083AC"/>
              </a:solidFill>
              <a:prstDash val="dash"/>
              <a:round/>
            </a:ln>
            <a:effectLst/>
          </c:spPr>
          <c:marker>
            <c:symbol val="none"/>
          </c:marker>
          <c:cat>
            <c:numRef>
              <c:f>'Fig 8 data'!$B$7:$B$38</c:f>
              <c:numCache>
                <c:formatCode>@</c:formatCode>
                <c:ptCount val="3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pt idx="27">
                  <c:v>2021</c:v>
                </c:pt>
                <c:pt idx="28">
                  <c:v>2022</c:v>
                </c:pt>
                <c:pt idx="29">
                  <c:v>2023</c:v>
                </c:pt>
                <c:pt idx="30">
                  <c:v>2024</c:v>
                </c:pt>
                <c:pt idx="31">
                  <c:v>2025</c:v>
                </c:pt>
              </c:numCache>
            </c:numRef>
          </c:cat>
          <c:val>
            <c:numRef>
              <c:f>'Fig 8 data'!$H$7:$H$38</c:f>
              <c:numCache>
                <c:formatCode>General</c:formatCode>
                <c:ptCount val="32"/>
                <c:pt idx="16" formatCode="0.0">
                  <c:v>12.836404683877525</c:v>
                </c:pt>
                <c:pt idx="17" formatCode="0.0">
                  <c:v>13.510539464867374</c:v>
                </c:pt>
                <c:pt idx="18" formatCode="0.0">
                  <c:v>14.217133633053322</c:v>
                </c:pt>
                <c:pt idx="19" formatCode="0.0">
                  <c:v>14.863503780470811</c:v>
                </c:pt>
                <c:pt idx="20" formatCode="0.0">
                  <c:v>15.455754454660189</c:v>
                </c:pt>
                <c:pt idx="21" formatCode="0.0">
                  <c:v>15.996242203802865</c:v>
                </c:pt>
                <c:pt idx="22" formatCode="0.0">
                  <c:v>16.50264122408857</c:v>
                </c:pt>
                <c:pt idx="23" formatCode="0.0">
                  <c:v>17.038604929830665</c:v>
                </c:pt>
                <c:pt idx="24" formatCode="0.0">
                  <c:v>17.574262657934543</c:v>
                </c:pt>
                <c:pt idx="25" formatCode="0.0">
                  <c:v>18.1104800780628</c:v>
                </c:pt>
                <c:pt idx="26" formatCode="0.0">
                  <c:v>18.647506474476902</c:v>
                </c:pt>
                <c:pt idx="27" formatCode="0.0">
                  <c:v>19.228273892608268</c:v>
                </c:pt>
                <c:pt idx="28" formatCode="0.0">
                  <c:v>19.907224138167525</c:v>
                </c:pt>
                <c:pt idx="29" formatCode="0.0">
                  <c:v>20.656779731706752</c:v>
                </c:pt>
                <c:pt idx="30" formatCode="0.0">
                  <c:v>21.510952066038357</c:v>
                </c:pt>
                <c:pt idx="31" formatCode="0.0">
                  <c:v>22.497439755577638</c:v>
                </c:pt>
              </c:numCache>
            </c:numRef>
          </c:val>
          <c:smooth val="0"/>
          <c:extLst>
            <c:ext xmlns:c16="http://schemas.microsoft.com/office/drawing/2014/chart" uri="{C3380CC4-5D6E-409C-BE32-E72D297353CC}">
              <c16:uniqueId val="{00000000-68EF-481D-BE2B-279F11B744AB}"/>
            </c:ext>
          </c:extLst>
        </c:ser>
        <c:dLbls>
          <c:showLegendKey val="0"/>
          <c:showVal val="0"/>
          <c:showCatName val="0"/>
          <c:showSerName val="0"/>
          <c:showPercent val="0"/>
          <c:showBubbleSize val="0"/>
        </c:dLbls>
        <c:smooth val="0"/>
        <c:axId val="203747279"/>
        <c:axId val="203742959"/>
      </c:lineChart>
      <c:catAx>
        <c:axId val="203747279"/>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8209783093254351"/>
              <c:y val="0.93321223900207428"/>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 sourceLinked="1"/>
        <c:majorTickMark val="out"/>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3742959"/>
        <c:crosses val="autoZero"/>
        <c:auto val="1"/>
        <c:lblAlgn val="ctr"/>
        <c:lblOffset val="100"/>
        <c:tickLblSkip val="5"/>
        <c:tickMarkSkip val="5"/>
        <c:noMultiLvlLbl val="0"/>
      </c:catAx>
      <c:valAx>
        <c:axId val="203742959"/>
        <c:scaling>
          <c:orientation val="minMax"/>
        </c:scaling>
        <c:delete val="0"/>
        <c:axPos val="l"/>
        <c:majorGridlines>
          <c:spPr>
            <a:ln w="9525" cap="flat" cmpd="sng" algn="ctr">
              <a:solidFill>
                <a:srgbClr val="A9A7A5"/>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4.4988879934216002E-4"/>
              <c:y val="2.0176871214457313E-3"/>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3747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797834255234507E-2"/>
          <c:y val="8.978282530619458E-2"/>
          <c:w val="0.87059388561213868"/>
          <c:h val="0.78141838798909147"/>
        </c:manualLayout>
      </c:layout>
      <c:barChart>
        <c:barDir val="col"/>
        <c:grouping val="stacked"/>
        <c:varyColors val="0"/>
        <c:ser>
          <c:idx val="6"/>
          <c:order val="6"/>
          <c:tx>
            <c:strRef>
              <c:f>'Fig 9 data'!$I$5</c:f>
              <c:strCache>
                <c:ptCount val="1"/>
                <c:pt idx="0">
                  <c:v>Actual</c:v>
                </c:pt>
              </c:strCache>
            </c:strRef>
          </c:tx>
          <c:spPr>
            <a:solidFill>
              <a:srgbClr val="0083AC"/>
            </a:solidFill>
            <a:ln>
              <a:noFill/>
            </a:ln>
            <a:effectLst/>
          </c:spPr>
          <c:invertIfNegative val="0"/>
          <c:dPt>
            <c:idx val="1"/>
            <c:invertIfNegative val="0"/>
            <c:bubble3D val="0"/>
            <c:spPr>
              <a:solidFill>
                <a:srgbClr val="0083AC"/>
              </a:solidFill>
              <a:ln>
                <a:solidFill>
                  <a:srgbClr val="0083AC"/>
                </a:solidFill>
              </a:ln>
              <a:effectLst/>
            </c:spPr>
            <c:extLst>
              <c:ext xmlns:c16="http://schemas.microsoft.com/office/drawing/2014/chart" uri="{C3380CC4-5D6E-409C-BE32-E72D297353CC}">
                <c16:uniqueId val="{00000007-DBC0-4602-BF68-CED8B8360E9E}"/>
              </c:ext>
            </c:extLst>
          </c:dPt>
          <c:cat>
            <c:numRef>
              <c:f>'Fig 9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9 data'!$I$6:$I$31</c:f>
              <c:numCache>
                <c:formatCode>0.0</c:formatCode>
                <c:ptCount val="26"/>
                <c:pt idx="1">
                  <c:v>30.495030308559954</c:v>
                </c:pt>
                <c:pt idx="2">
                  <c:v>30.041557479022735</c:v>
                </c:pt>
                <c:pt idx="3">
                  <c:v>28.804639843231456</c:v>
                </c:pt>
                <c:pt idx="4">
                  <c:v>25.712302321221365</c:v>
                </c:pt>
                <c:pt idx="5">
                  <c:v>25.015769197178038</c:v>
                </c:pt>
                <c:pt idx="6">
                  <c:v>25.595617039270994</c:v>
                </c:pt>
                <c:pt idx="7">
                  <c:v>26.758918346769594</c:v>
                </c:pt>
                <c:pt idx="8">
                  <c:v>25.970360808433629</c:v>
                </c:pt>
                <c:pt idx="9">
                  <c:v>27.101906683152205</c:v>
                </c:pt>
                <c:pt idx="10">
                  <c:v>27.206299796469303</c:v>
                </c:pt>
                <c:pt idx="11">
                  <c:v>27.41956531195175</c:v>
                </c:pt>
                <c:pt idx="12">
                  <c:v>27.119469131253442</c:v>
                </c:pt>
                <c:pt idx="13">
                  <c:v>27.846910908435103</c:v>
                </c:pt>
                <c:pt idx="14">
                  <c:v>26.792724891462111</c:v>
                </c:pt>
                <c:pt idx="15">
                  <c:v>28.533779081111149</c:v>
                </c:pt>
                <c:pt idx="16">
                  <c:v>29.656345360881119</c:v>
                </c:pt>
                <c:pt idx="17">
                  <c:v>27.9812823903553</c:v>
                </c:pt>
                <c:pt idx="18">
                  <c:v>28.663740840945078</c:v>
                </c:pt>
              </c:numCache>
            </c:numRef>
          </c:val>
          <c:extLst>
            <c:ext xmlns:c16="http://schemas.microsoft.com/office/drawing/2014/chart" uri="{C3380CC4-5D6E-409C-BE32-E72D297353CC}">
              <c16:uniqueId val="{00000000-DBC0-4602-BF68-CED8B8360E9E}"/>
            </c:ext>
          </c:extLst>
        </c:ser>
        <c:dLbls>
          <c:showLegendKey val="0"/>
          <c:showVal val="0"/>
          <c:showCatName val="0"/>
          <c:showSerName val="0"/>
          <c:showPercent val="0"/>
          <c:showBubbleSize val="0"/>
        </c:dLbls>
        <c:gapWidth val="150"/>
        <c:overlap val="100"/>
        <c:axId val="666028895"/>
        <c:axId val="666031775"/>
      </c:barChart>
      <c:lineChart>
        <c:grouping val="standard"/>
        <c:varyColors val="0"/>
        <c:ser>
          <c:idx val="0"/>
          <c:order val="0"/>
          <c:tx>
            <c:strRef>
              <c:f>'Fig 9 data'!$C$5</c:f>
              <c:strCache>
                <c:ptCount val="1"/>
                <c:pt idx="0">
                  <c:v>2025 LTFS</c:v>
                </c:pt>
              </c:strCache>
            </c:strRef>
          </c:tx>
          <c:spPr>
            <a:ln w="38100" cap="rnd">
              <a:solidFill>
                <a:srgbClr val="67A854"/>
              </a:solidFill>
              <a:round/>
            </a:ln>
            <a:effectLst/>
          </c:spPr>
          <c:marker>
            <c:symbol val="none"/>
          </c:marker>
          <c:cat>
            <c:numRef>
              <c:f>'Fig 9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9 data'!$C$6:$C$31</c:f>
              <c:numCache>
                <c:formatCode>General</c:formatCode>
                <c:ptCount val="26"/>
                <c:pt idx="4" formatCode="0.0">
                  <c:v>25.712302321221365</c:v>
                </c:pt>
                <c:pt idx="5" formatCode="0.0">
                  <c:v>25.015769197178038</c:v>
                </c:pt>
                <c:pt idx="6" formatCode="0.0">
                  <c:v>25.595617039270994</c:v>
                </c:pt>
                <c:pt idx="7" formatCode="0.0">
                  <c:v>26.758918346769594</c:v>
                </c:pt>
                <c:pt idx="8" formatCode="0.0">
                  <c:v>25.970360808433629</c:v>
                </c:pt>
                <c:pt idx="9" formatCode="0.0">
                  <c:v>27.101906683152205</c:v>
                </c:pt>
                <c:pt idx="10" formatCode="0.0">
                  <c:v>27.206299796469303</c:v>
                </c:pt>
                <c:pt idx="11" formatCode="0.0">
                  <c:v>27.41956531195175</c:v>
                </c:pt>
                <c:pt idx="12" formatCode="0.0">
                  <c:v>27.119469131253442</c:v>
                </c:pt>
                <c:pt idx="13" formatCode="0.0">
                  <c:v>27.846910908435103</c:v>
                </c:pt>
                <c:pt idx="14" formatCode="0.0">
                  <c:v>26.792724891462111</c:v>
                </c:pt>
                <c:pt idx="15" formatCode="0.0">
                  <c:v>28.533779081111149</c:v>
                </c:pt>
                <c:pt idx="16" formatCode="0.0">
                  <c:v>29.656345360881119</c:v>
                </c:pt>
                <c:pt idx="17" formatCode="0.0">
                  <c:v>27.9812823903553</c:v>
                </c:pt>
                <c:pt idx="18" formatCode="0.0">
                  <c:v>28.663740840945078</c:v>
                </c:pt>
                <c:pt idx="19" formatCode="0.0">
                  <c:v>27.782271778797096</c:v>
                </c:pt>
                <c:pt idx="20" formatCode="0.0">
                  <c:v>27.394055171930315</c:v>
                </c:pt>
                <c:pt idx="21" formatCode="0.0">
                  <c:v>27.841429976767063</c:v>
                </c:pt>
                <c:pt idx="22" formatCode="0.0">
                  <c:v>28.049618061517457</c:v>
                </c:pt>
                <c:pt idx="23" formatCode="0.0">
                  <c:v>28.275859437306583</c:v>
                </c:pt>
                <c:pt idx="24" formatCode="0.0">
                  <c:v>28.14507280718145</c:v>
                </c:pt>
                <c:pt idx="25" formatCode="0.0">
                  <c:v>28.1017498988334</c:v>
                </c:pt>
              </c:numCache>
            </c:numRef>
          </c:val>
          <c:smooth val="0"/>
          <c:extLst>
            <c:ext xmlns:c16="http://schemas.microsoft.com/office/drawing/2014/chart" uri="{C3380CC4-5D6E-409C-BE32-E72D297353CC}">
              <c16:uniqueId val="{00000001-DBC0-4602-BF68-CED8B8360E9E}"/>
            </c:ext>
          </c:extLst>
        </c:ser>
        <c:ser>
          <c:idx val="1"/>
          <c:order val="1"/>
          <c:tx>
            <c:strRef>
              <c:f>'Fig 9 data'!$D$5</c:f>
              <c:strCache>
                <c:ptCount val="1"/>
                <c:pt idx="0">
                  <c:v>2021 LTFS</c:v>
                </c:pt>
              </c:strCache>
            </c:strRef>
          </c:tx>
          <c:spPr>
            <a:ln w="38100" cap="rnd">
              <a:solidFill>
                <a:srgbClr val="3F403A"/>
              </a:solidFill>
              <a:round/>
            </a:ln>
            <a:effectLst/>
          </c:spPr>
          <c:marker>
            <c:symbol val="none"/>
          </c:marker>
          <c:cat>
            <c:numRef>
              <c:f>'Fig 9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9 data'!$D$6:$D$31</c:f>
              <c:numCache>
                <c:formatCode>0.0</c:formatCode>
                <c:ptCount val="26"/>
                <c:pt idx="1">
                  <c:v>30.495378105736165</c:v>
                </c:pt>
                <c:pt idx="2">
                  <c:v>30.055241010756902</c:v>
                </c:pt>
                <c:pt idx="3">
                  <c:v>28.873235718095074</c:v>
                </c:pt>
                <c:pt idx="4">
                  <c:v>25.784683865263542</c:v>
                </c:pt>
                <c:pt idx="5">
                  <c:v>25.070265013372232</c:v>
                </c:pt>
                <c:pt idx="6">
                  <c:v>25.621691521923175</c:v>
                </c:pt>
                <c:pt idx="7">
                  <c:v>26.804043616953216</c:v>
                </c:pt>
                <c:pt idx="8">
                  <c:v>25.989876431674357</c:v>
                </c:pt>
                <c:pt idx="9">
                  <c:v>27.134573411082513</c:v>
                </c:pt>
                <c:pt idx="10">
                  <c:v>27.228698650257421</c:v>
                </c:pt>
                <c:pt idx="11">
                  <c:v>27.433387612108639</c:v>
                </c:pt>
                <c:pt idx="12">
                  <c:v>27.097576134244878</c:v>
                </c:pt>
                <c:pt idx="13">
                  <c:v>27.869438956233623</c:v>
                </c:pt>
                <c:pt idx="14">
                  <c:v>26.884050645707497</c:v>
                </c:pt>
                <c:pt idx="15">
                  <c:v>27.375380907239556</c:v>
                </c:pt>
                <c:pt idx="16">
                  <c:v>26.644783869252191</c:v>
                </c:pt>
                <c:pt idx="17">
                  <c:v>27.360584593612192</c:v>
                </c:pt>
                <c:pt idx="18">
                  <c:v>27.263517469238565</c:v>
                </c:pt>
                <c:pt idx="19">
                  <c:v>27.328120852337172</c:v>
                </c:pt>
                <c:pt idx="20">
                  <c:v>27.489623301720599</c:v>
                </c:pt>
                <c:pt idx="21">
                  <c:v>27.534322739448346</c:v>
                </c:pt>
                <c:pt idx="22">
                  <c:v>27.548918892830425</c:v>
                </c:pt>
                <c:pt idx="23">
                  <c:v>27.598918892830422</c:v>
                </c:pt>
                <c:pt idx="24">
                  <c:v>27.600000000000009</c:v>
                </c:pt>
                <c:pt idx="25">
                  <c:v>27.6</c:v>
                </c:pt>
              </c:numCache>
            </c:numRef>
          </c:val>
          <c:smooth val="0"/>
          <c:extLst>
            <c:ext xmlns:c16="http://schemas.microsoft.com/office/drawing/2014/chart" uri="{C3380CC4-5D6E-409C-BE32-E72D297353CC}">
              <c16:uniqueId val="{00000002-DBC0-4602-BF68-CED8B8360E9E}"/>
            </c:ext>
          </c:extLst>
        </c:ser>
        <c:ser>
          <c:idx val="2"/>
          <c:order val="2"/>
          <c:tx>
            <c:strRef>
              <c:f>'Fig 9 data'!$E$5</c:f>
              <c:strCache>
                <c:ptCount val="1"/>
                <c:pt idx="0">
                  <c:v>2016 LTFS</c:v>
                </c:pt>
              </c:strCache>
            </c:strRef>
          </c:tx>
          <c:spPr>
            <a:ln w="38100" cap="rnd">
              <a:solidFill>
                <a:srgbClr val="A9A7A5"/>
              </a:solidFill>
              <a:round/>
            </a:ln>
            <a:effectLst/>
          </c:spPr>
          <c:marker>
            <c:symbol val="none"/>
          </c:marker>
          <c:cat>
            <c:numRef>
              <c:f>'Fig 9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9 data'!$E$6:$E$31</c:f>
              <c:numCache>
                <c:formatCode>0.0</c:formatCode>
                <c:ptCount val="26"/>
                <c:pt idx="0">
                  <c:v>30.965166996731746</c:v>
                </c:pt>
                <c:pt idx="1">
                  <c:v>30.494334738006579</c:v>
                </c:pt>
                <c:pt idx="2">
                  <c:v>30.009307343282316</c:v>
                </c:pt>
                <c:pt idx="3">
                  <c:v>28.857997815107421</c:v>
                </c:pt>
                <c:pt idx="4">
                  <c:v>25.797530261666186</c:v>
                </c:pt>
                <c:pt idx="5">
                  <c:v>25.047975786195607</c:v>
                </c:pt>
                <c:pt idx="6">
                  <c:v>25.5748193822781</c:v>
                </c:pt>
                <c:pt idx="7">
                  <c:v>26.802451251445209</c:v>
                </c:pt>
                <c:pt idx="8">
                  <c:v>26.200477509799171</c:v>
                </c:pt>
                <c:pt idx="9">
                  <c:v>27.58340922261776</c:v>
                </c:pt>
                <c:pt idx="10">
                  <c:v>27.858759185370573</c:v>
                </c:pt>
                <c:pt idx="11">
                  <c:v>27.76573253911916</c:v>
                </c:pt>
                <c:pt idx="12">
                  <c:v>27.658268096397165</c:v>
                </c:pt>
                <c:pt idx="13">
                  <c:v>27.924605756151529</c:v>
                </c:pt>
                <c:pt idx="14">
                  <c:v>28.209833216350809</c:v>
                </c:pt>
                <c:pt idx="15">
                  <c:v>28.358686787660016</c:v>
                </c:pt>
                <c:pt idx="16">
                  <c:v>28.478989939503329</c:v>
                </c:pt>
                <c:pt idx="17">
                  <c:v>28.524837060062175</c:v>
                </c:pt>
                <c:pt idx="18">
                  <c:v>28.524837060062168</c:v>
                </c:pt>
                <c:pt idx="19">
                  <c:v>28.524837060062175</c:v>
                </c:pt>
                <c:pt idx="20">
                  <c:v>28.52702630435509</c:v>
                </c:pt>
                <c:pt idx="21">
                  <c:v>28.577026304355091</c:v>
                </c:pt>
                <c:pt idx="22">
                  <c:v>28.6</c:v>
                </c:pt>
                <c:pt idx="23">
                  <c:v>28.599999999999998</c:v>
                </c:pt>
                <c:pt idx="24">
                  <c:v>28.599999999999998</c:v>
                </c:pt>
                <c:pt idx="25">
                  <c:v>28.6</c:v>
                </c:pt>
              </c:numCache>
            </c:numRef>
          </c:val>
          <c:smooth val="0"/>
          <c:extLst>
            <c:ext xmlns:c16="http://schemas.microsoft.com/office/drawing/2014/chart" uri="{C3380CC4-5D6E-409C-BE32-E72D297353CC}">
              <c16:uniqueId val="{00000003-DBC0-4602-BF68-CED8B8360E9E}"/>
            </c:ext>
          </c:extLst>
        </c:ser>
        <c:ser>
          <c:idx val="3"/>
          <c:order val="3"/>
          <c:tx>
            <c:strRef>
              <c:f>'Fig 9 data'!$F$5</c:f>
              <c:strCache>
                <c:ptCount val="1"/>
                <c:pt idx="0">
                  <c:v>2013 LTFS</c:v>
                </c:pt>
              </c:strCache>
            </c:strRef>
          </c:tx>
          <c:spPr>
            <a:ln w="38100" cap="rnd">
              <a:solidFill>
                <a:srgbClr val="00B5E4"/>
              </a:solidFill>
              <a:round/>
            </a:ln>
            <a:effectLst/>
          </c:spPr>
          <c:marker>
            <c:symbol val="none"/>
          </c:marker>
          <c:cat>
            <c:numRef>
              <c:f>'Fig 9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9 data'!$F$6:$F$31</c:f>
              <c:numCache>
                <c:formatCode>0.0</c:formatCode>
                <c:ptCount val="26"/>
                <c:pt idx="1">
                  <c:v>30.873370512776098</c:v>
                </c:pt>
                <c:pt idx="2">
                  <c:v>30.562048277124916</c:v>
                </c:pt>
                <c:pt idx="3">
                  <c:v>29.479693994727391</c:v>
                </c:pt>
                <c:pt idx="4">
                  <c:v>26.457001637139072</c:v>
                </c:pt>
                <c:pt idx="5">
                  <c:v>25.748374401949718</c:v>
                </c:pt>
                <c:pt idx="6">
                  <c:v>26.421927691193332</c:v>
                </c:pt>
                <c:pt idx="7">
                  <c:v>27.256317689530686</c:v>
                </c:pt>
                <c:pt idx="8">
                  <c:v>27.373931511417695</c:v>
                </c:pt>
                <c:pt idx="9">
                  <c:v>27.770073207426645</c:v>
                </c:pt>
                <c:pt idx="10">
                  <c:v>28.095917807777294</c:v>
                </c:pt>
                <c:pt idx="11">
                  <c:v>28.310505833550398</c:v>
                </c:pt>
                <c:pt idx="12">
                  <c:v>28.625883373970819</c:v>
                </c:pt>
                <c:pt idx="13">
                  <c:v>28.785136672431193</c:v>
                </c:pt>
                <c:pt idx="14">
                  <c:v>28.92410485050786</c:v>
                </c:pt>
                <c:pt idx="15">
                  <c:v>29.02579241813396</c:v>
                </c:pt>
                <c:pt idx="16">
                  <c:v>29.02579241813396</c:v>
                </c:pt>
                <c:pt idx="17">
                  <c:v>29.02579241813396</c:v>
                </c:pt>
                <c:pt idx="18">
                  <c:v>29.02579241813396</c:v>
                </c:pt>
                <c:pt idx="19">
                  <c:v>29.02579241813396</c:v>
                </c:pt>
                <c:pt idx="20">
                  <c:v>29.02579241813396</c:v>
                </c:pt>
                <c:pt idx="21">
                  <c:v>29.025792418133957</c:v>
                </c:pt>
                <c:pt idx="22">
                  <c:v>29.02579241813396</c:v>
                </c:pt>
                <c:pt idx="23">
                  <c:v>29.025792418133967</c:v>
                </c:pt>
                <c:pt idx="24">
                  <c:v>29.025792418133957</c:v>
                </c:pt>
                <c:pt idx="25">
                  <c:v>29.025792418133957</c:v>
                </c:pt>
              </c:numCache>
            </c:numRef>
          </c:val>
          <c:smooth val="0"/>
          <c:extLst>
            <c:ext xmlns:c16="http://schemas.microsoft.com/office/drawing/2014/chart" uri="{C3380CC4-5D6E-409C-BE32-E72D297353CC}">
              <c16:uniqueId val="{00000004-DBC0-4602-BF68-CED8B8360E9E}"/>
            </c:ext>
          </c:extLst>
        </c:ser>
        <c:ser>
          <c:idx val="4"/>
          <c:order val="4"/>
          <c:tx>
            <c:strRef>
              <c:f>'Fig 9 data'!$G$5</c:f>
              <c:strCache>
                <c:ptCount val="1"/>
                <c:pt idx="0">
                  <c:v>2009 LTFS</c:v>
                </c:pt>
              </c:strCache>
            </c:strRef>
          </c:tx>
          <c:spPr>
            <a:ln w="38100" cap="rnd">
              <a:solidFill>
                <a:srgbClr val="0083AC"/>
              </a:solidFill>
              <a:prstDash val="dash"/>
              <a:round/>
            </a:ln>
            <a:effectLst/>
          </c:spPr>
          <c:marker>
            <c:symbol val="none"/>
          </c:marker>
          <c:cat>
            <c:numRef>
              <c:f>'Fig 9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9 data'!$G$6:$G$31</c:f>
              <c:numCache>
                <c:formatCode>0.0</c:formatCode>
                <c:ptCount val="26"/>
                <c:pt idx="1">
                  <c:v>31.617938333284062</c:v>
                </c:pt>
                <c:pt idx="2">
                  <c:v>31.662082163959671</c:v>
                </c:pt>
                <c:pt idx="3">
                  <c:v>30.629596724532636</c:v>
                </c:pt>
                <c:pt idx="4">
                  <c:v>29.465679594933931</c:v>
                </c:pt>
                <c:pt idx="5">
                  <c:v>28.373959015642175</c:v>
                </c:pt>
                <c:pt idx="6">
                  <c:v>28.502849120247269</c:v>
                </c:pt>
                <c:pt idx="7">
                  <c:v>28.838987563790479</c:v>
                </c:pt>
                <c:pt idx="8">
                  <c:v>29.289020941104749</c:v>
                </c:pt>
                <c:pt idx="9">
                  <c:v>29.633574677065244</c:v>
                </c:pt>
                <c:pt idx="10">
                  <c:v>29.875089341069071</c:v>
                </c:pt>
                <c:pt idx="11">
                  <c:v>30.0231538554116</c:v>
                </c:pt>
                <c:pt idx="12">
                  <c:v>30.173005605550141</c:v>
                </c:pt>
                <c:pt idx="13">
                  <c:v>30.324666164592912</c:v>
                </c:pt>
                <c:pt idx="14">
                  <c:v>30.478157366049668</c:v>
                </c:pt>
                <c:pt idx="15">
                  <c:v>30.63350130697501</c:v>
                </c:pt>
                <c:pt idx="16">
                  <c:v>30.79072035114941</c:v>
                </c:pt>
                <c:pt idx="17">
                  <c:v>30.949837132298875</c:v>
                </c:pt>
                <c:pt idx="18">
                  <c:v>30.749837132298875</c:v>
                </c:pt>
                <c:pt idx="19">
                  <c:v>30.549837132298869</c:v>
                </c:pt>
                <c:pt idx="20">
                  <c:v>30.349837132298873</c:v>
                </c:pt>
                <c:pt idx="21">
                  <c:v>30.149837132298874</c:v>
                </c:pt>
                <c:pt idx="22">
                  <c:v>30.008604719161891</c:v>
                </c:pt>
                <c:pt idx="23">
                  <c:v>30.008604719161891</c:v>
                </c:pt>
                <c:pt idx="24">
                  <c:v>30.008604719161884</c:v>
                </c:pt>
                <c:pt idx="25">
                  <c:v>30.008604719161891</c:v>
                </c:pt>
              </c:numCache>
            </c:numRef>
          </c:val>
          <c:smooth val="0"/>
          <c:extLst>
            <c:ext xmlns:c16="http://schemas.microsoft.com/office/drawing/2014/chart" uri="{C3380CC4-5D6E-409C-BE32-E72D297353CC}">
              <c16:uniqueId val="{00000005-DBC0-4602-BF68-CED8B8360E9E}"/>
            </c:ext>
          </c:extLst>
        </c:ser>
        <c:ser>
          <c:idx val="5"/>
          <c:order val="5"/>
          <c:tx>
            <c:strRef>
              <c:f>'Fig 9 data'!$H$5</c:f>
              <c:strCache>
                <c:ptCount val="1"/>
                <c:pt idx="0">
                  <c:v>2006 LTFS</c:v>
                </c:pt>
              </c:strCache>
            </c:strRef>
          </c:tx>
          <c:spPr>
            <a:ln w="38100" cap="rnd">
              <a:solidFill>
                <a:srgbClr val="67A854"/>
              </a:solidFill>
              <a:prstDash val="dash"/>
              <a:round/>
            </a:ln>
            <a:effectLst/>
          </c:spPr>
          <c:marker>
            <c:symbol val="none"/>
          </c:marker>
          <c:cat>
            <c:numRef>
              <c:f>'Fig 9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9 data'!$H$6:$H$31</c:f>
              <c:numCache>
                <c:formatCode>0.0</c:formatCode>
                <c:ptCount val="26"/>
                <c:pt idx="0">
                  <c:v>32.063754909050111</c:v>
                </c:pt>
                <c:pt idx="1">
                  <c:v>32.039820403633627</c:v>
                </c:pt>
                <c:pt idx="2">
                  <c:v>31.177214488945708</c:v>
                </c:pt>
                <c:pt idx="3">
                  <c:v>30.461843057383959</c:v>
                </c:pt>
                <c:pt idx="4">
                  <c:v>31.148765550021341</c:v>
                </c:pt>
                <c:pt idx="5">
                  <c:v>31.153385168058367</c:v>
                </c:pt>
                <c:pt idx="6">
                  <c:v>31.170334420403968</c:v>
                </c:pt>
                <c:pt idx="7">
                  <c:v>31.185465809624397</c:v>
                </c:pt>
                <c:pt idx="8">
                  <c:v>31.199841620404957</c:v>
                </c:pt>
                <c:pt idx="9">
                  <c:v>31.214172432245551</c:v>
                </c:pt>
                <c:pt idx="10">
                  <c:v>31.227986979013945</c:v>
                </c:pt>
                <c:pt idx="11">
                  <c:v>31.243959138778614</c:v>
                </c:pt>
                <c:pt idx="12">
                  <c:v>31.259800701067096</c:v>
                </c:pt>
                <c:pt idx="13">
                  <c:v>31.27682386187054</c:v>
                </c:pt>
                <c:pt idx="14">
                  <c:v>31.295054891921243</c:v>
                </c:pt>
                <c:pt idx="15">
                  <c:v>31.315859399911073</c:v>
                </c:pt>
                <c:pt idx="16">
                  <c:v>31.338742436360967</c:v>
                </c:pt>
                <c:pt idx="17">
                  <c:v>31.362300699754236</c:v>
                </c:pt>
                <c:pt idx="18">
                  <c:v>31.389345207052699</c:v>
                </c:pt>
                <c:pt idx="19">
                  <c:v>31.416812903396035</c:v>
                </c:pt>
                <c:pt idx="20">
                  <c:v>31.447258305027809</c:v>
                </c:pt>
                <c:pt idx="21">
                  <c:v>31.479601937610376</c:v>
                </c:pt>
                <c:pt idx="22">
                  <c:v>31.511070582374888</c:v>
                </c:pt>
                <c:pt idx="23">
                  <c:v>31.540312836057964</c:v>
                </c:pt>
                <c:pt idx="24">
                  <c:v>31.565612643927278</c:v>
                </c:pt>
                <c:pt idx="25">
                  <c:v>31.588947232023923</c:v>
                </c:pt>
              </c:numCache>
            </c:numRef>
          </c:val>
          <c:smooth val="0"/>
          <c:extLst>
            <c:ext xmlns:c16="http://schemas.microsoft.com/office/drawing/2014/chart" uri="{C3380CC4-5D6E-409C-BE32-E72D297353CC}">
              <c16:uniqueId val="{00000006-DBC0-4602-BF68-CED8B8360E9E}"/>
            </c:ext>
          </c:extLst>
        </c:ser>
        <c:dLbls>
          <c:showLegendKey val="0"/>
          <c:showVal val="0"/>
          <c:showCatName val="0"/>
          <c:showSerName val="0"/>
          <c:showPercent val="0"/>
          <c:showBubbleSize val="0"/>
        </c:dLbls>
        <c:marker val="1"/>
        <c:smooth val="0"/>
        <c:axId val="666028895"/>
        <c:axId val="666031775"/>
      </c:lineChart>
      <c:catAx>
        <c:axId val="666028895"/>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716733069489575"/>
              <c:y val="0.93926971298736239"/>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6031775"/>
        <c:crosses val="autoZero"/>
        <c:auto val="1"/>
        <c:lblAlgn val="ctr"/>
        <c:lblOffset val="100"/>
        <c:tickLblSkip val="5"/>
        <c:tickMarkSkip val="5"/>
        <c:noMultiLvlLbl val="0"/>
      </c:catAx>
      <c:valAx>
        <c:axId val="666031775"/>
        <c:scaling>
          <c:orientation val="minMax"/>
          <c:min val="20"/>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1.3693900564167138E-3"/>
              <c:y val="1.0781297553359005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602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56543188599372E-2"/>
          <c:y val="7.7838423473387666E-2"/>
          <c:w val="0.86850566045865341"/>
          <c:h val="0.79404945418873951"/>
        </c:manualLayout>
      </c:layout>
      <c:barChart>
        <c:barDir val="col"/>
        <c:grouping val="stacked"/>
        <c:varyColors val="0"/>
        <c:ser>
          <c:idx val="6"/>
          <c:order val="6"/>
          <c:tx>
            <c:strRef>
              <c:f>'Fig 10 data'!$I$5</c:f>
              <c:strCache>
                <c:ptCount val="1"/>
                <c:pt idx="0">
                  <c:v>Actual</c:v>
                </c:pt>
              </c:strCache>
            </c:strRef>
          </c:tx>
          <c:spPr>
            <a:solidFill>
              <a:srgbClr val="0083AC"/>
            </a:solidFill>
            <a:ln>
              <a:noFill/>
            </a:ln>
            <a:effectLst/>
          </c:spPr>
          <c:invertIfNegative val="0"/>
          <c:cat>
            <c:numRef>
              <c:f>'Fig 10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10 data'!$I$6:$I$31</c:f>
              <c:numCache>
                <c:formatCode>0.0</c:formatCode>
                <c:ptCount val="26"/>
                <c:pt idx="0">
                  <c:v>29.989419791071274</c:v>
                </c:pt>
                <c:pt idx="1">
                  <c:v>30.794979556690986</c:v>
                </c:pt>
                <c:pt idx="2">
                  <c:v>30.173906138330814</c:v>
                </c:pt>
                <c:pt idx="3">
                  <c:v>33.714719175700864</c:v>
                </c:pt>
                <c:pt idx="4">
                  <c:v>32.435787649541687</c:v>
                </c:pt>
                <c:pt idx="5">
                  <c:v>34.012460091800989</c:v>
                </c:pt>
                <c:pt idx="6">
                  <c:v>32.035297889840464</c:v>
                </c:pt>
                <c:pt idx="7">
                  <c:v>31.919446307423481</c:v>
                </c:pt>
                <c:pt idx="8">
                  <c:v>30.02476260382787</c:v>
                </c:pt>
                <c:pt idx="9">
                  <c:v>29.43116743671504</c:v>
                </c:pt>
                <c:pt idx="10">
                  <c:v>28.551842396950523</c:v>
                </c:pt>
                <c:pt idx="11">
                  <c:v>27.671490089750467</c:v>
                </c:pt>
                <c:pt idx="12">
                  <c:v>27.238461616472353</c:v>
                </c:pt>
                <c:pt idx="13">
                  <c:v>28.005036842376462</c:v>
                </c:pt>
                <c:pt idx="14">
                  <c:v>34.263658144198764</c:v>
                </c:pt>
                <c:pt idx="15">
                  <c:v>31.382119029799689</c:v>
                </c:pt>
                <c:pt idx="16">
                  <c:v>34.354799899375472</c:v>
                </c:pt>
                <c:pt idx="17">
                  <c:v>31.770627099691946</c:v>
                </c:pt>
                <c:pt idx="18">
                  <c:v>33.04582261507958</c:v>
                </c:pt>
              </c:numCache>
            </c:numRef>
          </c:val>
          <c:extLst>
            <c:ext xmlns:c16="http://schemas.microsoft.com/office/drawing/2014/chart" uri="{C3380CC4-5D6E-409C-BE32-E72D297353CC}">
              <c16:uniqueId val="{00000006-A8F1-4E64-9970-427DA9429936}"/>
            </c:ext>
          </c:extLst>
        </c:ser>
        <c:dLbls>
          <c:showLegendKey val="0"/>
          <c:showVal val="0"/>
          <c:showCatName val="0"/>
          <c:showSerName val="0"/>
          <c:showPercent val="0"/>
          <c:showBubbleSize val="0"/>
        </c:dLbls>
        <c:gapWidth val="150"/>
        <c:overlap val="100"/>
        <c:axId val="1079480895"/>
        <c:axId val="1079491455"/>
      </c:barChart>
      <c:lineChart>
        <c:grouping val="standard"/>
        <c:varyColors val="0"/>
        <c:ser>
          <c:idx val="0"/>
          <c:order val="0"/>
          <c:tx>
            <c:strRef>
              <c:f>'Fig 10 data'!$C$5</c:f>
              <c:strCache>
                <c:ptCount val="1"/>
                <c:pt idx="0">
                  <c:v>2025 LTFS</c:v>
                </c:pt>
              </c:strCache>
            </c:strRef>
          </c:tx>
          <c:spPr>
            <a:ln w="38100" cap="rnd">
              <a:solidFill>
                <a:srgbClr val="67A854"/>
              </a:solidFill>
              <a:round/>
            </a:ln>
            <a:effectLst/>
          </c:spPr>
          <c:marker>
            <c:symbol val="none"/>
          </c:marker>
          <c:cat>
            <c:numRef>
              <c:f>'Fig 10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10 data'!$C$6:$C$31</c:f>
              <c:numCache>
                <c:formatCode>General</c:formatCode>
                <c:ptCount val="26"/>
                <c:pt idx="4" formatCode="0.0">
                  <c:v>32.20320947743383</c:v>
                </c:pt>
                <c:pt idx="5" formatCode="0.0">
                  <c:v>34.012460091800989</c:v>
                </c:pt>
                <c:pt idx="6" formatCode="0.0">
                  <c:v>32.035297889840471</c:v>
                </c:pt>
                <c:pt idx="7" formatCode="0.0">
                  <c:v>31.919446307423481</c:v>
                </c:pt>
                <c:pt idx="8" formatCode="0.0">
                  <c:v>30.024762603827863</c:v>
                </c:pt>
                <c:pt idx="9" formatCode="0.0">
                  <c:v>29.431167436715032</c:v>
                </c:pt>
                <c:pt idx="10" formatCode="0.0">
                  <c:v>28.551842396950516</c:v>
                </c:pt>
                <c:pt idx="11" formatCode="0.0">
                  <c:v>27.671490089750467</c:v>
                </c:pt>
                <c:pt idx="12" formatCode="0.0">
                  <c:v>27.238461616472343</c:v>
                </c:pt>
                <c:pt idx="13" formatCode="0.0">
                  <c:v>28.005036842376462</c:v>
                </c:pt>
                <c:pt idx="14" formatCode="0.0">
                  <c:v>34.263658144198772</c:v>
                </c:pt>
                <c:pt idx="15" formatCode="0.0">
                  <c:v>31.382410241327001</c:v>
                </c:pt>
                <c:pt idx="16" formatCode="0.0">
                  <c:v>34.354799899375472</c:v>
                </c:pt>
                <c:pt idx="17" formatCode="0.0">
                  <c:v>31.770627099691946</c:v>
                </c:pt>
                <c:pt idx="18" formatCode="0.0">
                  <c:v>33.046298101383201</c:v>
                </c:pt>
                <c:pt idx="19" formatCode="0.0">
                  <c:v>32.680375412503331</c:v>
                </c:pt>
                <c:pt idx="20" formatCode="0.0">
                  <c:v>32.937756318132422</c:v>
                </c:pt>
                <c:pt idx="21" formatCode="0.0">
                  <c:v>32.053498545325155</c:v>
                </c:pt>
                <c:pt idx="22" formatCode="0.0">
                  <c:v>31.311169055196409</c:v>
                </c:pt>
                <c:pt idx="23" formatCode="0.0">
                  <c:v>30.90101159653668</c:v>
                </c:pt>
                <c:pt idx="24" formatCode="0.0">
                  <c:v>31.261131675564375</c:v>
                </c:pt>
                <c:pt idx="25" formatCode="0.0">
                  <c:v>31.604931786668359</c:v>
                </c:pt>
              </c:numCache>
            </c:numRef>
          </c:val>
          <c:smooth val="0"/>
          <c:extLst>
            <c:ext xmlns:c16="http://schemas.microsoft.com/office/drawing/2014/chart" uri="{C3380CC4-5D6E-409C-BE32-E72D297353CC}">
              <c16:uniqueId val="{00000000-A8F1-4E64-9970-427DA9429936}"/>
            </c:ext>
          </c:extLst>
        </c:ser>
        <c:ser>
          <c:idx val="1"/>
          <c:order val="1"/>
          <c:tx>
            <c:strRef>
              <c:f>'Fig 10 data'!$D$5</c:f>
              <c:strCache>
                <c:ptCount val="1"/>
                <c:pt idx="0">
                  <c:v>2021 LTFS</c:v>
                </c:pt>
              </c:strCache>
            </c:strRef>
          </c:tx>
          <c:spPr>
            <a:ln w="38100" cap="rnd">
              <a:solidFill>
                <a:srgbClr val="3F403A"/>
              </a:solidFill>
              <a:round/>
            </a:ln>
            <a:effectLst/>
          </c:spPr>
          <c:marker>
            <c:symbol val="none"/>
          </c:marker>
          <c:cat>
            <c:numRef>
              <c:f>'Fig 10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10 data'!$D$6:$D$31</c:f>
              <c:numCache>
                <c:formatCode>0.0</c:formatCode>
                <c:ptCount val="26"/>
                <c:pt idx="1">
                  <c:v>30.65904049361033</c:v>
                </c:pt>
                <c:pt idx="2">
                  <c:v>30.058418825373789</c:v>
                </c:pt>
                <c:pt idx="3">
                  <c:v>33.641351124440945</c:v>
                </c:pt>
                <c:pt idx="4">
                  <c:v>32.293863281825615</c:v>
                </c:pt>
                <c:pt idx="5">
                  <c:v>34.086554826160956</c:v>
                </c:pt>
                <c:pt idx="6">
                  <c:v>32.067932532631247</c:v>
                </c:pt>
                <c:pt idx="7">
                  <c:v>31.973274104947585</c:v>
                </c:pt>
                <c:pt idx="8">
                  <c:v>30.047324937835885</c:v>
                </c:pt>
                <c:pt idx="9">
                  <c:v>29.466641691370487</c:v>
                </c:pt>
                <c:pt idx="10">
                  <c:v>28.575349031370305</c:v>
                </c:pt>
                <c:pt idx="11">
                  <c:v>27.685439386081661</c:v>
                </c:pt>
                <c:pt idx="12">
                  <c:v>27.216472559245545</c:v>
                </c:pt>
                <c:pt idx="13">
                  <c:v>28.027692813469951</c:v>
                </c:pt>
                <c:pt idx="14">
                  <c:v>34.380449341656345</c:v>
                </c:pt>
                <c:pt idx="15">
                  <c:v>33.117622959398801</c:v>
                </c:pt>
                <c:pt idx="16">
                  <c:v>32.800464342286595</c:v>
                </c:pt>
                <c:pt idx="17">
                  <c:v>31.058149952781573</c:v>
                </c:pt>
                <c:pt idx="18">
                  <c:v>29.985847447704277</c:v>
                </c:pt>
                <c:pt idx="19">
                  <c:v>29.234537512970871</c:v>
                </c:pt>
                <c:pt idx="20">
                  <c:v>29.470782849051634</c:v>
                </c:pt>
                <c:pt idx="21">
                  <c:v>29.898961037909778</c:v>
                </c:pt>
                <c:pt idx="22">
                  <c:v>30.31491099458788</c:v>
                </c:pt>
                <c:pt idx="23">
                  <c:v>30.744194829358317</c:v>
                </c:pt>
                <c:pt idx="24">
                  <c:v>31.102748025148529</c:v>
                </c:pt>
                <c:pt idx="25">
                  <c:v>31.384232601531316</c:v>
                </c:pt>
              </c:numCache>
            </c:numRef>
          </c:val>
          <c:smooth val="0"/>
          <c:extLst>
            <c:ext xmlns:c16="http://schemas.microsoft.com/office/drawing/2014/chart" uri="{C3380CC4-5D6E-409C-BE32-E72D297353CC}">
              <c16:uniqueId val="{00000001-A8F1-4E64-9970-427DA9429936}"/>
            </c:ext>
          </c:extLst>
        </c:ser>
        <c:ser>
          <c:idx val="2"/>
          <c:order val="2"/>
          <c:tx>
            <c:strRef>
              <c:f>'Fig 10 data'!$E$5</c:f>
              <c:strCache>
                <c:ptCount val="1"/>
                <c:pt idx="0">
                  <c:v>2016 LTFS</c:v>
                </c:pt>
              </c:strCache>
            </c:strRef>
          </c:tx>
          <c:spPr>
            <a:ln w="38100" cap="rnd">
              <a:solidFill>
                <a:srgbClr val="A9A7A5"/>
              </a:solidFill>
              <a:round/>
            </a:ln>
            <a:effectLst/>
          </c:spPr>
          <c:marker>
            <c:symbol val="none"/>
          </c:marker>
          <c:cat>
            <c:numRef>
              <c:f>'Fig 10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10 data'!$E$6:$E$31</c:f>
              <c:numCache>
                <c:formatCode>0.0</c:formatCode>
                <c:ptCount val="26"/>
                <c:pt idx="0">
                  <c:v>29.817633980098901</c:v>
                </c:pt>
                <c:pt idx="1">
                  <c:v>30.65799152634191</c:v>
                </c:pt>
                <c:pt idx="2">
                  <c:v>30.012480301219469</c:v>
                </c:pt>
                <c:pt idx="3">
                  <c:v>33.623596839822035</c:v>
                </c:pt>
                <c:pt idx="4">
                  <c:v>32.309952669279767</c:v>
                </c:pt>
                <c:pt idx="5">
                  <c:v>34.056249483804834</c:v>
                </c:pt>
                <c:pt idx="6">
                  <c:v>32.009267685678729</c:v>
                </c:pt>
                <c:pt idx="7">
                  <c:v>31.971374647552636</c:v>
                </c:pt>
                <c:pt idx="8">
                  <c:v>30.290804318867593</c:v>
                </c:pt>
                <c:pt idx="9">
                  <c:v>29.954052487788719</c:v>
                </c:pt>
                <c:pt idx="10">
                  <c:v>29.737812142680092</c:v>
                </c:pt>
                <c:pt idx="11">
                  <c:v>29.855560013579829</c:v>
                </c:pt>
                <c:pt idx="12">
                  <c:v>29.135144617678659</c:v>
                </c:pt>
                <c:pt idx="13">
                  <c:v>28.543150263177118</c:v>
                </c:pt>
                <c:pt idx="14">
                  <c:v>28.349209532404156</c:v>
                </c:pt>
                <c:pt idx="15">
                  <c:v>29.010134589073999</c:v>
                </c:pt>
                <c:pt idx="16">
                  <c:v>29.762630469971825</c:v>
                </c:pt>
                <c:pt idx="17">
                  <c:v>30.324662036739365</c:v>
                </c:pt>
                <c:pt idx="18">
                  <c:v>30.784725038198502</c:v>
                </c:pt>
                <c:pt idx="19">
                  <c:v>31.173814628999875</c:v>
                </c:pt>
                <c:pt idx="20">
                  <c:v>31.622388392172063</c:v>
                </c:pt>
                <c:pt idx="21">
                  <c:v>32.071989827800628</c:v>
                </c:pt>
                <c:pt idx="22">
                  <c:v>32.45789579194232</c:v>
                </c:pt>
                <c:pt idx="23">
                  <c:v>32.848873338278118</c:v>
                </c:pt>
                <c:pt idx="24">
                  <c:v>33.237769455113011</c:v>
                </c:pt>
                <c:pt idx="25">
                  <c:v>33.637580595062602</c:v>
                </c:pt>
              </c:numCache>
            </c:numRef>
          </c:val>
          <c:smooth val="0"/>
          <c:extLst>
            <c:ext xmlns:c16="http://schemas.microsoft.com/office/drawing/2014/chart" uri="{C3380CC4-5D6E-409C-BE32-E72D297353CC}">
              <c16:uniqueId val="{00000002-A8F1-4E64-9970-427DA9429936}"/>
            </c:ext>
          </c:extLst>
        </c:ser>
        <c:ser>
          <c:idx val="3"/>
          <c:order val="3"/>
          <c:tx>
            <c:strRef>
              <c:f>'Fig 10 data'!$F$5</c:f>
              <c:strCache>
                <c:ptCount val="1"/>
                <c:pt idx="0">
                  <c:v>2013 LTFS</c:v>
                </c:pt>
              </c:strCache>
            </c:strRef>
          </c:tx>
          <c:spPr>
            <a:ln w="38100" cap="rnd">
              <a:solidFill>
                <a:srgbClr val="08BCE2"/>
              </a:solidFill>
              <a:prstDash val="dash"/>
              <a:round/>
            </a:ln>
            <a:effectLst/>
          </c:spPr>
          <c:marker>
            <c:symbol val="none"/>
          </c:marker>
          <c:cat>
            <c:numRef>
              <c:f>'Fig 10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10 data'!$F$6:$F$31</c:f>
              <c:numCache>
                <c:formatCode>0.0</c:formatCode>
                <c:ptCount val="26"/>
                <c:pt idx="1">
                  <c:v>31.177041116768855</c:v>
                </c:pt>
                <c:pt idx="2">
                  <c:v>30.696689968655416</c:v>
                </c:pt>
                <c:pt idx="3">
                  <c:v>34.504844005240258</c:v>
                </c:pt>
                <c:pt idx="4">
                  <c:v>33.375217676930937</c:v>
                </c:pt>
                <c:pt idx="5">
                  <c:v>35.183834913151614</c:v>
                </c:pt>
                <c:pt idx="6">
                  <c:v>33.135220442564041</c:v>
                </c:pt>
                <c:pt idx="7">
                  <c:v>33.505265520659918</c:v>
                </c:pt>
                <c:pt idx="8">
                  <c:v>31.754954101065415</c:v>
                </c:pt>
                <c:pt idx="9">
                  <c:v>30.870252233624985</c:v>
                </c:pt>
                <c:pt idx="10">
                  <c:v>30.707884518346969</c:v>
                </c:pt>
                <c:pt idx="11">
                  <c:v>30.947187728282199</c:v>
                </c:pt>
                <c:pt idx="12">
                  <c:v>30.671709516435396</c:v>
                </c:pt>
                <c:pt idx="13">
                  <c:v>30.709250744198069</c:v>
                </c:pt>
                <c:pt idx="14">
                  <c:v>30.758902919604807</c:v>
                </c:pt>
                <c:pt idx="15">
                  <c:v>30.868978704999499</c:v>
                </c:pt>
                <c:pt idx="16">
                  <c:v>31.044397135290247</c:v>
                </c:pt>
                <c:pt idx="17">
                  <c:v>31.260040829020031</c:v>
                </c:pt>
                <c:pt idx="18">
                  <c:v>31.512132783348591</c:v>
                </c:pt>
                <c:pt idx="19">
                  <c:v>31.781973451857894</c:v>
                </c:pt>
                <c:pt idx="20">
                  <c:v>32.083114179845573</c:v>
                </c:pt>
                <c:pt idx="21">
                  <c:v>32.365646905989855</c:v>
                </c:pt>
                <c:pt idx="22">
                  <c:v>32.698480792505919</c:v>
                </c:pt>
                <c:pt idx="23">
                  <c:v>33.050366666766678</c:v>
                </c:pt>
                <c:pt idx="24">
                  <c:v>33.395416734685263</c:v>
                </c:pt>
                <c:pt idx="25">
                  <c:v>33.753332348102703</c:v>
                </c:pt>
              </c:numCache>
            </c:numRef>
          </c:val>
          <c:smooth val="0"/>
          <c:extLst>
            <c:ext xmlns:c16="http://schemas.microsoft.com/office/drawing/2014/chart" uri="{C3380CC4-5D6E-409C-BE32-E72D297353CC}">
              <c16:uniqueId val="{00000003-A8F1-4E64-9970-427DA9429936}"/>
            </c:ext>
          </c:extLst>
        </c:ser>
        <c:ser>
          <c:idx val="4"/>
          <c:order val="4"/>
          <c:tx>
            <c:strRef>
              <c:f>'Fig 10 data'!$G$5</c:f>
              <c:strCache>
                <c:ptCount val="1"/>
                <c:pt idx="0">
                  <c:v>2009 LTFS</c:v>
                </c:pt>
              </c:strCache>
            </c:strRef>
          </c:tx>
          <c:spPr>
            <a:ln w="38100" cap="rnd">
              <a:solidFill>
                <a:srgbClr val="67A854"/>
              </a:solidFill>
              <a:prstDash val="dash"/>
              <a:round/>
            </a:ln>
            <a:effectLst/>
          </c:spPr>
          <c:marker>
            <c:symbol val="none"/>
          </c:marker>
          <c:cat>
            <c:numRef>
              <c:f>'Fig 10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10 data'!$G$6:$G$31</c:f>
              <c:numCache>
                <c:formatCode>0.0</c:formatCode>
                <c:ptCount val="26"/>
                <c:pt idx="1">
                  <c:v>31.928932509533801</c:v>
                </c:pt>
                <c:pt idx="2">
                  <c:v>31.801570075937224</c:v>
                </c:pt>
                <c:pt idx="3">
                  <c:v>35.850760768155993</c:v>
                </c:pt>
                <c:pt idx="4">
                  <c:v>37.293107702917347</c:v>
                </c:pt>
                <c:pt idx="5">
                  <c:v>36.912854713544526</c:v>
                </c:pt>
                <c:pt idx="6">
                  <c:v>36.736622647500838</c:v>
                </c:pt>
                <c:pt idx="7">
                  <c:v>36.26228892039812</c:v>
                </c:pt>
                <c:pt idx="8">
                  <c:v>35.808583672051469</c:v>
                </c:pt>
                <c:pt idx="9">
                  <c:v>35.465193421295879</c:v>
                </c:pt>
                <c:pt idx="10">
                  <c:v>35.203495880103397</c:v>
                </c:pt>
                <c:pt idx="11">
                  <c:v>35.365599165240631</c:v>
                </c:pt>
                <c:pt idx="12">
                  <c:v>35.484538351797248</c:v>
                </c:pt>
                <c:pt idx="13">
                  <c:v>35.580398258996091</c:v>
                </c:pt>
                <c:pt idx="14">
                  <c:v>35.677492417107331</c:v>
                </c:pt>
                <c:pt idx="15">
                  <c:v>35.720439852962485</c:v>
                </c:pt>
                <c:pt idx="16">
                  <c:v>35.964468984214534</c:v>
                </c:pt>
                <c:pt idx="17">
                  <c:v>36.182037091948793</c:v>
                </c:pt>
                <c:pt idx="18">
                  <c:v>36.477590753266355</c:v>
                </c:pt>
                <c:pt idx="19">
                  <c:v>36.81521736006659</c:v>
                </c:pt>
                <c:pt idx="20">
                  <c:v>37.196927330763835</c:v>
                </c:pt>
                <c:pt idx="21">
                  <c:v>37.641831546889478</c:v>
                </c:pt>
                <c:pt idx="22">
                  <c:v>38.08370769135729</c:v>
                </c:pt>
                <c:pt idx="23">
                  <c:v>38.529428573488786</c:v>
                </c:pt>
                <c:pt idx="24">
                  <c:v>38.965654584434176</c:v>
                </c:pt>
                <c:pt idx="25">
                  <c:v>39.406661457734025</c:v>
                </c:pt>
              </c:numCache>
            </c:numRef>
          </c:val>
          <c:smooth val="0"/>
          <c:extLst>
            <c:ext xmlns:c16="http://schemas.microsoft.com/office/drawing/2014/chart" uri="{C3380CC4-5D6E-409C-BE32-E72D297353CC}">
              <c16:uniqueId val="{00000004-A8F1-4E64-9970-427DA9429936}"/>
            </c:ext>
          </c:extLst>
        </c:ser>
        <c:ser>
          <c:idx val="5"/>
          <c:order val="5"/>
          <c:tx>
            <c:strRef>
              <c:f>'Fig 10 data'!$H$5</c:f>
              <c:strCache>
                <c:ptCount val="1"/>
                <c:pt idx="0">
                  <c:v>2006 LTFS</c:v>
                </c:pt>
              </c:strCache>
            </c:strRef>
          </c:tx>
          <c:spPr>
            <a:ln w="38100" cap="rnd">
              <a:solidFill>
                <a:srgbClr val="0083AC"/>
              </a:solidFill>
              <a:prstDash val="dash"/>
              <a:round/>
            </a:ln>
            <a:effectLst/>
          </c:spPr>
          <c:marker>
            <c:symbol val="none"/>
          </c:marker>
          <c:cat>
            <c:numRef>
              <c:f>'Fig 10 data'!$B$6:$B$31</c:f>
              <c:numCache>
                <c:formatCode>General</c:formatCode>
                <c:ptCount val="26"/>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numCache>
            </c:numRef>
          </c:cat>
          <c:val>
            <c:numRef>
              <c:f>'Fig 10 data'!$H$6:$H$31</c:f>
              <c:numCache>
                <c:formatCode>0.0</c:formatCode>
                <c:ptCount val="26"/>
                <c:pt idx="0">
                  <c:v>32.283264468225482</c:v>
                </c:pt>
                <c:pt idx="1">
                  <c:v>32.704014854850399</c:v>
                </c:pt>
                <c:pt idx="2">
                  <c:v>32.698642686608153</c:v>
                </c:pt>
                <c:pt idx="3">
                  <c:v>32.589096499649585</c:v>
                </c:pt>
                <c:pt idx="4">
                  <c:v>32.378456761628968</c:v>
                </c:pt>
                <c:pt idx="5">
                  <c:v>32.305190378184356</c:v>
                </c:pt>
                <c:pt idx="6">
                  <c:v>32.378697239591716</c:v>
                </c:pt>
                <c:pt idx="7">
                  <c:v>32.438491140499131</c:v>
                </c:pt>
                <c:pt idx="8">
                  <c:v>32.495740837753502</c:v>
                </c:pt>
                <c:pt idx="9">
                  <c:v>32.553939707936991</c:v>
                </c:pt>
                <c:pt idx="10">
                  <c:v>32.617018758361475</c:v>
                </c:pt>
                <c:pt idx="11">
                  <c:v>32.725641826908593</c:v>
                </c:pt>
                <c:pt idx="12">
                  <c:v>32.824481912303511</c:v>
                </c:pt>
                <c:pt idx="13">
                  <c:v>32.940191344799622</c:v>
                </c:pt>
                <c:pt idx="14">
                  <c:v>33.071338655620266</c:v>
                </c:pt>
                <c:pt idx="15">
                  <c:v>33.236180441473259</c:v>
                </c:pt>
                <c:pt idx="16">
                  <c:v>33.449959742769465</c:v>
                </c:pt>
                <c:pt idx="17">
                  <c:v>33.664979822947757</c:v>
                </c:pt>
                <c:pt idx="18">
                  <c:v>33.926109182935697</c:v>
                </c:pt>
                <c:pt idx="19">
                  <c:v>34.222947824744459</c:v>
                </c:pt>
                <c:pt idx="20">
                  <c:v>34.548316430400952</c:v>
                </c:pt>
                <c:pt idx="21">
                  <c:v>34.919573379076603</c:v>
                </c:pt>
                <c:pt idx="22">
                  <c:v>35.279207650813618</c:v>
                </c:pt>
                <c:pt idx="23">
                  <c:v>35.637498984929685</c:v>
                </c:pt>
                <c:pt idx="24">
                  <c:v>35.974154413020869</c:v>
                </c:pt>
                <c:pt idx="25">
                  <c:v>36.312832326227806</c:v>
                </c:pt>
              </c:numCache>
            </c:numRef>
          </c:val>
          <c:smooth val="0"/>
          <c:extLst>
            <c:ext xmlns:c16="http://schemas.microsoft.com/office/drawing/2014/chart" uri="{C3380CC4-5D6E-409C-BE32-E72D297353CC}">
              <c16:uniqueId val="{00000005-A8F1-4E64-9970-427DA9429936}"/>
            </c:ext>
          </c:extLst>
        </c:ser>
        <c:dLbls>
          <c:showLegendKey val="0"/>
          <c:showVal val="0"/>
          <c:showCatName val="0"/>
          <c:showSerName val="0"/>
          <c:showPercent val="0"/>
          <c:showBubbleSize val="0"/>
        </c:dLbls>
        <c:marker val="1"/>
        <c:smooth val="0"/>
        <c:axId val="1079480895"/>
        <c:axId val="1079491455"/>
      </c:lineChart>
      <c:catAx>
        <c:axId val="1079480895"/>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773729529358878"/>
              <c:y val="0.93801865941195683"/>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79491455"/>
        <c:crosses val="autoZero"/>
        <c:auto val="1"/>
        <c:lblAlgn val="ctr"/>
        <c:lblOffset val="100"/>
        <c:tickLblSkip val="5"/>
        <c:tickMarkSkip val="5"/>
        <c:noMultiLvlLbl val="0"/>
      </c:catAx>
      <c:valAx>
        <c:axId val="1079491455"/>
        <c:scaling>
          <c:orientation val="minMax"/>
          <c:max val="40"/>
          <c:min val="20"/>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i="0">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5.4775602256668552E-3"/>
              <c:y val="1.0410629457610522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7948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117552333381933E-2"/>
          <c:y val="0.12031738102556436"/>
          <c:w val="0.76919928737614185"/>
          <c:h val="0.68421210311026714"/>
        </c:manualLayout>
      </c:layout>
      <c:barChart>
        <c:barDir val="col"/>
        <c:grouping val="clustered"/>
        <c:varyColors val="0"/>
        <c:ser>
          <c:idx val="6"/>
          <c:order val="6"/>
          <c:tx>
            <c:strRef>
              <c:f>'Fig 11 data'!$I$6</c:f>
              <c:strCache>
                <c:ptCount val="1"/>
                <c:pt idx="0">
                  <c:v>Actual</c:v>
                </c:pt>
              </c:strCache>
            </c:strRef>
          </c:tx>
          <c:spPr>
            <a:solidFill>
              <a:srgbClr val="0083AC"/>
            </a:solidFill>
            <a:ln>
              <a:noFill/>
            </a:ln>
            <a:effectLst/>
          </c:spPr>
          <c:invertIfNegative val="0"/>
          <c:cat>
            <c:numRef>
              <c:f>'Fig 11 data'!$B$8:$B$31</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'Fig 11 data'!$I$8:$I$31</c:f>
              <c:numCache>
                <c:formatCode>0.0</c:formatCode>
                <c:ptCount val="24"/>
                <c:pt idx="0">
                  <c:v>5.45</c:v>
                </c:pt>
                <c:pt idx="1">
                  <c:v>5.6420000000000003</c:v>
                </c:pt>
                <c:pt idx="2">
                  <c:v>5.8890000000000002</c:v>
                </c:pt>
                <c:pt idx="3">
                  <c:v>6.0830000000000002</c:v>
                </c:pt>
                <c:pt idx="4">
                  <c:v>6.4139999999999997</c:v>
                </c:pt>
                <c:pt idx="5">
                  <c:v>6.81</c:v>
                </c:pt>
                <c:pt idx="6">
                  <c:v>7.3479999999999999</c:v>
                </c:pt>
                <c:pt idx="7">
                  <c:v>7.7439999999999998</c:v>
                </c:pt>
                <c:pt idx="8">
                  <c:v>8.2899999999999991</c:v>
                </c:pt>
                <c:pt idx="9">
                  <c:v>8.83</c:v>
                </c:pt>
                <c:pt idx="10">
                  <c:v>9.5839999999999996</c:v>
                </c:pt>
                <c:pt idx="11">
                  <c:v>10.234999999999999</c:v>
                </c:pt>
                <c:pt idx="12">
                  <c:v>10.913</c:v>
                </c:pt>
                <c:pt idx="13">
                  <c:v>11.590999999999999</c:v>
                </c:pt>
                <c:pt idx="14">
                  <c:v>12.266999999999999</c:v>
                </c:pt>
                <c:pt idx="15">
                  <c:v>13.042999999999999</c:v>
                </c:pt>
                <c:pt idx="16">
                  <c:v>13.699</c:v>
                </c:pt>
                <c:pt idx="17">
                  <c:v>14.561999999999999</c:v>
                </c:pt>
                <c:pt idx="18">
                  <c:v>15.521000000000001</c:v>
                </c:pt>
                <c:pt idx="19">
                  <c:v>16.568999999999999</c:v>
                </c:pt>
                <c:pt idx="20">
                  <c:v>17.763999999999999</c:v>
                </c:pt>
                <c:pt idx="21">
                  <c:v>19.516999999999999</c:v>
                </c:pt>
                <c:pt idx="22">
                  <c:v>21.574000000000002</c:v>
                </c:pt>
              </c:numCache>
            </c:numRef>
          </c:val>
          <c:extLst>
            <c:ext xmlns:c16="http://schemas.microsoft.com/office/drawing/2014/chart" uri="{C3380CC4-5D6E-409C-BE32-E72D297353CC}">
              <c16:uniqueId val="{00000000-8F17-4092-9262-F4BBB0464988}"/>
            </c:ext>
          </c:extLst>
        </c:ser>
        <c:dLbls>
          <c:showLegendKey val="0"/>
          <c:showVal val="0"/>
          <c:showCatName val="0"/>
          <c:showSerName val="0"/>
          <c:showPercent val="0"/>
          <c:showBubbleSize val="0"/>
        </c:dLbls>
        <c:gapWidth val="150"/>
        <c:axId val="384581087"/>
        <c:axId val="384583487"/>
      </c:barChart>
      <c:lineChart>
        <c:grouping val="standard"/>
        <c:varyColors val="0"/>
        <c:ser>
          <c:idx val="0"/>
          <c:order val="0"/>
          <c:tx>
            <c:strRef>
              <c:f>'Fig 11 data'!$C$6</c:f>
              <c:strCache>
                <c:ptCount val="1"/>
                <c:pt idx="0">
                  <c:v>2025 LTFS</c:v>
                </c:pt>
              </c:strCache>
            </c:strRef>
          </c:tx>
          <c:spPr>
            <a:ln w="38100" cap="rnd">
              <a:solidFill>
                <a:srgbClr val="67A854"/>
              </a:solidFill>
              <a:round/>
            </a:ln>
            <a:effectLst/>
          </c:spPr>
          <c:marker>
            <c:symbol val="none"/>
          </c:marker>
          <c:cat>
            <c:numRef>
              <c:f>'Fig 11 data'!$B$8:$B$31</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'Fig 11 data'!$C$8:$C$31</c:f>
              <c:numCache>
                <c:formatCode>0.0</c:formatCode>
                <c:ptCount val="24"/>
                <c:pt idx="17">
                  <c:v>14.561999999999999</c:v>
                </c:pt>
                <c:pt idx="18">
                  <c:v>15.521000000000001</c:v>
                </c:pt>
                <c:pt idx="19">
                  <c:v>16.568999999999999</c:v>
                </c:pt>
                <c:pt idx="20">
                  <c:v>17.763999999999999</c:v>
                </c:pt>
                <c:pt idx="21">
                  <c:v>19.516999999999999</c:v>
                </c:pt>
                <c:pt idx="22">
                  <c:v>21.574000000000002</c:v>
                </c:pt>
                <c:pt idx="23">
                  <c:v>23.18</c:v>
                </c:pt>
              </c:numCache>
            </c:numRef>
          </c:val>
          <c:smooth val="0"/>
          <c:extLst>
            <c:ext xmlns:c16="http://schemas.microsoft.com/office/drawing/2014/chart" uri="{C3380CC4-5D6E-409C-BE32-E72D297353CC}">
              <c16:uniqueId val="{00000001-8F17-4092-9262-F4BBB0464988}"/>
            </c:ext>
          </c:extLst>
        </c:ser>
        <c:ser>
          <c:idx val="1"/>
          <c:order val="1"/>
          <c:tx>
            <c:strRef>
              <c:f>'Fig 11 data'!$D$6</c:f>
              <c:strCache>
                <c:ptCount val="1"/>
                <c:pt idx="0">
                  <c:v>2021 LTFS</c:v>
                </c:pt>
              </c:strCache>
            </c:strRef>
          </c:tx>
          <c:spPr>
            <a:ln w="38100" cap="rnd">
              <a:solidFill>
                <a:srgbClr val="3F403A"/>
              </a:solidFill>
              <a:round/>
            </a:ln>
            <a:effectLst/>
          </c:spPr>
          <c:marker>
            <c:symbol val="none"/>
          </c:marker>
          <c:cat>
            <c:numRef>
              <c:f>'Fig 11 data'!$B$8:$B$31</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'Fig 11 data'!$D$8:$D$31</c:f>
              <c:numCache>
                <c:formatCode>General</c:formatCode>
                <c:ptCount val="24"/>
                <c:pt idx="17" formatCode="0.0">
                  <c:v>14.561999999999999</c:v>
                </c:pt>
                <c:pt idx="18" formatCode="0.0">
                  <c:v>15.521000000000001</c:v>
                </c:pt>
                <c:pt idx="19" formatCode="0.0">
                  <c:v>16.553999999999998</c:v>
                </c:pt>
                <c:pt idx="20" formatCode="0.0">
                  <c:v>17.690999999999999</c:v>
                </c:pt>
                <c:pt idx="21" formatCode="0.0">
                  <c:v>18.931000000000001</c:v>
                </c:pt>
                <c:pt idx="22" formatCode="0.0">
                  <c:v>19.977</c:v>
                </c:pt>
                <c:pt idx="23" formatCode="0.0">
                  <c:v>21.021999999999998</c:v>
                </c:pt>
              </c:numCache>
            </c:numRef>
          </c:val>
          <c:smooth val="0"/>
          <c:extLst>
            <c:ext xmlns:c16="http://schemas.microsoft.com/office/drawing/2014/chart" uri="{C3380CC4-5D6E-409C-BE32-E72D297353CC}">
              <c16:uniqueId val="{00000002-8F17-4092-9262-F4BBB0464988}"/>
            </c:ext>
          </c:extLst>
        </c:ser>
        <c:ser>
          <c:idx val="2"/>
          <c:order val="2"/>
          <c:tx>
            <c:strRef>
              <c:f>'Fig 11 data'!$E$6</c:f>
              <c:strCache>
                <c:ptCount val="1"/>
                <c:pt idx="0">
                  <c:v>2016 LTFS</c:v>
                </c:pt>
              </c:strCache>
            </c:strRef>
          </c:tx>
          <c:spPr>
            <a:ln w="38100" cap="rnd" cmpd="sng">
              <a:solidFill>
                <a:srgbClr val="A9A7A5"/>
              </a:solidFill>
              <a:prstDash val="solid"/>
              <a:round/>
            </a:ln>
            <a:effectLst/>
          </c:spPr>
          <c:marker>
            <c:symbol val="none"/>
          </c:marker>
          <c:cat>
            <c:numRef>
              <c:f>'Fig 11 data'!$B$8:$B$31</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'Fig 11 data'!$E$8:$E$31</c:f>
              <c:numCache>
                <c:formatCode>General</c:formatCode>
                <c:ptCount val="24"/>
                <c:pt idx="13" formatCode="0.0">
                  <c:v>11.590999999999999</c:v>
                </c:pt>
                <c:pt idx="14" formatCode="0.0">
                  <c:v>12.260999999999999</c:v>
                </c:pt>
                <c:pt idx="15" formatCode="0.0">
                  <c:v>12.912000000000001</c:v>
                </c:pt>
                <c:pt idx="16" formatCode="0.0">
                  <c:v>13.473000000000001</c:v>
                </c:pt>
                <c:pt idx="17" formatCode="0.0">
                  <c:v>14.161</c:v>
                </c:pt>
                <c:pt idx="18" formatCode="0.0">
                  <c:v>14.916</c:v>
                </c:pt>
                <c:pt idx="19" formatCode="0.0">
                  <c:v>15.736157684123881</c:v>
                </c:pt>
                <c:pt idx="20" formatCode="0.0">
                  <c:v>16.756594314454279</c:v>
                </c:pt>
                <c:pt idx="21" formatCode="0.0">
                  <c:v>17.917605386978057</c:v>
                </c:pt>
                <c:pt idx="22" formatCode="0.0">
                  <c:v>19.179708906509557</c:v>
                </c:pt>
                <c:pt idx="23" formatCode="0.0">
                  <c:v>20.512926894170981</c:v>
                </c:pt>
              </c:numCache>
            </c:numRef>
          </c:val>
          <c:smooth val="0"/>
          <c:extLst>
            <c:ext xmlns:c16="http://schemas.microsoft.com/office/drawing/2014/chart" uri="{C3380CC4-5D6E-409C-BE32-E72D297353CC}">
              <c16:uniqueId val="{00000003-8F17-4092-9262-F4BBB0464988}"/>
            </c:ext>
          </c:extLst>
        </c:ser>
        <c:ser>
          <c:idx val="3"/>
          <c:order val="3"/>
          <c:tx>
            <c:strRef>
              <c:f>'Fig 11 data'!$F$6</c:f>
              <c:strCache>
                <c:ptCount val="1"/>
                <c:pt idx="0">
                  <c:v>2013 LTFS</c:v>
                </c:pt>
              </c:strCache>
            </c:strRef>
          </c:tx>
          <c:spPr>
            <a:ln w="38100" cap="rnd">
              <a:solidFill>
                <a:srgbClr val="00B5E4"/>
              </a:solidFill>
              <a:round/>
            </a:ln>
            <a:effectLst/>
          </c:spPr>
          <c:marker>
            <c:symbol val="none"/>
          </c:marker>
          <c:cat>
            <c:numRef>
              <c:f>'Fig 11 data'!$B$8:$B$31</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'Fig 11 data'!$F$8:$F$31</c:f>
              <c:numCache>
                <c:formatCode>General</c:formatCode>
                <c:ptCount val="24"/>
                <c:pt idx="9" formatCode="0.0">
                  <c:v>8.83</c:v>
                </c:pt>
                <c:pt idx="10" formatCode="0.0">
                  <c:v>9.5839999999999996</c:v>
                </c:pt>
                <c:pt idx="11" formatCode="0.0">
                  <c:v>10.234999999999999</c:v>
                </c:pt>
                <c:pt idx="12" formatCode="0.0">
                  <c:v>10.894</c:v>
                </c:pt>
                <c:pt idx="13" formatCode="0.0">
                  <c:v>11.494999999999999</c:v>
                </c:pt>
                <c:pt idx="14" formatCode="0.0">
                  <c:v>12.102</c:v>
                </c:pt>
                <c:pt idx="15" formatCode="0.0">
                  <c:v>12.712</c:v>
                </c:pt>
                <c:pt idx="16" formatCode="0.0">
                  <c:v>13.468656731141532</c:v>
                </c:pt>
                <c:pt idx="17" formatCode="0.0">
                  <c:v>14.209002604683519</c:v>
                </c:pt>
                <c:pt idx="18" formatCode="0.0">
                  <c:v>15.015889222404885</c:v>
                </c:pt>
                <c:pt idx="19" formatCode="0.0">
                  <c:v>16.010570177638794</c:v>
                </c:pt>
                <c:pt idx="20" formatCode="0.0">
                  <c:v>17.118138013587576</c:v>
                </c:pt>
                <c:pt idx="21" formatCode="0.0">
                  <c:v>18.287283352916536</c:v>
                </c:pt>
                <c:pt idx="22" formatCode="0.0">
                  <c:v>19.561430640615846</c:v>
                </c:pt>
                <c:pt idx="23" formatCode="0.0">
                  <c:v>20.906095139556342</c:v>
                </c:pt>
              </c:numCache>
            </c:numRef>
          </c:val>
          <c:smooth val="0"/>
          <c:extLst>
            <c:ext xmlns:c16="http://schemas.microsoft.com/office/drawing/2014/chart" uri="{C3380CC4-5D6E-409C-BE32-E72D297353CC}">
              <c16:uniqueId val="{00000004-8F17-4092-9262-F4BBB0464988}"/>
            </c:ext>
          </c:extLst>
        </c:ser>
        <c:ser>
          <c:idx val="4"/>
          <c:order val="4"/>
          <c:tx>
            <c:strRef>
              <c:f>'Fig 11 data'!$G$6</c:f>
              <c:strCache>
                <c:ptCount val="1"/>
                <c:pt idx="0">
                  <c:v>2009 LTFS</c:v>
                </c:pt>
              </c:strCache>
            </c:strRef>
          </c:tx>
          <c:spPr>
            <a:ln w="38100" cap="rnd">
              <a:solidFill>
                <a:srgbClr val="F1A42D"/>
              </a:solidFill>
              <a:prstDash val="dash"/>
              <a:round/>
            </a:ln>
            <a:effectLst/>
          </c:spPr>
          <c:marker>
            <c:symbol val="none"/>
          </c:marker>
          <c:cat>
            <c:numRef>
              <c:f>'Fig 11 data'!$B$8:$B$31</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'Fig 11 data'!$G$8:$G$31</c:f>
              <c:numCache>
                <c:formatCode>General</c:formatCode>
                <c:ptCount val="24"/>
                <c:pt idx="5" formatCode="0.0">
                  <c:v>6.81</c:v>
                </c:pt>
                <c:pt idx="6" formatCode="0.0">
                  <c:v>7.3479999999999999</c:v>
                </c:pt>
                <c:pt idx="7" formatCode="0.0">
                  <c:v>7.7439999999999998</c:v>
                </c:pt>
                <c:pt idx="8" formatCode="0.0">
                  <c:v>8.2460000000000004</c:v>
                </c:pt>
                <c:pt idx="9" formatCode="0.0">
                  <c:v>8.6649999999999991</c:v>
                </c:pt>
                <c:pt idx="10" formatCode="0.0">
                  <c:v>9.1859999999999999</c:v>
                </c:pt>
                <c:pt idx="11" formatCode="0.0">
                  <c:v>9.6660000000000004</c:v>
                </c:pt>
                <c:pt idx="12" formatCode="0.0">
                  <c:v>10.223801700259253</c:v>
                </c:pt>
                <c:pt idx="13" formatCode="0.0">
                  <c:v>10.915914071132661</c:v>
                </c:pt>
                <c:pt idx="14" formatCode="0.0">
                  <c:v>11.628113475432272</c:v>
                </c:pt>
                <c:pt idx="15" formatCode="0.0">
                  <c:v>12.378123577763784</c:v>
                </c:pt>
                <c:pt idx="16" formatCode="0.0">
                  <c:v>13.163957073173362</c:v>
                </c:pt>
                <c:pt idx="17" formatCode="0.0">
                  <c:v>14.007301840872335</c:v>
                </c:pt>
                <c:pt idx="18" formatCode="0.0">
                  <c:v>14.902913043254779</c:v>
                </c:pt>
                <c:pt idx="19" formatCode="0.0">
                  <c:v>15.868106953695564</c:v>
                </c:pt>
                <c:pt idx="20" formatCode="0.0">
                  <c:v>16.8897152095061</c:v>
                </c:pt>
                <c:pt idx="21" formatCode="0.0">
                  <c:v>17.95898529737217</c:v>
                </c:pt>
                <c:pt idx="22" formatCode="0.0">
                  <c:v>19.1903017904419</c:v>
                </c:pt>
                <c:pt idx="23" formatCode="0.0">
                  <c:v>20.490377867445314</c:v>
                </c:pt>
              </c:numCache>
            </c:numRef>
          </c:val>
          <c:smooth val="0"/>
          <c:extLst>
            <c:ext xmlns:c16="http://schemas.microsoft.com/office/drawing/2014/chart" uri="{C3380CC4-5D6E-409C-BE32-E72D297353CC}">
              <c16:uniqueId val="{00000005-8F17-4092-9262-F4BBB0464988}"/>
            </c:ext>
          </c:extLst>
        </c:ser>
        <c:ser>
          <c:idx val="5"/>
          <c:order val="5"/>
          <c:tx>
            <c:strRef>
              <c:f>'Fig 11 data'!$H$6</c:f>
              <c:strCache>
                <c:ptCount val="1"/>
                <c:pt idx="0">
                  <c:v>2006 LTFS</c:v>
                </c:pt>
              </c:strCache>
            </c:strRef>
          </c:tx>
          <c:spPr>
            <a:ln w="38100" cap="rnd">
              <a:solidFill>
                <a:srgbClr val="719771"/>
              </a:solidFill>
              <a:prstDash val="dash"/>
              <a:round/>
            </a:ln>
            <a:effectLst/>
          </c:spPr>
          <c:marker>
            <c:symbol val="none"/>
          </c:marker>
          <c:cat>
            <c:numRef>
              <c:f>'Fig 11 data'!$B$8:$B$31</c:f>
              <c:numCache>
                <c:formatCode>General</c:formatCod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numCache>
            </c:numRef>
          </c:cat>
          <c:val>
            <c:numRef>
              <c:f>'Fig 11 data'!$H$8:$H$31</c:f>
              <c:numCache>
                <c:formatCode>0.0</c:formatCode>
                <c:ptCount val="24"/>
                <c:pt idx="3">
                  <c:v>6.0830000000000002</c:v>
                </c:pt>
                <c:pt idx="4">
                  <c:v>6.415</c:v>
                </c:pt>
                <c:pt idx="5">
                  <c:v>6.782</c:v>
                </c:pt>
                <c:pt idx="6">
                  <c:v>7.1580000000000004</c:v>
                </c:pt>
                <c:pt idx="7">
                  <c:v>7.492</c:v>
                </c:pt>
                <c:pt idx="8">
                  <c:v>7.9020000000000001</c:v>
                </c:pt>
                <c:pt idx="9">
                  <c:v>8.4189574258588262</c:v>
                </c:pt>
                <c:pt idx="10">
                  <c:v>9.0627569590430301</c:v>
                </c:pt>
                <c:pt idx="11">
                  <c:v>9.7273754933253347</c:v>
                </c:pt>
                <c:pt idx="12">
                  <c:v>10.414751264314498</c:v>
                </c:pt>
                <c:pt idx="13">
                  <c:v>11.14336532555688</c:v>
                </c:pt>
                <c:pt idx="14">
                  <c:v>11.901301567329869</c:v>
                </c:pt>
                <c:pt idx="15">
                  <c:v>12.705290105791109</c:v>
                </c:pt>
                <c:pt idx="16">
                  <c:v>13.550470750019684</c:v>
                </c:pt>
                <c:pt idx="17">
                  <c:v>14.461114382175927</c:v>
                </c:pt>
                <c:pt idx="18">
                  <c:v>15.435807155579671</c:v>
                </c:pt>
                <c:pt idx="19">
                  <c:v>16.487343958357798</c:v>
                </c:pt>
                <c:pt idx="20">
                  <c:v>17.609387384340028</c:v>
                </c:pt>
                <c:pt idx="21">
                  <c:v>18.798676895978041</c:v>
                </c:pt>
                <c:pt idx="22">
                  <c:v>20.100974448201452</c:v>
                </c:pt>
                <c:pt idx="23">
                  <c:v>21.476973794610085</c:v>
                </c:pt>
              </c:numCache>
            </c:numRef>
          </c:val>
          <c:smooth val="0"/>
          <c:extLst>
            <c:ext xmlns:c16="http://schemas.microsoft.com/office/drawing/2014/chart" uri="{C3380CC4-5D6E-409C-BE32-E72D297353CC}">
              <c16:uniqueId val="{00000006-8F17-4092-9262-F4BBB0464988}"/>
            </c:ext>
          </c:extLst>
        </c:ser>
        <c:dLbls>
          <c:showLegendKey val="0"/>
          <c:showVal val="0"/>
          <c:showCatName val="0"/>
          <c:showSerName val="0"/>
          <c:showPercent val="0"/>
          <c:showBubbleSize val="0"/>
        </c:dLbls>
        <c:marker val="1"/>
        <c:smooth val="0"/>
        <c:axId val="384581087"/>
        <c:axId val="384583487"/>
      </c:lineChart>
      <c:catAx>
        <c:axId val="384581087"/>
        <c:scaling>
          <c:orientation val="minMax"/>
        </c:scaling>
        <c:delete val="0"/>
        <c:axPos val="b"/>
        <c:title>
          <c:tx>
            <c:rich>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r>
                  <a:rPr lang="en-NZ" b="1"/>
                  <a:t>Year ending 30 June</a:t>
                </a:r>
              </a:p>
            </c:rich>
          </c:tx>
          <c:layout>
            <c:manualLayout>
              <c:xMode val="edge"/>
              <c:yMode val="edge"/>
              <c:x val="0.23772695273559868"/>
              <c:y val="0.91361088034883642"/>
            </c:manualLayout>
          </c:layout>
          <c:overlay val="0"/>
          <c:spPr>
            <a:noFill/>
            <a:ln>
              <a:noFill/>
            </a:ln>
            <a:effectLst/>
          </c:spPr>
          <c:txPr>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384583487"/>
        <c:crosses val="autoZero"/>
        <c:auto val="1"/>
        <c:lblAlgn val="ctr"/>
        <c:lblOffset val="100"/>
        <c:tickLblSkip val="5"/>
        <c:tickMarkSkip val="5"/>
        <c:noMultiLvlLbl val="0"/>
      </c:catAx>
      <c:valAx>
        <c:axId val="384583487"/>
        <c:scaling>
          <c:orientation val="minMax"/>
          <c:min val="5"/>
        </c:scaling>
        <c:delete val="0"/>
        <c:axPos val="l"/>
        <c:majorGridlines>
          <c:spPr>
            <a:ln w="9525" cap="flat" cmpd="sng" algn="ctr">
              <a:solidFill>
                <a:schemeClr val="bg1">
                  <a:lumMod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384581087"/>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800" baseline="0">
          <a:solidFill>
            <a:sysClr val="windowText" lastClr="000000"/>
          </a:solidFill>
          <a:latin typeface="Arial" panose="020B0604020202020204" pitchFamily="34" charset="0"/>
        </a:defRPr>
      </a:pPr>
      <a:endParaRPr lang="en-US"/>
    </a:p>
  </c:txPr>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027011539028099E-2"/>
          <c:y val="0.10344047930579646"/>
          <c:w val="0.8223656677916007"/>
          <c:h val="0.71668265048292901"/>
        </c:manualLayout>
      </c:layout>
      <c:barChart>
        <c:barDir val="col"/>
        <c:grouping val="stacked"/>
        <c:varyColors val="0"/>
        <c:ser>
          <c:idx val="6"/>
          <c:order val="6"/>
          <c:tx>
            <c:strRef>
              <c:f>'Fig 12 data'!$I$6</c:f>
              <c:strCache>
                <c:ptCount val="1"/>
                <c:pt idx="0">
                  <c:v>Actual</c:v>
                </c:pt>
              </c:strCache>
            </c:strRef>
          </c:tx>
          <c:spPr>
            <a:solidFill>
              <a:srgbClr val="0083AC"/>
            </a:solidFill>
            <a:ln>
              <a:noFill/>
            </a:ln>
            <a:effectLst/>
          </c:spPr>
          <c:invertIfNegative val="0"/>
          <c:cat>
            <c:numRef>
              <c:f>'Fig 12 data'!$B$8:$B$28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12 data'!$I$8:$I$28</c:f>
              <c:numCache>
                <c:formatCode>0.0</c:formatCode>
                <c:ptCount val="21"/>
                <c:pt idx="0">
                  <c:v>3.8792168866781456</c:v>
                </c:pt>
                <c:pt idx="1">
                  <c:v>3.9000839120018482</c:v>
                </c:pt>
                <c:pt idx="2">
                  <c:v>3.8833733455746082</c:v>
                </c:pt>
                <c:pt idx="3">
                  <c:v>3.8899917943831226</c:v>
                </c:pt>
                <c:pt idx="4">
                  <c:v>4.0793535404616668</c:v>
                </c:pt>
                <c:pt idx="5">
                  <c:v>4.2005948731460876</c:v>
                </c:pt>
                <c:pt idx="6">
                  <c:v>4.2843695717571251</c:v>
                </c:pt>
                <c:pt idx="7">
                  <c:v>4.4535936839268198</c:v>
                </c:pt>
                <c:pt idx="8">
                  <c:v>4.6696139755364241</c:v>
                </c:pt>
                <c:pt idx="9">
                  <c:v>4.6036506912014721</c:v>
                </c:pt>
                <c:pt idx="10">
                  <c:v>4.7142415565822864</c:v>
                </c:pt>
                <c:pt idx="11">
                  <c:v>4.7375921584681517</c:v>
                </c:pt>
                <c:pt idx="12">
                  <c:v>4.7278487436384466</c:v>
                </c:pt>
                <c:pt idx="13">
                  <c:v>4.6309035653799482</c:v>
                </c:pt>
                <c:pt idx="14">
                  <c:v>4.6896738290307622</c:v>
                </c:pt>
                <c:pt idx="15">
                  <c:v>4.8864877798451669</c:v>
                </c:pt>
                <c:pt idx="16">
                  <c:v>4.8250837961169859</c:v>
                </c:pt>
                <c:pt idx="17">
                  <c:v>4.8573209813079004</c:v>
                </c:pt>
                <c:pt idx="18">
                  <c:v>4.8604522011121984</c:v>
                </c:pt>
                <c:pt idx="19">
                  <c:v>5.1290707571168417</c:v>
                </c:pt>
              </c:numCache>
            </c:numRef>
          </c:val>
          <c:extLst>
            <c:ext xmlns:c16="http://schemas.microsoft.com/office/drawing/2014/chart" uri="{C3380CC4-5D6E-409C-BE32-E72D297353CC}">
              <c16:uniqueId val="{00000000-0A61-4D29-AFD9-A5B2F3BF3897}"/>
            </c:ext>
          </c:extLst>
        </c:ser>
        <c:dLbls>
          <c:showLegendKey val="0"/>
          <c:showVal val="0"/>
          <c:showCatName val="0"/>
          <c:showSerName val="0"/>
          <c:showPercent val="0"/>
          <c:showBubbleSize val="0"/>
        </c:dLbls>
        <c:gapWidth val="150"/>
        <c:overlap val="100"/>
        <c:axId val="1288103424"/>
        <c:axId val="1288100064"/>
      </c:barChart>
      <c:lineChart>
        <c:grouping val="standard"/>
        <c:varyColors val="0"/>
        <c:ser>
          <c:idx val="0"/>
          <c:order val="0"/>
          <c:tx>
            <c:strRef>
              <c:f>'Fig 12 data'!$C$6</c:f>
              <c:strCache>
                <c:ptCount val="1"/>
                <c:pt idx="0">
                  <c:v>2025 LTFS</c:v>
                </c:pt>
              </c:strCache>
            </c:strRef>
          </c:tx>
          <c:spPr>
            <a:ln w="38100" cap="rnd">
              <a:solidFill>
                <a:srgbClr val="67A854"/>
              </a:solidFill>
              <a:round/>
            </a:ln>
            <a:effectLst/>
          </c:spPr>
          <c:marker>
            <c:symbol val="none"/>
          </c:marker>
          <c:cat>
            <c:numRef>
              <c:f>'Fig 12 data'!$B$8:$B$28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12 data'!$C$8:$C$28</c:f>
              <c:numCache>
                <c:formatCode>General</c:formatCode>
                <c:ptCount val="21"/>
                <c:pt idx="14" formatCode="0.0">
                  <c:v>4.6896738290307622</c:v>
                </c:pt>
                <c:pt idx="15" formatCode="0.0">
                  <c:v>4.8864877798451669</c:v>
                </c:pt>
                <c:pt idx="16" formatCode="0.0">
                  <c:v>4.8250837961169859</c:v>
                </c:pt>
                <c:pt idx="17" formatCode="0.0">
                  <c:v>4.8573209813079004</c:v>
                </c:pt>
                <c:pt idx="18" formatCode="0.0">
                  <c:v>4.8604522011121984</c:v>
                </c:pt>
                <c:pt idx="19" formatCode="0.0">
                  <c:v>5.1290707571168417</c:v>
                </c:pt>
                <c:pt idx="20" formatCode="0.0">
                  <c:v>5.3269232536975926</c:v>
                </c:pt>
              </c:numCache>
            </c:numRef>
          </c:val>
          <c:smooth val="0"/>
          <c:extLst>
            <c:ext xmlns:c16="http://schemas.microsoft.com/office/drawing/2014/chart" uri="{C3380CC4-5D6E-409C-BE32-E72D297353CC}">
              <c16:uniqueId val="{00000001-0A61-4D29-AFD9-A5B2F3BF3897}"/>
            </c:ext>
          </c:extLst>
        </c:ser>
        <c:ser>
          <c:idx val="1"/>
          <c:order val="1"/>
          <c:tx>
            <c:strRef>
              <c:f>'Fig 12 data'!$D$6</c:f>
              <c:strCache>
                <c:ptCount val="1"/>
                <c:pt idx="0">
                  <c:v>2021 LTFS</c:v>
                </c:pt>
              </c:strCache>
            </c:strRef>
          </c:tx>
          <c:spPr>
            <a:ln w="38100" cap="rnd">
              <a:solidFill>
                <a:srgbClr val="3F403A"/>
              </a:solidFill>
              <a:round/>
            </a:ln>
            <a:effectLst/>
          </c:spPr>
          <c:marker>
            <c:symbol val="none"/>
          </c:marker>
          <c:cat>
            <c:numRef>
              <c:f>'Fig 12 data'!$B$8:$B$28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12 data'!$D$8:$D$28</c:f>
              <c:numCache>
                <c:formatCode>General</c:formatCode>
                <c:ptCount val="21"/>
                <c:pt idx="14" formatCode="0.0">
                  <c:v>4.6934677577910211</c:v>
                </c:pt>
                <c:pt idx="15" formatCode="0.0">
                  <c:v>4.903143875255882</c:v>
                </c:pt>
                <c:pt idx="16" formatCode="0.0">
                  <c:v>4.9503736554236104</c:v>
                </c:pt>
                <c:pt idx="17" formatCode="0.0">
                  <c:v>5.058300118372971</c:v>
                </c:pt>
                <c:pt idx="18" formatCode="0.0">
                  <c:v>5.0934009906451028</c:v>
                </c:pt>
                <c:pt idx="19" formatCode="0.0">
                  <c:v>5.0849916764665455</c:v>
                </c:pt>
                <c:pt idx="20" formatCode="0.0">
                  <c:v>5.0729988658027461</c:v>
                </c:pt>
              </c:numCache>
            </c:numRef>
          </c:val>
          <c:smooth val="0"/>
          <c:extLst>
            <c:ext xmlns:c16="http://schemas.microsoft.com/office/drawing/2014/chart" uri="{C3380CC4-5D6E-409C-BE32-E72D297353CC}">
              <c16:uniqueId val="{00000002-0A61-4D29-AFD9-A5B2F3BF3897}"/>
            </c:ext>
          </c:extLst>
        </c:ser>
        <c:ser>
          <c:idx val="2"/>
          <c:order val="2"/>
          <c:tx>
            <c:strRef>
              <c:f>'Fig 12 data'!$E$6</c:f>
              <c:strCache>
                <c:ptCount val="1"/>
                <c:pt idx="0">
                  <c:v>2016 LTFS</c:v>
                </c:pt>
              </c:strCache>
            </c:strRef>
          </c:tx>
          <c:spPr>
            <a:ln w="38100" cap="rnd">
              <a:solidFill>
                <a:srgbClr val="A9A7A5"/>
              </a:solidFill>
              <a:round/>
            </a:ln>
            <a:effectLst/>
          </c:spPr>
          <c:marker>
            <c:symbol val="none"/>
          </c:marker>
          <c:cat>
            <c:numRef>
              <c:f>'Fig 12 data'!$B$8:$B$28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12 data'!$E$8:$E$28</c:f>
              <c:numCache>
                <c:formatCode>General</c:formatCode>
                <c:ptCount val="21"/>
                <c:pt idx="10" formatCode="0.0">
                  <c:v>4.7979965228909673</c:v>
                </c:pt>
                <c:pt idx="11" formatCode="0.0">
                  <c:v>4.901929427568505</c:v>
                </c:pt>
                <c:pt idx="12" formatCode="0.0">
                  <c:v>4.9813277367982467</c:v>
                </c:pt>
                <c:pt idx="13" formatCode="0.0">
                  <c:v>4.9240181567002175</c:v>
                </c:pt>
                <c:pt idx="14" formatCode="0.0">
                  <c:v>4.9264391248534514</c:v>
                </c:pt>
                <c:pt idx="15" formatCode="0.0">
                  <c:v>4.9854607440088241</c:v>
                </c:pt>
                <c:pt idx="16" formatCode="0.0">
                  <c:v>5.0469238273895938</c:v>
                </c:pt>
                <c:pt idx="17" formatCode="0.0">
                  <c:v>5.1586200276945231</c:v>
                </c:pt>
                <c:pt idx="18" formatCode="0.0">
                  <c:v>5.2868829113794709</c:v>
                </c:pt>
                <c:pt idx="19" formatCode="0.0">
                  <c:v>5.424896677563976</c:v>
                </c:pt>
                <c:pt idx="20" formatCode="0.0">
                  <c:v>5.5621117053521933</c:v>
                </c:pt>
              </c:numCache>
            </c:numRef>
          </c:val>
          <c:smooth val="0"/>
          <c:extLst>
            <c:ext xmlns:c16="http://schemas.microsoft.com/office/drawing/2014/chart" uri="{C3380CC4-5D6E-409C-BE32-E72D297353CC}">
              <c16:uniqueId val="{00000003-0A61-4D29-AFD9-A5B2F3BF3897}"/>
            </c:ext>
          </c:extLst>
        </c:ser>
        <c:ser>
          <c:idx val="3"/>
          <c:order val="3"/>
          <c:tx>
            <c:strRef>
              <c:f>'Fig 12 data'!$F$6</c:f>
              <c:strCache>
                <c:ptCount val="1"/>
                <c:pt idx="0">
                  <c:v>2013 LTFS</c:v>
                </c:pt>
              </c:strCache>
            </c:strRef>
          </c:tx>
          <c:spPr>
            <a:ln w="38100" cap="rnd">
              <a:solidFill>
                <a:srgbClr val="00B5E4"/>
              </a:solidFill>
              <a:round/>
            </a:ln>
            <a:effectLst/>
          </c:spPr>
          <c:marker>
            <c:symbol val="none"/>
          </c:marker>
          <c:cat>
            <c:numRef>
              <c:f>'Fig 12 data'!$B$8:$B$28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12 data'!$F$8:$F$28</c:f>
              <c:numCache>
                <c:formatCode>General</c:formatCode>
                <c:ptCount val="21"/>
                <c:pt idx="2" formatCode="0.0">
                  <c:v>3.9315528767882504</c:v>
                </c:pt>
                <c:pt idx="3" formatCode="0.0">
                  <c:v>3.9573885974644276</c:v>
                </c:pt>
                <c:pt idx="4" formatCode="0.0">
                  <c:v>4.1749556572697823</c:v>
                </c:pt>
                <c:pt idx="5" formatCode="0.0">
                  <c:v>4.3222557065245724</c:v>
                </c:pt>
                <c:pt idx="6" formatCode="0.0">
                  <c:v>4.4098404866306424</c:v>
                </c:pt>
                <c:pt idx="7" formatCode="0.0">
                  <c:v>4.5973703271980693</c:v>
                </c:pt>
                <c:pt idx="8" formatCode="0.0">
                  <c:v>4.7861992854604285</c:v>
                </c:pt>
                <c:pt idx="9" formatCode="0.0">
                  <c:v>4.7803345444333285</c:v>
                </c:pt>
                <c:pt idx="10" formatCode="0.0">
                  <c:v>4.8307656101599461</c:v>
                </c:pt>
                <c:pt idx="11" formatCode="0.0">
                  <c:v>4.8797600038709055</c:v>
                </c:pt>
                <c:pt idx="12" formatCode="0.0">
                  <c:v>4.9420921471586468</c:v>
                </c:pt>
                <c:pt idx="13" formatCode="0.0">
                  <c:v>5.0113854452850468</c:v>
                </c:pt>
                <c:pt idx="14" formatCode="0.0">
                  <c:v>5.0592338286508376</c:v>
                </c:pt>
                <c:pt idx="15" formatCode="0.0">
                  <c:v>5.1107075904471113</c:v>
                </c:pt>
                <c:pt idx="16" formatCode="0.0">
                  <c:v>5.2082840711426952</c:v>
                </c:pt>
                <c:pt idx="17" formatCode="0.0">
                  <c:v>5.3237637060205136</c:v>
                </c:pt>
                <c:pt idx="18" formatCode="0.0">
                  <c:v>5.4416815027306571</c:v>
                </c:pt>
                <c:pt idx="19" formatCode="0.0">
                  <c:v>5.5731877756794823</c:v>
                </c:pt>
                <c:pt idx="20" formatCode="0.0">
                  <c:v>5.7042546611518876</c:v>
                </c:pt>
              </c:numCache>
            </c:numRef>
          </c:val>
          <c:smooth val="0"/>
          <c:extLst>
            <c:ext xmlns:c16="http://schemas.microsoft.com/office/drawing/2014/chart" uri="{C3380CC4-5D6E-409C-BE32-E72D297353CC}">
              <c16:uniqueId val="{00000004-0A61-4D29-AFD9-A5B2F3BF3897}"/>
            </c:ext>
          </c:extLst>
        </c:ser>
        <c:ser>
          <c:idx val="4"/>
          <c:order val="4"/>
          <c:tx>
            <c:strRef>
              <c:f>'Fig 12 data'!$G$6</c:f>
              <c:strCache>
                <c:ptCount val="1"/>
                <c:pt idx="0">
                  <c:v>2009 LTFS</c:v>
                </c:pt>
              </c:strCache>
            </c:strRef>
          </c:tx>
          <c:spPr>
            <a:ln w="38100" cap="rnd">
              <a:solidFill>
                <a:srgbClr val="0083AC"/>
              </a:solidFill>
              <a:prstDash val="dash"/>
              <a:round/>
            </a:ln>
            <a:effectLst/>
          </c:spPr>
          <c:marker>
            <c:symbol val="none"/>
          </c:marker>
          <c:cat>
            <c:numRef>
              <c:f>'Fig 12 data'!$B$8:$B$28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12 data'!$G$8:$G$28</c:f>
              <c:numCache>
                <c:formatCode>General</c:formatCode>
                <c:ptCount val="21"/>
                <c:pt idx="2" formatCode="0.0">
                  <c:v>4.0263694681763083</c:v>
                </c:pt>
                <c:pt idx="3" formatCode="0.0">
                  <c:v>4.0998287088440915</c:v>
                </c:pt>
                <c:pt idx="4" formatCode="0.0">
                  <c:v>4.3378064964938599</c:v>
                </c:pt>
                <c:pt idx="5" formatCode="0.0">
                  <c:v>4.7106241554832344</c:v>
                </c:pt>
                <c:pt idx="6" formatCode="0.0">
                  <c:v>4.7423106795490204</c:v>
                </c:pt>
                <c:pt idx="7" formatCode="0.0">
                  <c:v>4.7961600267185327</c:v>
                </c:pt>
                <c:pt idx="8" formatCode="0.0">
                  <c:v>4.772757144670047</c:v>
                </c:pt>
                <c:pt idx="9" formatCode="0.0">
                  <c:v>4.7714577818957196</c:v>
                </c:pt>
                <c:pt idx="10" formatCode="0.0">
                  <c:v>4.81090178032027</c:v>
                </c:pt>
                <c:pt idx="11" formatCode="0.0">
                  <c:v>4.8529070129615191</c:v>
                </c:pt>
                <c:pt idx="12" formatCode="0.0">
                  <c:v>4.9567665546039379</c:v>
                </c:pt>
                <c:pt idx="13" formatCode="0.0">
                  <c:v>5.0566936526789776</c:v>
                </c:pt>
                <c:pt idx="14" formatCode="0.0">
                  <c:v>5.1620788946280554</c:v>
                </c:pt>
                <c:pt idx="15" formatCode="0.0">
                  <c:v>5.2698449897151081</c:v>
                </c:pt>
                <c:pt idx="16" formatCode="0.0">
                  <c:v>5.3853835102103549</c:v>
                </c:pt>
                <c:pt idx="17" formatCode="0.0">
                  <c:v>5.5076689320763501</c:v>
                </c:pt>
                <c:pt idx="18" formatCode="0.0">
                  <c:v>5.6234738820838546</c:v>
                </c:pt>
                <c:pt idx="19" formatCode="0.0">
                  <c:v>5.772108194084165</c:v>
                </c:pt>
                <c:pt idx="20" formatCode="0.0">
                  <c:v>5.9209314946867071</c:v>
                </c:pt>
              </c:numCache>
            </c:numRef>
          </c:val>
          <c:smooth val="0"/>
          <c:extLst>
            <c:ext xmlns:c16="http://schemas.microsoft.com/office/drawing/2014/chart" uri="{C3380CC4-5D6E-409C-BE32-E72D297353CC}">
              <c16:uniqueId val="{00000005-0A61-4D29-AFD9-A5B2F3BF3897}"/>
            </c:ext>
          </c:extLst>
        </c:ser>
        <c:ser>
          <c:idx val="5"/>
          <c:order val="5"/>
          <c:tx>
            <c:strRef>
              <c:f>'Fig 12 data'!$H$6</c:f>
              <c:strCache>
                <c:ptCount val="1"/>
                <c:pt idx="0">
                  <c:v>2006 LTFS</c:v>
                </c:pt>
              </c:strCache>
            </c:strRef>
          </c:tx>
          <c:spPr>
            <a:ln w="38100" cap="rnd">
              <a:solidFill>
                <a:srgbClr val="67A854"/>
              </a:solidFill>
              <a:prstDash val="dash"/>
              <a:round/>
            </a:ln>
            <a:effectLst/>
          </c:spPr>
          <c:marker>
            <c:symbol val="none"/>
          </c:marker>
          <c:cat>
            <c:numRef>
              <c:f>'Fig 12 data'!$B$8:$B$28</c:f>
              <c:numCache>
                <c:formatCode>General</c:formatCode>
                <c:ptCount val="2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numCache>
            </c:numRef>
          </c:cat>
          <c:val>
            <c:numRef>
              <c:f>'Fig 12 data'!$H$8:$H$28</c:f>
              <c:numCache>
                <c:formatCode>0.0</c:formatCode>
                <c:ptCount val="21"/>
                <c:pt idx="0">
                  <c:v>4.0307724929430009</c:v>
                </c:pt>
                <c:pt idx="1">
                  <c:v>4.1054047291835953</c:v>
                </c:pt>
                <c:pt idx="2">
                  <c:v>4.2383955289350714</c:v>
                </c:pt>
                <c:pt idx="3">
                  <c:v>4.2328914174703804</c:v>
                </c:pt>
                <c:pt idx="4">
                  <c:v>4.2017882387171248</c:v>
                </c:pt>
                <c:pt idx="5">
                  <c:v>4.2125200303999417</c:v>
                </c:pt>
                <c:pt idx="6">
                  <c:v>4.2824981434292981</c:v>
                </c:pt>
                <c:pt idx="7">
                  <c:v>4.4164043870490204</c:v>
                </c:pt>
                <c:pt idx="8">
                  <c:v>4.5396920858909322</c:v>
                </c:pt>
                <c:pt idx="9">
                  <c:v>4.6573516051455464</c:v>
                </c:pt>
                <c:pt idx="10">
                  <c:v>4.7738657585791735</c:v>
                </c:pt>
                <c:pt idx="11">
                  <c:v>4.885930214506196</c:v>
                </c:pt>
                <c:pt idx="12">
                  <c:v>5.0075803137250041</c:v>
                </c:pt>
                <c:pt idx="13">
                  <c:v>5.1269716232190801</c:v>
                </c:pt>
                <c:pt idx="14">
                  <c:v>5.2531505683024688</c:v>
                </c:pt>
                <c:pt idx="15">
                  <c:v>5.3852232157306892</c:v>
                </c:pt>
                <c:pt idx="16">
                  <c:v>5.5295743540561615</c:v>
                </c:pt>
                <c:pt idx="17">
                  <c:v>5.6828299963492075</c:v>
                </c:pt>
                <c:pt idx="18">
                  <c:v>5.8391674326919336</c:v>
                </c:pt>
                <c:pt idx="19">
                  <c:v>6.0142098496299274</c:v>
                </c:pt>
                <c:pt idx="20">
                  <c:v>6.191020028353301</c:v>
                </c:pt>
              </c:numCache>
            </c:numRef>
          </c:val>
          <c:smooth val="0"/>
          <c:extLst>
            <c:ext xmlns:c16="http://schemas.microsoft.com/office/drawing/2014/chart" uri="{C3380CC4-5D6E-409C-BE32-E72D297353CC}">
              <c16:uniqueId val="{00000006-0A61-4D29-AFD9-A5B2F3BF3897}"/>
            </c:ext>
          </c:extLst>
        </c:ser>
        <c:dLbls>
          <c:showLegendKey val="0"/>
          <c:showVal val="0"/>
          <c:showCatName val="0"/>
          <c:showSerName val="0"/>
          <c:showPercent val="0"/>
          <c:showBubbleSize val="0"/>
        </c:dLbls>
        <c:marker val="1"/>
        <c:smooth val="0"/>
        <c:axId val="1288103424"/>
        <c:axId val="1288100064"/>
      </c:lineChart>
      <c:catAx>
        <c:axId val="1288103424"/>
        <c:scaling>
          <c:orientation val="minMax"/>
        </c:scaling>
        <c:delete val="0"/>
        <c:axPos val="b"/>
        <c:title>
          <c:tx>
            <c:rich>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r>
                  <a:rPr lang="en-NZ" b="1"/>
                  <a:t>Year ending 30 June</a:t>
                </a:r>
              </a:p>
            </c:rich>
          </c:tx>
          <c:layout>
            <c:manualLayout>
              <c:xMode val="edge"/>
              <c:yMode val="edge"/>
              <c:x val="0.30768221766494841"/>
              <c:y val="0.91515711151161372"/>
            </c:manualLayout>
          </c:layout>
          <c:overlay val="0"/>
          <c:spPr>
            <a:noFill/>
            <a:ln>
              <a:noFill/>
            </a:ln>
            <a:effectLst/>
          </c:spPr>
          <c:txPr>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endParaRPr lang="en-NZ"/>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288100064"/>
        <c:crosses val="autoZero"/>
        <c:auto val="1"/>
        <c:lblAlgn val="ctr"/>
        <c:lblOffset val="100"/>
        <c:tickLblSkip val="5"/>
        <c:tickMarkSkip val="5"/>
        <c:noMultiLvlLbl val="0"/>
      </c:catAx>
      <c:valAx>
        <c:axId val="1288100064"/>
        <c:scaling>
          <c:orientation val="minMax"/>
          <c:min val="3"/>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r>
                  <a:rPr lang="en-NZ" b="1"/>
                  <a:t>% of GDP</a:t>
                </a:r>
              </a:p>
            </c:rich>
          </c:tx>
          <c:layout>
            <c:manualLayout>
              <c:xMode val="edge"/>
              <c:yMode val="edge"/>
              <c:x val="4.5355256441464748E-4"/>
              <c:y val="1.6765506852439549E-3"/>
            </c:manualLayout>
          </c:layout>
          <c:overlay val="0"/>
          <c:spPr>
            <a:noFill/>
            <a:ln>
              <a:noFill/>
            </a:ln>
            <a:effectLst/>
          </c:spPr>
          <c:txPr>
            <a:bodyPr rot="0" spcFirstLastPara="1" vertOverflow="ellipsis"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288103424"/>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800" baseline="0">
          <a:solidFill>
            <a:sysClr val="windowText" lastClr="000000"/>
          </a:solidFill>
          <a:latin typeface="Arial" panose="020B0604020202020204" pitchFamily="34" charset="0"/>
        </a:defRPr>
      </a:pPr>
      <a:endParaRPr lang="en-US"/>
    </a:p>
  </c:txPr>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848903203434541E-2"/>
          <c:y val="7.4844936855000127E-2"/>
          <c:w val="0.9411510967965655"/>
          <c:h val="0.72293663353455595"/>
        </c:manualLayout>
      </c:layout>
      <c:lineChart>
        <c:grouping val="standard"/>
        <c:varyColors val="0"/>
        <c:ser>
          <c:idx val="1"/>
          <c:order val="0"/>
          <c:tx>
            <c:strRef>
              <c:f>'Fig 13 data'!$C$5</c:f>
              <c:strCache>
                <c:ptCount val="1"/>
                <c:pt idx="0">
                  <c:v>OBEGALx</c:v>
                </c:pt>
              </c:strCache>
            </c:strRef>
          </c:tx>
          <c:spPr>
            <a:ln w="38100" cap="rnd">
              <a:solidFill>
                <a:srgbClr val="0083AC"/>
              </a:solidFill>
              <a:round/>
            </a:ln>
            <a:effectLst/>
          </c:spPr>
          <c:marker>
            <c:symbol val="none"/>
          </c:marker>
          <c:cat>
            <c:numRef>
              <c:f>'Fig 13 data'!$B$7:$B$17</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'Fig 13 data'!$C$7:$C$17</c:f>
              <c:numCache>
                <c:formatCode>0.0</c:formatCode>
                <c:ptCount val="11"/>
                <c:pt idx="0">
                  <c:v>-1.6169516264432551</c:v>
                </c:pt>
                <c:pt idx="1">
                  <c:v>0.13543632459165747</c:v>
                </c:pt>
                <c:pt idx="2">
                  <c:v>0.81914347176252955</c:v>
                </c:pt>
                <c:pt idx="3">
                  <c:v>1.6866273253200714</c:v>
                </c:pt>
                <c:pt idx="4">
                  <c:v>2.0086742817349914</c:v>
                </c:pt>
                <c:pt idx="5">
                  <c:v>2.738702530014943</c:v>
                </c:pt>
                <c:pt idx="6">
                  <c:v>-6.5805919447409114</c:v>
                </c:pt>
                <c:pt idx="7">
                  <c:v>-0.74521029840445219</c:v>
                </c:pt>
                <c:pt idx="8">
                  <c:v>-2.3690513950715855</c:v>
                </c:pt>
                <c:pt idx="9">
                  <c:v>-1.7928162830253991</c:v>
                </c:pt>
                <c:pt idx="10">
                  <c:v>-2.0857206708160767</c:v>
                </c:pt>
              </c:numCache>
            </c:numRef>
          </c:val>
          <c:smooth val="0"/>
          <c:extLst>
            <c:ext xmlns:c16="http://schemas.microsoft.com/office/drawing/2014/chart" uri="{C3380CC4-5D6E-409C-BE32-E72D297353CC}">
              <c16:uniqueId val="{00000000-28A3-4821-8018-8244C260DDC2}"/>
            </c:ext>
          </c:extLst>
        </c:ser>
        <c:ser>
          <c:idx val="0"/>
          <c:order val="1"/>
          <c:tx>
            <c:strRef>
              <c:f>'Fig 13 data'!$D$5</c:f>
              <c:strCache>
                <c:ptCount val="1"/>
                <c:pt idx="0">
                  <c:v>Structural balance</c:v>
                </c:pt>
              </c:strCache>
            </c:strRef>
          </c:tx>
          <c:spPr>
            <a:ln w="38100" cap="rnd">
              <a:solidFill>
                <a:srgbClr val="3F403A"/>
              </a:solidFill>
              <a:round/>
            </a:ln>
            <a:effectLst/>
          </c:spPr>
          <c:marker>
            <c:symbol val="none"/>
          </c:marker>
          <c:val>
            <c:numRef>
              <c:f>'Fig 13 data'!$D$7:$D$17</c:f>
              <c:numCache>
                <c:formatCode>0.0</c:formatCode>
                <c:ptCount val="11"/>
                <c:pt idx="0">
                  <c:v>-0.8206468091526451</c:v>
                </c:pt>
                <c:pt idx="1">
                  <c:v>0.46946437075444902</c:v>
                </c:pt>
                <c:pt idx="2">
                  <c:v>1.1747332869553591</c:v>
                </c:pt>
                <c:pt idx="3">
                  <c:v>1.6497067484644072</c:v>
                </c:pt>
                <c:pt idx="4">
                  <c:v>1.7415523867949849</c:v>
                </c:pt>
                <c:pt idx="5">
                  <c:v>2.1899011141741682</c:v>
                </c:pt>
                <c:pt idx="6">
                  <c:v>-2.806337060348167</c:v>
                </c:pt>
                <c:pt idx="7">
                  <c:v>0.14252515742549926</c:v>
                </c:pt>
                <c:pt idx="8">
                  <c:v>0.70327979028062604</c:v>
                </c:pt>
                <c:pt idx="9">
                  <c:v>-1.843172511298903</c:v>
                </c:pt>
                <c:pt idx="10">
                  <c:v>-1.9345878264997132</c:v>
                </c:pt>
              </c:numCache>
            </c:numRef>
          </c:val>
          <c:smooth val="0"/>
          <c:extLst>
            <c:ext xmlns:c16="http://schemas.microsoft.com/office/drawing/2014/chart" uri="{C3380CC4-5D6E-409C-BE32-E72D297353CC}">
              <c16:uniqueId val="{00000000-7582-4DF3-9B05-2C61E5B16577}"/>
            </c:ext>
          </c:extLst>
        </c:ser>
        <c:dLbls>
          <c:showLegendKey val="0"/>
          <c:showVal val="0"/>
          <c:showCatName val="0"/>
          <c:showSerName val="0"/>
          <c:showPercent val="0"/>
          <c:showBubbleSize val="0"/>
        </c:dLbls>
        <c:smooth val="0"/>
        <c:axId val="1775278975"/>
        <c:axId val="1775275135"/>
      </c:lineChart>
      <c:catAx>
        <c:axId val="1775278975"/>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7214165710585617"/>
              <c:y val="0.87965414955811994"/>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75275135"/>
        <c:crosses val="autoZero"/>
        <c:auto val="1"/>
        <c:lblAlgn val="ctr"/>
        <c:lblOffset val="100"/>
        <c:noMultiLvlLbl val="0"/>
      </c:catAx>
      <c:valAx>
        <c:axId val="1775275135"/>
        <c:scaling>
          <c:orientation val="minMax"/>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4.6184991472586717E-4"/>
              <c:y val="2.9297015627226297E-5"/>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75278975"/>
        <c:crosses val="autoZero"/>
        <c:crossBetween val="between"/>
      </c:valAx>
      <c:spPr>
        <a:noFill/>
        <a:ln>
          <a:noFill/>
        </a:ln>
        <a:effectLst/>
      </c:spPr>
    </c:plotArea>
    <c:legend>
      <c:legendPos val="r"/>
      <c:layout>
        <c:manualLayout>
          <c:xMode val="edge"/>
          <c:yMode val="edge"/>
          <c:x val="0.10943138258317206"/>
          <c:y val="0.92001054030483131"/>
          <c:w val="0.81770365765520536"/>
          <c:h val="7.9989459695168685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54935736202223"/>
          <c:y val="9.0854386938995266E-2"/>
          <c:w val="0.89195841856718538"/>
          <c:h val="0.59658431289879121"/>
        </c:manualLayout>
      </c:layout>
      <c:barChart>
        <c:barDir val="col"/>
        <c:grouping val="stacked"/>
        <c:varyColors val="0"/>
        <c:ser>
          <c:idx val="3"/>
          <c:order val="0"/>
          <c:tx>
            <c:strRef>
              <c:f>'Fig 14 data'!$F$5</c:f>
              <c:strCache>
                <c:ptCount val="1"/>
                <c:pt idx="0">
                  <c:v>Income support (eg, benefits, NZ Super)</c:v>
                </c:pt>
              </c:strCache>
            </c:strRef>
          </c:tx>
          <c:spPr>
            <a:solidFill>
              <a:srgbClr val="A9A7A5"/>
            </a:solidFill>
            <a:ln>
              <a:noFill/>
            </a:ln>
            <a:effectLst/>
          </c:spPr>
          <c:invertIfNegative val="0"/>
          <c:cat>
            <c:strRef>
              <c:f>'Fig 14 data'!$B$7:$B$23</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 14 data'!$F$7:$F$23</c:f>
              <c:numCache>
                <c:formatCode>General</c:formatCode>
                <c:ptCount val="17"/>
                <c:pt idx="0">
                  <c:v>0</c:v>
                </c:pt>
                <c:pt idx="1">
                  <c:v>0</c:v>
                </c:pt>
                <c:pt idx="2">
                  <c:v>0</c:v>
                </c:pt>
                <c:pt idx="3">
                  <c:v>820</c:v>
                </c:pt>
                <c:pt idx="4">
                  <c:v>3880</c:v>
                </c:pt>
                <c:pt idx="5">
                  <c:v>4650</c:v>
                </c:pt>
                <c:pt idx="6">
                  <c:v>4410</c:v>
                </c:pt>
                <c:pt idx="7">
                  <c:v>4490</c:v>
                </c:pt>
                <c:pt idx="8">
                  <c:v>4150</c:v>
                </c:pt>
                <c:pt idx="9">
                  <c:v>2760</c:v>
                </c:pt>
                <c:pt idx="10">
                  <c:v>3000</c:v>
                </c:pt>
                <c:pt idx="11">
                  <c:v>2660</c:v>
                </c:pt>
                <c:pt idx="12">
                  <c:v>4420</c:v>
                </c:pt>
                <c:pt idx="13">
                  <c:v>20410</c:v>
                </c:pt>
                <c:pt idx="14">
                  <c:v>22040</c:v>
                </c:pt>
                <c:pt idx="15">
                  <c:v>22120</c:v>
                </c:pt>
                <c:pt idx="16">
                  <c:v>23060</c:v>
                </c:pt>
              </c:numCache>
            </c:numRef>
          </c:val>
          <c:extLst>
            <c:ext xmlns:c16="http://schemas.microsoft.com/office/drawing/2014/chart" uri="{C3380CC4-5D6E-409C-BE32-E72D297353CC}">
              <c16:uniqueId val="{00000003-4A74-401E-8940-2018470F7737}"/>
            </c:ext>
          </c:extLst>
        </c:ser>
        <c:ser>
          <c:idx val="2"/>
          <c:order val="1"/>
          <c:tx>
            <c:strRef>
              <c:f>'Fig 14 data'!$E$5</c:f>
              <c:strCache>
                <c:ptCount val="1"/>
                <c:pt idx="0">
                  <c:v>In-kind benefits (health and education)</c:v>
                </c:pt>
              </c:strCache>
            </c:strRef>
          </c:tx>
          <c:spPr>
            <a:solidFill>
              <a:srgbClr val="67A854"/>
            </a:solidFill>
            <a:ln>
              <a:noFill/>
            </a:ln>
            <a:effectLst/>
          </c:spPr>
          <c:invertIfNegative val="0"/>
          <c:cat>
            <c:strRef>
              <c:f>'Fig 14 data'!$B$7:$B$23</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 14 data'!$E$7:$E$23</c:f>
              <c:numCache>
                <c:formatCode>General</c:formatCode>
                <c:ptCount val="17"/>
                <c:pt idx="0">
                  <c:v>9220</c:v>
                </c:pt>
                <c:pt idx="1">
                  <c:v>9080</c:v>
                </c:pt>
                <c:pt idx="2">
                  <c:v>9400</c:v>
                </c:pt>
                <c:pt idx="3">
                  <c:v>9710</c:v>
                </c:pt>
                <c:pt idx="4">
                  <c:v>5470</c:v>
                </c:pt>
                <c:pt idx="5">
                  <c:v>4010</c:v>
                </c:pt>
                <c:pt idx="6">
                  <c:v>3620</c:v>
                </c:pt>
                <c:pt idx="7">
                  <c:v>3180</c:v>
                </c:pt>
                <c:pt idx="8">
                  <c:v>3170</c:v>
                </c:pt>
                <c:pt idx="9">
                  <c:v>3280</c:v>
                </c:pt>
                <c:pt idx="10">
                  <c:v>3720</c:v>
                </c:pt>
                <c:pt idx="11">
                  <c:v>3900</c:v>
                </c:pt>
                <c:pt idx="12">
                  <c:v>4680</c:v>
                </c:pt>
                <c:pt idx="13">
                  <c:v>6140</c:v>
                </c:pt>
                <c:pt idx="14">
                  <c:v>8010</c:v>
                </c:pt>
                <c:pt idx="15">
                  <c:v>10890</c:v>
                </c:pt>
                <c:pt idx="16">
                  <c:v>18250</c:v>
                </c:pt>
              </c:numCache>
            </c:numRef>
          </c:val>
          <c:extLst>
            <c:ext xmlns:c16="http://schemas.microsoft.com/office/drawing/2014/chart" uri="{C3380CC4-5D6E-409C-BE32-E72D297353CC}">
              <c16:uniqueId val="{00000002-4A74-401E-8940-2018470F7737}"/>
            </c:ext>
          </c:extLst>
        </c:ser>
        <c:ser>
          <c:idx val="1"/>
          <c:order val="2"/>
          <c:tx>
            <c:strRef>
              <c:f>'Fig 14 data'!$D$5</c:f>
              <c:strCache>
                <c:ptCount val="1"/>
                <c:pt idx="0">
                  <c:v>Indirect taxes (eg, GST)</c:v>
                </c:pt>
              </c:strCache>
            </c:strRef>
          </c:tx>
          <c:spPr>
            <a:solidFill>
              <a:srgbClr val="3F403A"/>
            </a:solidFill>
            <a:ln>
              <a:noFill/>
            </a:ln>
            <a:effectLst/>
          </c:spPr>
          <c:invertIfNegative val="0"/>
          <c:cat>
            <c:strRef>
              <c:f>'Fig 14 data'!$B$7:$B$23</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 14 data'!$D$7:$D$23</c:f>
              <c:numCache>
                <c:formatCode>General</c:formatCode>
                <c:ptCount val="17"/>
                <c:pt idx="0">
                  <c:v>-1290</c:v>
                </c:pt>
                <c:pt idx="1">
                  <c:v>-1390</c:v>
                </c:pt>
                <c:pt idx="2">
                  <c:v>-1340</c:v>
                </c:pt>
                <c:pt idx="3">
                  <c:v>-1680</c:v>
                </c:pt>
                <c:pt idx="4">
                  <c:v>-2710</c:v>
                </c:pt>
                <c:pt idx="5">
                  <c:v>-3350</c:v>
                </c:pt>
                <c:pt idx="6">
                  <c:v>-3910</c:v>
                </c:pt>
                <c:pt idx="7">
                  <c:v>-4050</c:v>
                </c:pt>
                <c:pt idx="8">
                  <c:v>-4410</c:v>
                </c:pt>
                <c:pt idx="9">
                  <c:v>-4830</c:v>
                </c:pt>
                <c:pt idx="10">
                  <c:v>-5120</c:v>
                </c:pt>
                <c:pt idx="11">
                  <c:v>-5370</c:v>
                </c:pt>
                <c:pt idx="12">
                  <c:v>-4950</c:v>
                </c:pt>
                <c:pt idx="13">
                  <c:v>-5490</c:v>
                </c:pt>
                <c:pt idx="14">
                  <c:v>-4970</c:v>
                </c:pt>
                <c:pt idx="15">
                  <c:v>-4240</c:v>
                </c:pt>
                <c:pt idx="16">
                  <c:v>-3080</c:v>
                </c:pt>
              </c:numCache>
            </c:numRef>
          </c:val>
          <c:extLst>
            <c:ext xmlns:c16="http://schemas.microsoft.com/office/drawing/2014/chart" uri="{C3380CC4-5D6E-409C-BE32-E72D297353CC}">
              <c16:uniqueId val="{00000001-4A74-401E-8940-2018470F7737}"/>
            </c:ext>
          </c:extLst>
        </c:ser>
        <c:ser>
          <c:idx val="0"/>
          <c:order val="3"/>
          <c:tx>
            <c:strRef>
              <c:f>'Fig 14 data'!$C$5</c:f>
              <c:strCache>
                <c:ptCount val="1"/>
                <c:pt idx="0">
                  <c:v>Direct taxes (eg, income tax)</c:v>
                </c:pt>
              </c:strCache>
            </c:strRef>
          </c:tx>
          <c:spPr>
            <a:solidFill>
              <a:srgbClr val="0083AC"/>
            </a:solidFill>
            <a:ln>
              <a:noFill/>
            </a:ln>
            <a:effectLst/>
          </c:spPr>
          <c:invertIfNegative val="0"/>
          <c:cat>
            <c:strRef>
              <c:f>'Fig 14 data'!$B$7:$B$23</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 14 data'!$C$7:$C$23</c:f>
              <c:numCache>
                <c:formatCode>General</c:formatCode>
                <c:ptCount val="17"/>
                <c:pt idx="0">
                  <c:v>0</c:v>
                </c:pt>
                <c:pt idx="1">
                  <c:v>0</c:v>
                </c:pt>
                <c:pt idx="2">
                  <c:v>0</c:v>
                </c:pt>
                <c:pt idx="3">
                  <c:v>-1030</c:v>
                </c:pt>
                <c:pt idx="4">
                  <c:v>-4720</c:v>
                </c:pt>
                <c:pt idx="5">
                  <c:v>-8130</c:v>
                </c:pt>
                <c:pt idx="6">
                  <c:v>-11360</c:v>
                </c:pt>
                <c:pt idx="7">
                  <c:v>-12230</c:v>
                </c:pt>
                <c:pt idx="8">
                  <c:v>-15460</c:v>
                </c:pt>
                <c:pt idx="9">
                  <c:v>-15160</c:v>
                </c:pt>
                <c:pt idx="10">
                  <c:v>-16260</c:v>
                </c:pt>
                <c:pt idx="11">
                  <c:v>-13110</c:v>
                </c:pt>
                <c:pt idx="12">
                  <c:v>-12660</c:v>
                </c:pt>
                <c:pt idx="13">
                  <c:v>-10310</c:v>
                </c:pt>
                <c:pt idx="14">
                  <c:v>-7770</c:v>
                </c:pt>
                <c:pt idx="15">
                  <c:v>-5310</c:v>
                </c:pt>
                <c:pt idx="16">
                  <c:v>-4550</c:v>
                </c:pt>
              </c:numCache>
            </c:numRef>
          </c:val>
          <c:extLst>
            <c:ext xmlns:c16="http://schemas.microsoft.com/office/drawing/2014/chart" uri="{C3380CC4-5D6E-409C-BE32-E72D297353CC}">
              <c16:uniqueId val="{00000000-4A74-401E-8940-2018470F7737}"/>
            </c:ext>
          </c:extLst>
        </c:ser>
        <c:dLbls>
          <c:showLegendKey val="0"/>
          <c:showVal val="0"/>
          <c:showCatName val="0"/>
          <c:showSerName val="0"/>
          <c:showPercent val="0"/>
          <c:showBubbleSize val="0"/>
        </c:dLbls>
        <c:gapWidth val="150"/>
        <c:overlap val="100"/>
        <c:axId val="384537407"/>
        <c:axId val="384537887"/>
      </c:barChart>
      <c:catAx>
        <c:axId val="384537407"/>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Age group</a:t>
                </a:r>
              </a:p>
            </c:rich>
          </c:tx>
          <c:layout>
            <c:manualLayout>
              <c:xMode val="edge"/>
              <c:yMode val="edge"/>
              <c:x val="0.43597403511244687"/>
              <c:y val="0.82072179570512371"/>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low"/>
        <c:spPr>
          <a:noFill/>
          <a:ln w="9525" cap="flat" cmpd="sng" algn="ctr">
            <a:solidFill>
              <a:schemeClr val="bg1">
                <a:lumMod val="50000"/>
              </a:schemeClr>
            </a:solidFill>
            <a:round/>
          </a:ln>
          <a:effectLst/>
        </c:spPr>
        <c:txPr>
          <a:bodyPr rot="-540000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84537887"/>
        <c:crosses val="autoZero"/>
        <c:auto val="1"/>
        <c:lblAlgn val="ctr"/>
        <c:lblOffset val="100"/>
        <c:tickLblSkip val="1"/>
        <c:tickMarkSkip val="1"/>
        <c:noMultiLvlLbl val="0"/>
      </c:catAx>
      <c:valAx>
        <c:axId val="384537887"/>
        <c:scaling>
          <c:orientation val="minMax"/>
        </c:scaling>
        <c:delete val="0"/>
        <c:axPos val="l"/>
        <c:majorGridlines>
          <c:spPr>
            <a:ln w="9525" cap="flat" cmpd="sng" algn="ctr">
              <a:solidFill>
                <a:schemeClr val="bg1">
                  <a:lumMod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84537407"/>
        <c:crosses val="autoZero"/>
        <c:crossBetween val="between"/>
      </c:valAx>
      <c:spPr>
        <a:noFill/>
        <a:ln>
          <a:noFill/>
        </a:ln>
        <a:effectLst/>
      </c:spPr>
    </c:plotArea>
    <c:legend>
      <c:legendPos val="b"/>
      <c:layout>
        <c:manualLayout>
          <c:xMode val="edge"/>
          <c:yMode val="edge"/>
          <c:x val="1.7831964753450266E-2"/>
          <c:y val="0.88449721578085971"/>
          <c:w val="0.97525976568673811"/>
          <c:h val="0.10712323967707743"/>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580265002714344E-2"/>
          <c:y val="0.12791538833953869"/>
          <c:w val="0.88771921580613888"/>
          <c:h val="0.57612729470945057"/>
        </c:manualLayout>
      </c:layout>
      <c:lineChart>
        <c:grouping val="standard"/>
        <c:varyColors val="0"/>
        <c:ser>
          <c:idx val="0"/>
          <c:order val="0"/>
          <c:tx>
            <c:strRef>
              <c:f>'Fig 15 data'!$C$5</c:f>
              <c:strCache>
                <c:ptCount val="1"/>
                <c:pt idx="0">
                  <c:v>LTFS 2025 </c:v>
                </c:pt>
              </c:strCache>
            </c:strRef>
          </c:tx>
          <c:spPr>
            <a:ln w="38100" cap="rnd">
              <a:solidFill>
                <a:srgbClr val="0083AC"/>
              </a:solidFill>
              <a:round/>
            </a:ln>
            <a:effectLst/>
          </c:spPr>
          <c:marker>
            <c:symbol val="none"/>
          </c:marker>
          <c:cat>
            <c:numRef>
              <c:f>'Fig 15 data'!$B$7:$B$66</c:f>
              <c:numCache>
                <c:formatCode>General</c:formatCode>
                <c:ptCount val="6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pt idx="26">
                  <c:v>2032</c:v>
                </c:pt>
                <c:pt idx="27">
                  <c:v>2033</c:v>
                </c:pt>
                <c:pt idx="28">
                  <c:v>2034</c:v>
                </c:pt>
                <c:pt idx="29">
                  <c:v>2035</c:v>
                </c:pt>
                <c:pt idx="30">
                  <c:v>2036</c:v>
                </c:pt>
                <c:pt idx="31">
                  <c:v>2037</c:v>
                </c:pt>
                <c:pt idx="32">
                  <c:v>2038</c:v>
                </c:pt>
                <c:pt idx="33">
                  <c:v>2039</c:v>
                </c:pt>
                <c:pt idx="34">
                  <c:v>2040</c:v>
                </c:pt>
                <c:pt idx="35">
                  <c:v>2041</c:v>
                </c:pt>
                <c:pt idx="36">
                  <c:v>2042</c:v>
                </c:pt>
                <c:pt idx="37">
                  <c:v>2043</c:v>
                </c:pt>
                <c:pt idx="38">
                  <c:v>2044</c:v>
                </c:pt>
                <c:pt idx="39">
                  <c:v>2045</c:v>
                </c:pt>
                <c:pt idx="40">
                  <c:v>2046</c:v>
                </c:pt>
                <c:pt idx="41">
                  <c:v>2047</c:v>
                </c:pt>
                <c:pt idx="42">
                  <c:v>2048</c:v>
                </c:pt>
                <c:pt idx="43">
                  <c:v>2049</c:v>
                </c:pt>
                <c:pt idx="44">
                  <c:v>2050</c:v>
                </c:pt>
                <c:pt idx="45">
                  <c:v>2051</c:v>
                </c:pt>
                <c:pt idx="46">
                  <c:v>2052</c:v>
                </c:pt>
                <c:pt idx="47">
                  <c:v>2053</c:v>
                </c:pt>
                <c:pt idx="48">
                  <c:v>2054</c:v>
                </c:pt>
                <c:pt idx="49">
                  <c:v>2055</c:v>
                </c:pt>
                <c:pt idx="50">
                  <c:v>2056</c:v>
                </c:pt>
                <c:pt idx="51">
                  <c:v>2057</c:v>
                </c:pt>
                <c:pt idx="52">
                  <c:v>2058</c:v>
                </c:pt>
                <c:pt idx="53">
                  <c:v>2059</c:v>
                </c:pt>
                <c:pt idx="54">
                  <c:v>2060</c:v>
                </c:pt>
                <c:pt idx="55">
                  <c:v>2061</c:v>
                </c:pt>
                <c:pt idx="56">
                  <c:v>2062</c:v>
                </c:pt>
                <c:pt idx="57">
                  <c:v>2063</c:v>
                </c:pt>
                <c:pt idx="58">
                  <c:v>2064</c:v>
                </c:pt>
                <c:pt idx="59">
                  <c:v>2065</c:v>
                </c:pt>
              </c:numCache>
            </c:numRef>
          </c:cat>
          <c:val>
            <c:numRef>
              <c:f>'Fig 15 data'!$C$7:$C$66</c:f>
              <c:numCache>
                <c:formatCode>0.0</c:formatCode>
                <c:ptCount val="60"/>
                <c:pt idx="0">
                  <c:v>5.4427809158962557</c:v>
                </c:pt>
                <c:pt idx="1">
                  <c:v>5.3441081286883678</c:v>
                </c:pt>
                <c:pt idx="2">
                  <c:v>5.2879464702913834</c:v>
                </c:pt>
                <c:pt idx="3">
                  <c:v>5.2030455001367732</c:v>
                </c:pt>
                <c:pt idx="4">
                  <c:v>5.1099160499085929</c:v>
                </c:pt>
                <c:pt idx="5">
                  <c:v>4.9878631152486843</c:v>
                </c:pt>
                <c:pt idx="6">
                  <c:v>4.8015655836940478</c:v>
                </c:pt>
                <c:pt idx="7">
                  <c:v>4.6443553411396339</c:v>
                </c:pt>
                <c:pt idx="8">
                  <c:v>4.5583242101367709</c:v>
                </c:pt>
                <c:pt idx="9">
                  <c:v>4.5103770347492631</c:v>
                </c:pt>
                <c:pt idx="10">
                  <c:v>4.476487080178047</c:v>
                </c:pt>
                <c:pt idx="11">
                  <c:v>4.4310390720219663</c:v>
                </c:pt>
                <c:pt idx="12">
                  <c:v>4.3802947219463073</c:v>
                </c:pt>
                <c:pt idx="13">
                  <c:v>4.301636572575851</c:v>
                </c:pt>
                <c:pt idx="14">
                  <c:v>4.2222080879266271</c:v>
                </c:pt>
                <c:pt idx="15">
                  <c:v>4.0928178162697195</c:v>
                </c:pt>
                <c:pt idx="16">
                  <c:v>3.9808052830827667</c:v>
                </c:pt>
                <c:pt idx="17">
                  <c:v>3.9886667845981498</c:v>
                </c:pt>
                <c:pt idx="18">
                  <c:v>3.9352945214883968</c:v>
                </c:pt>
                <c:pt idx="19">
                  <c:v>3.8474139213257175</c:v>
                </c:pt>
                <c:pt idx="20">
                  <c:v>3.7529274697614579</c:v>
                </c:pt>
                <c:pt idx="21">
                  <c:v>3.6605328098032444</c:v>
                </c:pt>
                <c:pt idx="22">
                  <c:v>3.5754109879838119</c:v>
                </c:pt>
                <c:pt idx="23">
                  <c:v>3.5026847118862658</c:v>
                </c:pt>
                <c:pt idx="24">
                  <c:v>3.4457337590839874</c:v>
                </c:pt>
                <c:pt idx="25">
                  <c:v>3.396289252701044</c:v>
                </c:pt>
                <c:pt idx="26">
                  <c:v>3.348472141430876</c:v>
                </c:pt>
                <c:pt idx="27">
                  <c:v>3.3003825867273724</c:v>
                </c:pt>
                <c:pt idx="28">
                  <c:v>3.2520158651436644</c:v>
                </c:pt>
                <c:pt idx="29">
                  <c:v>3.2076445560198055</c:v>
                </c:pt>
                <c:pt idx="30">
                  <c:v>3.1595840373688837</c:v>
                </c:pt>
                <c:pt idx="31">
                  <c:v>3.1176341083916386</c:v>
                </c:pt>
                <c:pt idx="32">
                  <c:v>3.0820595741747843</c:v>
                </c:pt>
                <c:pt idx="33">
                  <c:v>3.0548814681621441</c:v>
                </c:pt>
                <c:pt idx="34">
                  <c:v>3.0378604661978121</c:v>
                </c:pt>
                <c:pt idx="35">
                  <c:v>3.0271765004755222</c:v>
                </c:pt>
                <c:pt idx="36">
                  <c:v>3.0162588728558282</c:v>
                </c:pt>
                <c:pt idx="37">
                  <c:v>3.0082640496796196</c:v>
                </c:pt>
                <c:pt idx="38">
                  <c:v>2.9949348050697866</c:v>
                </c:pt>
                <c:pt idx="39">
                  <c:v>2.9786192349639302</c:v>
                </c:pt>
                <c:pt idx="40">
                  <c:v>2.9593468969121393</c:v>
                </c:pt>
                <c:pt idx="41">
                  <c:v>2.9364258841555699</c:v>
                </c:pt>
                <c:pt idx="42">
                  <c:v>2.9087100863664497</c:v>
                </c:pt>
                <c:pt idx="43">
                  <c:v>2.8790525679981389</c:v>
                </c:pt>
                <c:pt idx="44">
                  <c:v>2.8469521820137755</c:v>
                </c:pt>
                <c:pt idx="45">
                  <c:v>2.8128373912953966</c:v>
                </c:pt>
                <c:pt idx="46">
                  <c:v>2.7721212080494659</c:v>
                </c:pt>
                <c:pt idx="47">
                  <c:v>2.7261857051264573</c:v>
                </c:pt>
                <c:pt idx="48">
                  <c:v>2.6794020617698662</c:v>
                </c:pt>
                <c:pt idx="49">
                  <c:v>2.627964648361842</c:v>
                </c:pt>
                <c:pt idx="50">
                  <c:v>2.5766838179027141</c:v>
                </c:pt>
                <c:pt idx="51">
                  <c:v>2.5292287806632663</c:v>
                </c:pt>
                <c:pt idx="52">
                  <c:v>2.4871274893199349</c:v>
                </c:pt>
                <c:pt idx="53">
                  <c:v>2.4519454120447386</c:v>
                </c:pt>
                <c:pt idx="54">
                  <c:v>2.419707496780569</c:v>
                </c:pt>
                <c:pt idx="55">
                  <c:v>2.3920713679195078</c:v>
                </c:pt>
                <c:pt idx="56">
                  <c:v>2.3685146907144694</c:v>
                </c:pt>
                <c:pt idx="57">
                  <c:v>2.3470875024843965</c:v>
                </c:pt>
                <c:pt idx="58">
                  <c:v>2.3296083249352364</c:v>
                </c:pt>
                <c:pt idx="59">
                  <c:v>2.3087404425103442</c:v>
                </c:pt>
              </c:numCache>
            </c:numRef>
          </c:val>
          <c:smooth val="0"/>
          <c:extLst>
            <c:ext xmlns:c16="http://schemas.microsoft.com/office/drawing/2014/chart" uri="{C3380CC4-5D6E-409C-BE32-E72D297353CC}">
              <c16:uniqueId val="{00000000-B34D-4A73-90F3-38D39E9C5259}"/>
            </c:ext>
          </c:extLst>
        </c:ser>
        <c:ser>
          <c:idx val="1"/>
          <c:order val="1"/>
          <c:tx>
            <c:strRef>
              <c:f>'Fig 15 data'!$D$5</c:f>
              <c:strCache>
                <c:ptCount val="1"/>
                <c:pt idx="0">
                  <c:v>LTFS 2006 </c:v>
                </c:pt>
              </c:strCache>
            </c:strRef>
          </c:tx>
          <c:spPr>
            <a:ln w="38100" cap="rnd">
              <a:solidFill>
                <a:srgbClr val="3F403A"/>
              </a:solidFill>
              <a:round/>
            </a:ln>
            <a:effectLst/>
          </c:spPr>
          <c:marker>
            <c:symbol val="none"/>
          </c:marker>
          <c:cat>
            <c:numRef>
              <c:f>'Fig 15 data'!$B$7:$B$66</c:f>
              <c:numCache>
                <c:formatCode>General</c:formatCode>
                <c:ptCount val="6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pt idx="26">
                  <c:v>2032</c:v>
                </c:pt>
                <c:pt idx="27">
                  <c:v>2033</c:v>
                </c:pt>
                <c:pt idx="28">
                  <c:v>2034</c:v>
                </c:pt>
                <c:pt idx="29">
                  <c:v>2035</c:v>
                </c:pt>
                <c:pt idx="30">
                  <c:v>2036</c:v>
                </c:pt>
                <c:pt idx="31">
                  <c:v>2037</c:v>
                </c:pt>
                <c:pt idx="32">
                  <c:v>2038</c:v>
                </c:pt>
                <c:pt idx="33">
                  <c:v>2039</c:v>
                </c:pt>
                <c:pt idx="34">
                  <c:v>2040</c:v>
                </c:pt>
                <c:pt idx="35">
                  <c:v>2041</c:v>
                </c:pt>
                <c:pt idx="36">
                  <c:v>2042</c:v>
                </c:pt>
                <c:pt idx="37">
                  <c:v>2043</c:v>
                </c:pt>
                <c:pt idx="38">
                  <c:v>2044</c:v>
                </c:pt>
                <c:pt idx="39">
                  <c:v>2045</c:v>
                </c:pt>
                <c:pt idx="40">
                  <c:v>2046</c:v>
                </c:pt>
                <c:pt idx="41">
                  <c:v>2047</c:v>
                </c:pt>
                <c:pt idx="42">
                  <c:v>2048</c:v>
                </c:pt>
                <c:pt idx="43">
                  <c:v>2049</c:v>
                </c:pt>
                <c:pt idx="44">
                  <c:v>2050</c:v>
                </c:pt>
                <c:pt idx="45">
                  <c:v>2051</c:v>
                </c:pt>
                <c:pt idx="46">
                  <c:v>2052</c:v>
                </c:pt>
                <c:pt idx="47">
                  <c:v>2053</c:v>
                </c:pt>
                <c:pt idx="48">
                  <c:v>2054</c:v>
                </c:pt>
                <c:pt idx="49">
                  <c:v>2055</c:v>
                </c:pt>
                <c:pt idx="50">
                  <c:v>2056</c:v>
                </c:pt>
                <c:pt idx="51">
                  <c:v>2057</c:v>
                </c:pt>
                <c:pt idx="52">
                  <c:v>2058</c:v>
                </c:pt>
                <c:pt idx="53">
                  <c:v>2059</c:v>
                </c:pt>
                <c:pt idx="54">
                  <c:v>2060</c:v>
                </c:pt>
                <c:pt idx="55">
                  <c:v>2061</c:v>
                </c:pt>
                <c:pt idx="56">
                  <c:v>2062</c:v>
                </c:pt>
                <c:pt idx="57">
                  <c:v>2063</c:v>
                </c:pt>
                <c:pt idx="58">
                  <c:v>2064</c:v>
                </c:pt>
                <c:pt idx="59">
                  <c:v>2065</c:v>
                </c:pt>
              </c:numCache>
            </c:numRef>
          </c:cat>
          <c:val>
            <c:numRef>
              <c:f>'Fig 15 data'!$D$7:$D$66</c:f>
              <c:numCache>
                <c:formatCode>0.0</c:formatCode>
                <c:ptCount val="60"/>
                <c:pt idx="0">
                  <c:v>5.35153683716565</c:v>
                </c:pt>
                <c:pt idx="1">
                  <c:v>5.2446338864362918</c:v>
                </c:pt>
                <c:pt idx="2">
                  <c:v>5.1932942538177196</c:v>
                </c:pt>
                <c:pt idx="3">
                  <c:v>5.1078872162659046</c:v>
                </c:pt>
                <c:pt idx="4">
                  <c:v>5.014001382414973</c:v>
                </c:pt>
                <c:pt idx="5">
                  <c:v>4.906809727197575</c:v>
                </c:pt>
                <c:pt idx="6">
                  <c:v>4.7403475063356133</c:v>
                </c:pt>
                <c:pt idx="7">
                  <c:v>4.5952133693342496</c:v>
                </c:pt>
                <c:pt idx="8">
                  <c:v>4.4631463486227192</c:v>
                </c:pt>
                <c:pt idx="9">
                  <c:v>4.3393027983735948</c:v>
                </c:pt>
                <c:pt idx="10">
                  <c:v>4.2256484567453994</c:v>
                </c:pt>
                <c:pt idx="11">
                  <c:v>4.1127599775154575</c:v>
                </c:pt>
                <c:pt idx="12">
                  <c:v>4.0076801353231657</c:v>
                </c:pt>
                <c:pt idx="13">
                  <c:v>3.9042016806722692</c:v>
                </c:pt>
                <c:pt idx="14">
                  <c:v>3.8005724700929302</c:v>
                </c:pt>
                <c:pt idx="15">
                  <c:v>3.6935231033367337</c:v>
                </c:pt>
                <c:pt idx="16">
                  <c:v>3.5872818706962044</c:v>
                </c:pt>
                <c:pt idx="17">
                  <c:v>3.4837023262341673</c:v>
                </c:pt>
                <c:pt idx="18">
                  <c:v>3.3735972550929123</c:v>
                </c:pt>
                <c:pt idx="19">
                  <c:v>3.2678495013002404</c:v>
                </c:pt>
                <c:pt idx="20">
                  <c:v>3.1596464576715921</c:v>
                </c:pt>
                <c:pt idx="21">
                  <c:v>3.0540974329955244</c:v>
                </c:pt>
                <c:pt idx="22">
                  <c:v>2.9567196358699994</c:v>
                </c:pt>
                <c:pt idx="23">
                  <c:v>2.8697956608260933</c:v>
                </c:pt>
                <c:pt idx="24">
                  <c:v>2.7963189254217702</c:v>
                </c:pt>
                <c:pt idx="25">
                  <c:v>2.7307756432818953</c:v>
                </c:pt>
                <c:pt idx="26">
                  <c:v>2.6676393558501816</c:v>
                </c:pt>
                <c:pt idx="27">
                  <c:v>2.60815200028398</c:v>
                </c:pt>
                <c:pt idx="28">
                  <c:v>2.5518003130979299</c:v>
                </c:pt>
                <c:pt idx="29">
                  <c:v>2.5002048340843914</c:v>
                </c:pt>
                <c:pt idx="30">
                  <c:v>2.4486151939231009</c:v>
                </c:pt>
                <c:pt idx="31">
                  <c:v>2.4019472289434267</c:v>
                </c:pt>
                <c:pt idx="32">
                  <c:v>2.3653679232273088</c:v>
                </c:pt>
                <c:pt idx="33">
                  <c:v>2.3361943916844981</c:v>
                </c:pt>
                <c:pt idx="34">
                  <c:v>2.3149200654082458</c:v>
                </c:pt>
                <c:pt idx="35">
                  <c:v>2.3011373040455867</c:v>
                </c:pt>
                <c:pt idx="36">
                  <c:v>2.2886819932972093</c:v>
                </c:pt>
                <c:pt idx="37">
                  <c:v>2.2804394405703379</c:v>
                </c:pt>
                <c:pt idx="38">
                  <c:v>2.2701529781924705</c:v>
                </c:pt>
                <c:pt idx="39">
                  <c:v>2.260506469671967</c:v>
                </c:pt>
                <c:pt idx="40">
                  <c:v>2.2505755594437793</c:v>
                </c:pt>
                <c:pt idx="41">
                  <c:v>2.2415853537398851</c:v>
                </c:pt>
                <c:pt idx="42">
                  <c:v>2.2329223744292239</c:v>
                </c:pt>
                <c:pt idx="43">
                  <c:v>2.226042828209271</c:v>
                </c:pt>
                <c:pt idx="44">
                  <c:v>2.2203544977947907</c:v>
                </c:pt>
                <c:pt idx="45">
                  <c:v>2.2147481851522057</c:v>
                </c:pt>
                <c:pt idx="46">
                  <c:v>2.2086617433395817</c:v>
                </c:pt>
                <c:pt idx="47">
                  <c:v>2.198469617404351</c:v>
                </c:pt>
                <c:pt idx="48">
                  <c:v>2.1868731409097024</c:v>
                </c:pt>
                <c:pt idx="49">
                  <c:v>2.1706027572463227</c:v>
                </c:pt>
                <c:pt idx="50">
                  <c:v>2.1526321238924964</c:v>
                </c:pt>
                <c:pt idx="51">
                  <c:v>2.1384516803782785</c:v>
                </c:pt>
                <c:pt idx="52">
                  <c:v>2.1258578044609502</c:v>
                </c:pt>
                <c:pt idx="53">
                  <c:v>2.1157480948999687</c:v>
                </c:pt>
                <c:pt idx="54">
                  <c:v>2.1059303777594405</c:v>
                </c:pt>
                <c:pt idx="55">
                  <c:v>2.0981731498221263</c:v>
                </c:pt>
                <c:pt idx="56">
                  <c:v>2.0909183554623807</c:v>
                </c:pt>
                <c:pt idx="57">
                  <c:v>2.0820268797675263</c:v>
                </c:pt>
                <c:pt idx="58">
                  <c:v>2.0769884136248802</c:v>
                </c:pt>
                <c:pt idx="59">
                  <c:v>2.0682167284952468</c:v>
                </c:pt>
              </c:numCache>
            </c:numRef>
          </c:val>
          <c:smooth val="0"/>
          <c:extLst>
            <c:ext xmlns:c16="http://schemas.microsoft.com/office/drawing/2014/chart" uri="{C3380CC4-5D6E-409C-BE32-E72D297353CC}">
              <c16:uniqueId val="{00000001-B34D-4A73-90F3-38D39E9C5259}"/>
            </c:ext>
          </c:extLst>
        </c:ser>
        <c:dLbls>
          <c:showLegendKey val="0"/>
          <c:showVal val="0"/>
          <c:showCatName val="0"/>
          <c:showSerName val="0"/>
          <c:showPercent val="0"/>
          <c:showBubbleSize val="0"/>
        </c:dLbls>
        <c:smooth val="0"/>
        <c:axId val="952879615"/>
        <c:axId val="952880095"/>
      </c:lineChart>
      <c:catAx>
        <c:axId val="952879615"/>
        <c:scaling>
          <c:orientation val="minMax"/>
        </c:scaling>
        <c:delete val="0"/>
        <c:axPos val="b"/>
        <c:title>
          <c:tx>
            <c:rich>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r>
                  <a:rPr lang="en-NZ" b="1"/>
                  <a:t>Year ending 30 June</a:t>
                </a:r>
              </a:p>
            </c:rich>
          </c:tx>
          <c:layout>
            <c:manualLayout>
              <c:xMode val="edge"/>
              <c:yMode val="edge"/>
              <c:x val="0.30792236807585338"/>
              <c:y val="0.81814146539449517"/>
            </c:manualLayout>
          </c:layout>
          <c:overlay val="0"/>
          <c:spPr>
            <a:noFill/>
            <a:ln>
              <a:noFill/>
            </a:ln>
            <a:effectLst/>
          </c:spPr>
          <c:txPr>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952880095"/>
        <c:crosses val="autoZero"/>
        <c:auto val="1"/>
        <c:lblAlgn val="ctr"/>
        <c:lblOffset val="100"/>
        <c:tickLblSkip val="10"/>
        <c:tickMarkSkip val="10"/>
        <c:noMultiLvlLbl val="0"/>
      </c:catAx>
      <c:valAx>
        <c:axId val="952880095"/>
        <c:scaling>
          <c:orientation val="minMax"/>
          <c:max val="6"/>
          <c:min val="1"/>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r>
                  <a:rPr lang="en-NZ" b="1"/>
                  <a:t>Ratio</a:t>
                </a:r>
              </a:p>
            </c:rich>
          </c:tx>
          <c:layout>
            <c:manualLayout>
              <c:xMode val="edge"/>
              <c:yMode val="edge"/>
              <c:x val="4.6581275921811927E-4"/>
              <c:y val="2.0518755028964691E-3"/>
            </c:manualLayout>
          </c:layout>
          <c:overlay val="0"/>
          <c:spPr>
            <a:noFill/>
            <a:ln>
              <a:noFill/>
            </a:ln>
            <a:effectLst/>
          </c:spPr>
          <c:txPr>
            <a:bodyPr rot="0" spcFirstLastPara="1" vertOverflow="ellipsis"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952879615"/>
        <c:crosses val="autoZero"/>
        <c:crossBetween val="between"/>
        <c:majorUnit val="1"/>
      </c:valAx>
      <c:spPr>
        <a:noFill/>
        <a:ln>
          <a:noFill/>
        </a:ln>
        <a:effectLst/>
      </c:spPr>
    </c:plotArea>
    <c:legend>
      <c:legendPos val="b"/>
      <c:layout>
        <c:manualLayout>
          <c:xMode val="edge"/>
          <c:yMode val="edge"/>
          <c:x val="0.15847781494602642"/>
          <c:y val="0.89544230741264175"/>
          <c:w val="0.6785669991863631"/>
          <c:h val="9.8296931750361818E-2"/>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800" baseline="0">
          <a:solidFill>
            <a:sysClr val="windowText" lastClr="000000"/>
          </a:solidFill>
          <a:latin typeface="Arial" panose="020B0604020202020204" pitchFamily="34" charset="0"/>
        </a:defRPr>
      </a:pPr>
      <a:endParaRPr lang="en-US"/>
    </a:p>
  </c:txPr>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787512509333168E-2"/>
          <c:y val="0.10838985422831247"/>
          <c:w val="0.88751917954075998"/>
          <c:h val="0.61729705733823204"/>
        </c:manualLayout>
      </c:layout>
      <c:lineChart>
        <c:grouping val="standard"/>
        <c:varyColors val="0"/>
        <c:ser>
          <c:idx val="0"/>
          <c:order val="0"/>
          <c:tx>
            <c:strRef>
              <c:f>'Fig 16 data'!$C$6</c:f>
              <c:strCache>
                <c:ptCount val="1"/>
                <c:pt idx="0">
                  <c:v>LTFS 2025</c:v>
                </c:pt>
              </c:strCache>
            </c:strRef>
          </c:tx>
          <c:spPr>
            <a:ln w="38100" cap="rnd">
              <a:solidFill>
                <a:srgbClr val="0083AC"/>
              </a:solidFill>
              <a:round/>
            </a:ln>
            <a:effectLst/>
          </c:spPr>
          <c:marker>
            <c:symbol val="none"/>
          </c:marker>
          <c:cat>
            <c:numRef>
              <c:f>'Fig 16 data'!$B$8:$B$67</c:f>
              <c:numCache>
                <c:formatCode>General</c:formatCode>
                <c:ptCount val="6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pt idx="26">
                  <c:v>2032</c:v>
                </c:pt>
                <c:pt idx="27">
                  <c:v>2033</c:v>
                </c:pt>
                <c:pt idx="28">
                  <c:v>2034</c:v>
                </c:pt>
                <c:pt idx="29">
                  <c:v>2035</c:v>
                </c:pt>
                <c:pt idx="30">
                  <c:v>2036</c:v>
                </c:pt>
                <c:pt idx="31">
                  <c:v>2037</c:v>
                </c:pt>
                <c:pt idx="32">
                  <c:v>2038</c:v>
                </c:pt>
                <c:pt idx="33">
                  <c:v>2039</c:v>
                </c:pt>
                <c:pt idx="34">
                  <c:v>2040</c:v>
                </c:pt>
                <c:pt idx="35">
                  <c:v>2041</c:v>
                </c:pt>
                <c:pt idx="36">
                  <c:v>2042</c:v>
                </c:pt>
                <c:pt idx="37">
                  <c:v>2043</c:v>
                </c:pt>
                <c:pt idx="38">
                  <c:v>2044</c:v>
                </c:pt>
                <c:pt idx="39">
                  <c:v>2045</c:v>
                </c:pt>
                <c:pt idx="40">
                  <c:v>2046</c:v>
                </c:pt>
                <c:pt idx="41">
                  <c:v>2047</c:v>
                </c:pt>
                <c:pt idx="42">
                  <c:v>2048</c:v>
                </c:pt>
                <c:pt idx="43">
                  <c:v>2049</c:v>
                </c:pt>
                <c:pt idx="44">
                  <c:v>2050</c:v>
                </c:pt>
                <c:pt idx="45">
                  <c:v>2051</c:v>
                </c:pt>
                <c:pt idx="46">
                  <c:v>2052</c:v>
                </c:pt>
                <c:pt idx="47">
                  <c:v>2053</c:v>
                </c:pt>
                <c:pt idx="48">
                  <c:v>2054</c:v>
                </c:pt>
                <c:pt idx="49">
                  <c:v>2055</c:v>
                </c:pt>
                <c:pt idx="50">
                  <c:v>2056</c:v>
                </c:pt>
                <c:pt idx="51">
                  <c:v>2057</c:v>
                </c:pt>
                <c:pt idx="52">
                  <c:v>2058</c:v>
                </c:pt>
                <c:pt idx="53">
                  <c:v>2059</c:v>
                </c:pt>
                <c:pt idx="54">
                  <c:v>2060</c:v>
                </c:pt>
                <c:pt idx="55">
                  <c:v>2061</c:v>
                </c:pt>
                <c:pt idx="56">
                  <c:v>2062</c:v>
                </c:pt>
                <c:pt idx="57">
                  <c:v>2063</c:v>
                </c:pt>
                <c:pt idx="58">
                  <c:v>2064</c:v>
                </c:pt>
                <c:pt idx="59">
                  <c:v>2065</c:v>
                </c:pt>
              </c:numCache>
            </c:numRef>
          </c:cat>
          <c:val>
            <c:numRef>
              <c:f>'Fig 16 data'!$C$8:$C$67</c:f>
              <c:numCache>
                <c:formatCode>0.0</c:formatCode>
                <c:ptCount val="60"/>
                <c:pt idx="0">
                  <c:v>2.8928904574015704</c:v>
                </c:pt>
                <c:pt idx="1">
                  <c:v>2.9345872781552806</c:v>
                </c:pt>
                <c:pt idx="2">
                  <c:v>2.9429787287605538</c:v>
                </c:pt>
                <c:pt idx="3">
                  <c:v>2.9431281149077972</c:v>
                </c:pt>
                <c:pt idx="4" formatCode="#,##0.0">
                  <c:v>2.9423223748925675</c:v>
                </c:pt>
                <c:pt idx="5" formatCode="#,##0.0">
                  <c:v>2.94736309540367</c:v>
                </c:pt>
                <c:pt idx="6" formatCode="#,##0.0">
                  <c:v>2.9492728933959533</c:v>
                </c:pt>
                <c:pt idx="7" formatCode="#,##0.0">
                  <c:v>2.9505250945844459</c:v>
                </c:pt>
                <c:pt idx="8" formatCode="#,##0.0">
                  <c:v>2.9631628952966658</c:v>
                </c:pt>
                <c:pt idx="9" formatCode="#,##0.0">
                  <c:v>3.0011719904247753</c:v>
                </c:pt>
                <c:pt idx="10" formatCode="#,##0.0">
                  <c:v>3.0541419613083134</c:v>
                </c:pt>
                <c:pt idx="11" formatCode="#,##0.0">
                  <c:v>3.1140159725822252</c:v>
                </c:pt>
                <c:pt idx="12" formatCode="#,##0.0">
                  <c:v>3.1452579386823678</c:v>
                </c:pt>
                <c:pt idx="13" formatCode="#,##0.0">
                  <c:v>3.1859400611002169</c:v>
                </c:pt>
                <c:pt idx="14" formatCode="#,##0.0">
                  <c:v>3.1925662458180479</c:v>
                </c:pt>
                <c:pt idx="15" formatCode="#,##0.0">
                  <c:v>3.2338765287955376</c:v>
                </c:pt>
                <c:pt idx="16" formatCode="#,##0.0">
                  <c:v>3.2287255625232687</c:v>
                </c:pt>
                <c:pt idx="17" formatCode="#,##0.0">
                  <c:v>3.2238617439523458</c:v>
                </c:pt>
                <c:pt idx="18" formatCode="#,##0.0">
                  <c:v>3.2850246074244254</c:v>
                </c:pt>
                <c:pt idx="19" formatCode="#,##0.0">
                  <c:v>3.3288716931235833</c:v>
                </c:pt>
                <c:pt idx="20" formatCode="#,##0.0">
                  <c:v>3.3396987339478224</c:v>
                </c:pt>
                <c:pt idx="21" formatCode="#,##0.0">
                  <c:v>3.3457804064769214</c:v>
                </c:pt>
                <c:pt idx="22" formatCode="#,##0.0">
                  <c:v>3.3522186194207895</c:v>
                </c:pt>
                <c:pt idx="23" formatCode="#,##0.0">
                  <c:v>3.3595627547186524</c:v>
                </c:pt>
                <c:pt idx="24" formatCode="#,##0.0">
                  <c:v>3.4046394005433029</c:v>
                </c:pt>
                <c:pt idx="25" formatCode="#,##0.0">
                  <c:v>3.4479653862317634</c:v>
                </c:pt>
                <c:pt idx="26" formatCode="#,##0.0">
                  <c:v>3.4917398739615622</c:v>
                </c:pt>
                <c:pt idx="27" formatCode="#,##0.0">
                  <c:v>3.5310019858753594</c:v>
                </c:pt>
                <c:pt idx="28" formatCode="#,##0.0">
                  <c:v>3.5701258992887297</c:v>
                </c:pt>
                <c:pt idx="29" formatCode="#,##0.0">
                  <c:v>3.6039033573081296</c:v>
                </c:pt>
                <c:pt idx="30" formatCode="#,##0.0">
                  <c:v>3.6377403714947696</c:v>
                </c:pt>
                <c:pt idx="31" formatCode="#,##0.0">
                  <c:v>3.6694645934663832</c:v>
                </c:pt>
                <c:pt idx="32" formatCode="#,##0.0">
                  <c:v>3.6826442430561448</c:v>
                </c:pt>
                <c:pt idx="33" formatCode="#,##0.0">
                  <c:v>3.6955563638821269</c:v>
                </c:pt>
                <c:pt idx="34" formatCode="#,##0.0">
                  <c:v>3.7141745369928891</c:v>
                </c:pt>
                <c:pt idx="35" formatCode="#,##0.0">
                  <c:v>3.7327267323591999</c:v>
                </c:pt>
                <c:pt idx="36" formatCode="#,##0.0">
                  <c:v>3.7493621273984563</c:v>
                </c:pt>
                <c:pt idx="37" formatCode="#,##0.0">
                  <c:v>3.765211041753028</c:v>
                </c:pt>
                <c:pt idx="38" formatCode="#,##0.0">
                  <c:v>3.7775606076317159</c:v>
                </c:pt>
                <c:pt idx="39" formatCode="#,##0.0">
                  <c:v>3.7875794472251902</c:v>
                </c:pt>
                <c:pt idx="40" formatCode="#,##0.0">
                  <c:v>3.7957358672546269</c:v>
                </c:pt>
                <c:pt idx="41" formatCode="#,##0.0">
                  <c:v>3.8019224113810455</c:v>
                </c:pt>
                <c:pt idx="42" formatCode="#,##0.0">
                  <c:v>3.8064394226690572</c:v>
                </c:pt>
                <c:pt idx="43" formatCode="#,##0.0">
                  <c:v>3.8103391169010639</c:v>
                </c:pt>
                <c:pt idx="44" formatCode="#,##0.0">
                  <c:v>3.8141489560954511</c:v>
                </c:pt>
                <c:pt idx="45" formatCode="#,##0.0">
                  <c:v>3.8182320182970138</c:v>
                </c:pt>
                <c:pt idx="46" formatCode="#,##0.0">
                  <c:v>3.8213349921996866</c:v>
                </c:pt>
                <c:pt idx="47" formatCode="#,##0.0">
                  <c:v>3.823606238922495</c:v>
                </c:pt>
                <c:pt idx="48" formatCode="#,##0.0">
                  <c:v>3.8271537825628199</c:v>
                </c:pt>
                <c:pt idx="49" formatCode="#,##0.0">
                  <c:v>3.8302801609689863</c:v>
                </c:pt>
                <c:pt idx="50" formatCode="#,##0.0">
                  <c:v>3.8343217740267632</c:v>
                </c:pt>
                <c:pt idx="51" formatCode="#,##0.0">
                  <c:v>3.8409158594244217</c:v>
                </c:pt>
                <c:pt idx="52" formatCode="#,##0.0">
                  <c:v>3.8502561254200356</c:v>
                </c:pt>
                <c:pt idx="53" formatCode="#,##0.0">
                  <c:v>3.8630453046435087</c:v>
                </c:pt>
                <c:pt idx="54" formatCode="#,##0.0">
                  <c:v>3.8771960102044929</c:v>
                </c:pt>
                <c:pt idx="55" formatCode="#,##0.0">
                  <c:v>3.8930397193255466</c:v>
                </c:pt>
                <c:pt idx="56" formatCode="#,##0.0">
                  <c:v>3.9104809108737877</c:v>
                </c:pt>
                <c:pt idx="57" formatCode="#,##0.0">
                  <c:v>3.9276564085103205</c:v>
                </c:pt>
                <c:pt idx="58" formatCode="#,##0.0">
                  <c:v>3.9457414587822899</c:v>
                </c:pt>
                <c:pt idx="59" formatCode="#,##0.0">
                  <c:v>3.9605852076001775</c:v>
                </c:pt>
              </c:numCache>
            </c:numRef>
          </c:val>
          <c:smooth val="0"/>
          <c:extLst>
            <c:ext xmlns:c16="http://schemas.microsoft.com/office/drawing/2014/chart" uri="{C3380CC4-5D6E-409C-BE32-E72D297353CC}">
              <c16:uniqueId val="{00000000-02D8-4937-896E-6E1829D4FE7C}"/>
            </c:ext>
          </c:extLst>
        </c:ser>
        <c:ser>
          <c:idx val="1"/>
          <c:order val="1"/>
          <c:tx>
            <c:strRef>
              <c:f>'Fig 16 data'!$D$6</c:f>
              <c:strCache>
                <c:ptCount val="1"/>
                <c:pt idx="0">
                  <c:v> LTFS 2006</c:v>
                </c:pt>
              </c:strCache>
            </c:strRef>
          </c:tx>
          <c:spPr>
            <a:ln w="38100" cap="rnd">
              <a:solidFill>
                <a:srgbClr val="3F403A"/>
              </a:solidFill>
              <a:round/>
            </a:ln>
            <a:effectLst/>
          </c:spPr>
          <c:marker>
            <c:symbol val="none"/>
          </c:marker>
          <c:cat>
            <c:numRef>
              <c:f>'Fig 16 data'!$B$8:$B$67</c:f>
              <c:numCache>
                <c:formatCode>General</c:formatCode>
                <c:ptCount val="6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pt idx="25">
                  <c:v>2031</c:v>
                </c:pt>
                <c:pt idx="26">
                  <c:v>2032</c:v>
                </c:pt>
                <c:pt idx="27">
                  <c:v>2033</c:v>
                </c:pt>
                <c:pt idx="28">
                  <c:v>2034</c:v>
                </c:pt>
                <c:pt idx="29">
                  <c:v>2035</c:v>
                </c:pt>
                <c:pt idx="30">
                  <c:v>2036</c:v>
                </c:pt>
                <c:pt idx="31">
                  <c:v>2037</c:v>
                </c:pt>
                <c:pt idx="32">
                  <c:v>2038</c:v>
                </c:pt>
                <c:pt idx="33">
                  <c:v>2039</c:v>
                </c:pt>
                <c:pt idx="34">
                  <c:v>2040</c:v>
                </c:pt>
                <c:pt idx="35">
                  <c:v>2041</c:v>
                </c:pt>
                <c:pt idx="36">
                  <c:v>2042</c:v>
                </c:pt>
                <c:pt idx="37">
                  <c:v>2043</c:v>
                </c:pt>
                <c:pt idx="38">
                  <c:v>2044</c:v>
                </c:pt>
                <c:pt idx="39">
                  <c:v>2045</c:v>
                </c:pt>
                <c:pt idx="40">
                  <c:v>2046</c:v>
                </c:pt>
                <c:pt idx="41">
                  <c:v>2047</c:v>
                </c:pt>
                <c:pt idx="42">
                  <c:v>2048</c:v>
                </c:pt>
                <c:pt idx="43">
                  <c:v>2049</c:v>
                </c:pt>
                <c:pt idx="44">
                  <c:v>2050</c:v>
                </c:pt>
                <c:pt idx="45">
                  <c:v>2051</c:v>
                </c:pt>
                <c:pt idx="46">
                  <c:v>2052</c:v>
                </c:pt>
                <c:pt idx="47">
                  <c:v>2053</c:v>
                </c:pt>
                <c:pt idx="48">
                  <c:v>2054</c:v>
                </c:pt>
                <c:pt idx="49">
                  <c:v>2055</c:v>
                </c:pt>
                <c:pt idx="50">
                  <c:v>2056</c:v>
                </c:pt>
                <c:pt idx="51">
                  <c:v>2057</c:v>
                </c:pt>
                <c:pt idx="52">
                  <c:v>2058</c:v>
                </c:pt>
                <c:pt idx="53">
                  <c:v>2059</c:v>
                </c:pt>
                <c:pt idx="54">
                  <c:v>2060</c:v>
                </c:pt>
                <c:pt idx="55">
                  <c:v>2061</c:v>
                </c:pt>
                <c:pt idx="56">
                  <c:v>2062</c:v>
                </c:pt>
                <c:pt idx="57">
                  <c:v>2063</c:v>
                </c:pt>
                <c:pt idx="58">
                  <c:v>2064</c:v>
                </c:pt>
                <c:pt idx="59">
                  <c:v>2065</c:v>
                </c:pt>
              </c:numCache>
            </c:numRef>
          </c:cat>
          <c:val>
            <c:numRef>
              <c:f>'Fig 16 data'!$D$8:$D$67</c:f>
              <c:numCache>
                <c:formatCode>0.0</c:formatCode>
                <c:ptCount val="60"/>
                <c:pt idx="0">
                  <c:v>3.1168036987268541</c:v>
                </c:pt>
                <c:pt idx="1">
                  <c:v>3.1523109123557465</c:v>
                </c:pt>
                <c:pt idx="2">
                  <c:v>3.1945430116787819</c:v>
                </c:pt>
                <c:pt idx="3">
                  <c:v>3.2320007371318664</c:v>
                </c:pt>
                <c:pt idx="4">
                  <c:v>3.2705402249684976</c:v>
                </c:pt>
                <c:pt idx="5">
                  <c:v>3.3044804509446872</c:v>
                </c:pt>
                <c:pt idx="6">
                  <c:v>3.331148953010604</c:v>
                </c:pt>
                <c:pt idx="7">
                  <c:v>3.3649881835411937</c:v>
                </c:pt>
                <c:pt idx="8">
                  <c:v>3.3914630853574068</c:v>
                </c:pt>
                <c:pt idx="9">
                  <c:v>3.4280282006164455</c:v>
                </c:pt>
                <c:pt idx="10">
                  <c:v>3.4623385258358663</c:v>
                </c:pt>
                <c:pt idx="11">
                  <c:v>3.4849249821386041</c:v>
                </c:pt>
                <c:pt idx="12">
                  <c:v>3.5121400136283754</c:v>
                </c:pt>
                <c:pt idx="13">
                  <c:v>3.5513036569805232</c:v>
                </c:pt>
                <c:pt idx="14">
                  <c:v>3.5867695513131119</c:v>
                </c:pt>
                <c:pt idx="15">
                  <c:v>3.6144246807163647</c:v>
                </c:pt>
                <c:pt idx="16">
                  <c:v>3.6346652003910069</c:v>
                </c:pt>
                <c:pt idx="17">
                  <c:v>3.6488105446260137</c:v>
                </c:pt>
                <c:pt idx="18">
                  <c:v>3.6552684530820576</c:v>
                </c:pt>
                <c:pt idx="19">
                  <c:v>3.6566804999631657</c:v>
                </c:pt>
                <c:pt idx="20">
                  <c:v>3.652279090328602</c:v>
                </c:pt>
                <c:pt idx="21">
                  <c:v>3.6432735618640844</c:v>
                </c:pt>
                <c:pt idx="22">
                  <c:v>3.6320565010544903</c:v>
                </c:pt>
                <c:pt idx="23">
                  <c:v>3.6202348734401979</c:v>
                </c:pt>
                <c:pt idx="24">
                  <c:v>3.6097164308685605</c:v>
                </c:pt>
                <c:pt idx="25">
                  <c:v>3.5987012352912457</c:v>
                </c:pt>
                <c:pt idx="26">
                  <c:v>3.5884726505833155</c:v>
                </c:pt>
                <c:pt idx="27">
                  <c:v>3.5798314209846769</c:v>
                </c:pt>
                <c:pt idx="28">
                  <c:v>3.5725452951490357</c:v>
                </c:pt>
                <c:pt idx="29">
                  <c:v>3.5674846252207271</c:v>
                </c:pt>
                <c:pt idx="30">
                  <c:v>3.562731526613375</c:v>
                </c:pt>
                <c:pt idx="31">
                  <c:v>3.5605045810001341</c:v>
                </c:pt>
                <c:pt idx="32">
                  <c:v>3.5631400151526256</c:v>
                </c:pt>
                <c:pt idx="33">
                  <c:v>3.5695148531824752</c:v>
                </c:pt>
                <c:pt idx="34">
                  <c:v>3.5794557706233965</c:v>
                </c:pt>
                <c:pt idx="35">
                  <c:v>3.59329501679938</c:v>
                </c:pt>
                <c:pt idx="36">
                  <c:v>3.6077639943220392</c:v>
                </c:pt>
                <c:pt idx="37">
                  <c:v>3.6239738494112399</c:v>
                </c:pt>
                <c:pt idx="38">
                  <c:v>3.6390921400797547</c:v>
                </c:pt>
                <c:pt idx="39">
                  <c:v>3.6539693619355083</c:v>
                </c:pt>
                <c:pt idx="40">
                  <c:v>3.6679132011756614</c:v>
                </c:pt>
                <c:pt idx="41">
                  <c:v>3.6814873378008683</c:v>
                </c:pt>
                <c:pt idx="42">
                  <c:v>3.6944056208212146</c:v>
                </c:pt>
                <c:pt idx="43">
                  <c:v>3.7069033032274361</c:v>
                </c:pt>
                <c:pt idx="44">
                  <c:v>3.7191226225021223</c:v>
                </c:pt>
                <c:pt idx="45">
                  <c:v>3.7293705049683603</c:v>
                </c:pt>
                <c:pt idx="46">
                  <c:v>3.7380967548766035</c:v>
                </c:pt>
                <c:pt idx="47">
                  <c:v>3.7425418880261545</c:v>
                </c:pt>
                <c:pt idx="48">
                  <c:v>3.744567582094136</c:v>
                </c:pt>
                <c:pt idx="49">
                  <c:v>3.7423014794492451</c:v>
                </c:pt>
                <c:pt idx="50">
                  <c:v>3.7368373753065183</c:v>
                </c:pt>
                <c:pt idx="51">
                  <c:v>3.7321678771129254</c:v>
                </c:pt>
                <c:pt idx="52">
                  <c:v>3.7262610798780411</c:v>
                </c:pt>
                <c:pt idx="53">
                  <c:v>3.7210134665396395</c:v>
                </c:pt>
                <c:pt idx="54">
                  <c:v>3.7145175625024147</c:v>
                </c:pt>
                <c:pt idx="55">
                  <c:v>3.7088165558476369</c:v>
                </c:pt>
                <c:pt idx="56">
                  <c:v>3.7029082658691279</c:v>
                </c:pt>
                <c:pt idx="57">
                  <c:v>3.6957547778093005</c:v>
                </c:pt>
                <c:pt idx="58">
                  <c:v>3.6910542883682522</c:v>
                </c:pt>
                <c:pt idx="59">
                  <c:v>3.6848036557973818</c:v>
                </c:pt>
              </c:numCache>
            </c:numRef>
          </c:val>
          <c:smooth val="0"/>
          <c:extLst>
            <c:ext xmlns:c16="http://schemas.microsoft.com/office/drawing/2014/chart" uri="{C3380CC4-5D6E-409C-BE32-E72D297353CC}">
              <c16:uniqueId val="{00000001-02D8-4937-896E-6E1829D4FE7C}"/>
            </c:ext>
          </c:extLst>
        </c:ser>
        <c:dLbls>
          <c:showLegendKey val="0"/>
          <c:showVal val="0"/>
          <c:showCatName val="0"/>
          <c:showSerName val="0"/>
          <c:showPercent val="0"/>
          <c:showBubbleSize val="0"/>
        </c:dLbls>
        <c:smooth val="0"/>
        <c:axId val="952639615"/>
        <c:axId val="952637215"/>
      </c:lineChart>
      <c:catAx>
        <c:axId val="952639615"/>
        <c:scaling>
          <c:orientation val="minMax"/>
        </c:scaling>
        <c:delete val="0"/>
        <c:axPos val="b"/>
        <c:title>
          <c:tx>
            <c:rich>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r>
                  <a:rPr lang="en-NZ" b="1"/>
                  <a:t>Year ending 30 June</a:t>
                </a:r>
              </a:p>
            </c:rich>
          </c:tx>
          <c:layout>
            <c:manualLayout>
              <c:xMode val="edge"/>
              <c:yMode val="edge"/>
              <c:x val="0.32004087037696155"/>
              <c:y val="0.82585142175768522"/>
            </c:manualLayout>
          </c:layout>
          <c:overlay val="0"/>
          <c:spPr>
            <a:noFill/>
            <a:ln>
              <a:noFill/>
            </a:ln>
            <a:effectLst/>
          </c:spPr>
          <c:txPr>
            <a:bodyPr rot="0" spcFirstLastPara="1" vertOverflow="ellipsis" vert="horz"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952637215"/>
        <c:crosses val="autoZero"/>
        <c:auto val="1"/>
        <c:lblAlgn val="ctr"/>
        <c:lblOffset val="100"/>
        <c:tickLblSkip val="10"/>
        <c:tickMarkSkip val="10"/>
        <c:noMultiLvlLbl val="0"/>
      </c:catAx>
      <c:valAx>
        <c:axId val="952637215"/>
        <c:scaling>
          <c:orientation val="minMax"/>
          <c:max val="6"/>
          <c:min val="1"/>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r>
                  <a:rPr lang="en-NZ" b="1"/>
                  <a:t>Ratio</a:t>
                </a:r>
              </a:p>
            </c:rich>
          </c:tx>
          <c:layout>
            <c:manualLayout>
              <c:xMode val="edge"/>
              <c:yMode val="edge"/>
              <c:x val="1.1841504229870654E-3"/>
              <c:y val="1.4478022355443646E-3"/>
            </c:manualLayout>
          </c:layout>
          <c:overlay val="0"/>
          <c:spPr>
            <a:noFill/>
            <a:ln>
              <a:noFill/>
            </a:ln>
            <a:effectLst/>
          </c:spPr>
          <c:txPr>
            <a:bodyPr rot="0" spcFirstLastPara="1" vertOverflow="ellipsis" wrap="square" anchor="ctr" anchorCtr="1"/>
            <a:lstStyle/>
            <a:p>
              <a:pPr>
                <a:defRPr sz="2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952639615"/>
        <c:crosses val="autoZero"/>
        <c:crossBetween val="between"/>
        <c:majorUnit val="1"/>
      </c:valAx>
      <c:spPr>
        <a:noFill/>
        <a:ln>
          <a:noFill/>
        </a:ln>
        <a:effectLst/>
      </c:spPr>
    </c:plotArea>
    <c:legend>
      <c:legendPos val="b"/>
      <c:layout>
        <c:manualLayout>
          <c:xMode val="edge"/>
          <c:yMode val="edge"/>
          <c:x val="0.15967000683507701"/>
          <c:y val="0.90368647492514775"/>
          <c:w val="0.68339703435458632"/>
          <c:h val="9.6313525074852219E-2"/>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800" baseline="0">
          <a:solidFill>
            <a:sysClr val="windowText" lastClr="000000"/>
          </a:solidFill>
          <a:latin typeface="Arial" panose="020B0604020202020204" pitchFamily="34" charset="0"/>
        </a:defRPr>
      </a:pPr>
      <a:endParaRPr lang="en-US"/>
    </a:p>
  </c:txPr>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493951764921317E-2"/>
          <c:y val="8.5531496062992124E-2"/>
          <c:w val="0.91373967275978329"/>
          <c:h val="0.60332313240256741"/>
        </c:manualLayout>
      </c:layout>
      <c:barChart>
        <c:barDir val="col"/>
        <c:grouping val="stacked"/>
        <c:varyColors val="0"/>
        <c:ser>
          <c:idx val="2"/>
          <c:order val="0"/>
          <c:tx>
            <c:strRef>
              <c:f>'Fig 17 data'!$E$5</c:f>
              <c:strCache>
                <c:ptCount val="1"/>
                <c:pt idx="0">
                  <c:v>Mental health</c:v>
                </c:pt>
              </c:strCache>
            </c:strRef>
          </c:tx>
          <c:spPr>
            <a:solidFill>
              <a:srgbClr val="3E403A"/>
            </a:solidFill>
            <a:ln>
              <a:noFill/>
            </a:ln>
            <a:effectLst/>
          </c:spPr>
          <c:invertIfNegative val="0"/>
          <c:cat>
            <c:strRef>
              <c:f>'Fig 17 data'!$B$7:$B$25</c:f>
              <c:strCache>
                <c:ptCount val="19"/>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c:v>
                </c:pt>
              </c:strCache>
            </c:strRef>
          </c:cat>
          <c:val>
            <c:numRef>
              <c:f>'Fig 17 data'!$E$7:$E$25</c:f>
              <c:numCache>
                <c:formatCode>0.0</c:formatCode>
                <c:ptCount val="19"/>
                <c:pt idx="0">
                  <c:v>0</c:v>
                </c:pt>
                <c:pt idx="1">
                  <c:v>3.5898417958979398E-2</c:v>
                </c:pt>
                <c:pt idx="2">
                  <c:v>0.13464164641166598</c:v>
                </c:pt>
                <c:pt idx="3">
                  <c:v>0.55607080588919</c:v>
                </c:pt>
                <c:pt idx="4">
                  <c:v>0.46000600961538402</c:v>
                </c:pt>
                <c:pt idx="5">
                  <c:v>0.45795442184270596</c:v>
                </c:pt>
                <c:pt idx="6">
                  <c:v>0.430318192039577</c:v>
                </c:pt>
                <c:pt idx="7">
                  <c:v>0.45946792464446201</c:v>
                </c:pt>
                <c:pt idx="8">
                  <c:v>0.61038683114177794</c:v>
                </c:pt>
                <c:pt idx="9">
                  <c:v>0.56150968309859106</c:v>
                </c:pt>
                <c:pt idx="10">
                  <c:v>0.53586625677238597</c:v>
                </c:pt>
                <c:pt idx="11">
                  <c:v>0.38209974587039303</c:v>
                </c:pt>
                <c:pt idx="12">
                  <c:v>0.37214543686623103</c:v>
                </c:pt>
                <c:pt idx="13">
                  <c:v>0.29593744912908998</c:v>
                </c:pt>
                <c:pt idx="14">
                  <c:v>0.203046927751519</c:v>
                </c:pt>
                <c:pt idx="15">
                  <c:v>0.205683192261185</c:v>
                </c:pt>
                <c:pt idx="16">
                  <c:v>0.22876569037656902</c:v>
                </c:pt>
                <c:pt idx="17">
                  <c:v>0.17845430525334099</c:v>
                </c:pt>
                <c:pt idx="18">
                  <c:v>0.18095744680851</c:v>
                </c:pt>
              </c:numCache>
            </c:numRef>
          </c:val>
          <c:extLst>
            <c:ext xmlns:c16="http://schemas.microsoft.com/office/drawing/2014/chart" uri="{C3380CC4-5D6E-409C-BE32-E72D297353CC}">
              <c16:uniqueId val="{00000002-0486-4572-99CE-2FA50CA57C15}"/>
            </c:ext>
          </c:extLst>
        </c:ser>
        <c:ser>
          <c:idx val="4"/>
          <c:order val="1"/>
          <c:tx>
            <c:strRef>
              <c:f>'Fig 17 data'!$G$5</c:f>
              <c:strCache>
                <c:ptCount val="1"/>
                <c:pt idx="0">
                  <c:v>Primary</c:v>
                </c:pt>
              </c:strCache>
            </c:strRef>
          </c:tx>
          <c:spPr>
            <a:solidFill>
              <a:srgbClr val="00B5E4"/>
            </a:solidFill>
            <a:ln>
              <a:noFill/>
            </a:ln>
            <a:effectLst/>
          </c:spPr>
          <c:invertIfNegative val="0"/>
          <c:cat>
            <c:strRef>
              <c:f>'Fig 17 data'!$B$7:$B$25</c:f>
              <c:strCache>
                <c:ptCount val="19"/>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c:v>
                </c:pt>
              </c:strCache>
            </c:strRef>
          </c:cat>
          <c:val>
            <c:numRef>
              <c:f>'Fig 17 data'!$G$7:$G$25</c:f>
              <c:numCache>
                <c:formatCode>0.0</c:formatCode>
                <c:ptCount val="19"/>
                <c:pt idx="0">
                  <c:v>0.52551591842229195</c:v>
                </c:pt>
                <c:pt idx="1">
                  <c:v>0.23248499249624799</c:v>
                </c:pt>
                <c:pt idx="2">
                  <c:v>0.237808622233593</c:v>
                </c:pt>
                <c:pt idx="3">
                  <c:v>0.36012204571871304</c:v>
                </c:pt>
                <c:pt idx="4">
                  <c:v>0.48123705621301699</c:v>
                </c:pt>
                <c:pt idx="5">
                  <c:v>0.44487000979005697</c:v>
                </c:pt>
                <c:pt idx="6">
                  <c:v>0.52252923319091493</c:v>
                </c:pt>
                <c:pt idx="7">
                  <c:v>0.64089884873483904</c:v>
                </c:pt>
                <c:pt idx="8">
                  <c:v>0.871269365967972</c:v>
                </c:pt>
                <c:pt idx="9">
                  <c:v>0.87274647887323897</c:v>
                </c:pt>
                <c:pt idx="10">
                  <c:v>1.01847872405186</c:v>
                </c:pt>
                <c:pt idx="11">
                  <c:v>1.0348121256126301</c:v>
                </c:pt>
                <c:pt idx="12">
                  <c:v>1.16200513960272</c:v>
                </c:pt>
                <c:pt idx="13">
                  <c:v>1.48280237668891</c:v>
                </c:pt>
                <c:pt idx="14">
                  <c:v>1.43451335969904</c:v>
                </c:pt>
                <c:pt idx="15">
                  <c:v>1.5984522370012</c:v>
                </c:pt>
                <c:pt idx="16">
                  <c:v>1.92598924088463</c:v>
                </c:pt>
                <c:pt idx="17">
                  <c:v>1.9646969225986899</c:v>
                </c:pt>
                <c:pt idx="18">
                  <c:v>1.7578723404255299</c:v>
                </c:pt>
              </c:numCache>
            </c:numRef>
          </c:val>
          <c:extLst>
            <c:ext xmlns:c16="http://schemas.microsoft.com/office/drawing/2014/chart" uri="{C3380CC4-5D6E-409C-BE32-E72D297353CC}">
              <c16:uniqueId val="{00000004-0486-4572-99CE-2FA50CA57C15}"/>
            </c:ext>
          </c:extLst>
        </c:ser>
        <c:ser>
          <c:idx val="1"/>
          <c:order val="2"/>
          <c:tx>
            <c:strRef>
              <c:f>'Fig 17 data'!$D$5</c:f>
              <c:strCache>
                <c:ptCount val="1"/>
                <c:pt idx="0">
                  <c:v>Hospital, community services</c:v>
                </c:pt>
              </c:strCache>
            </c:strRef>
          </c:tx>
          <c:spPr>
            <a:solidFill>
              <a:srgbClr val="67A854"/>
            </a:solidFill>
            <a:ln>
              <a:noFill/>
            </a:ln>
            <a:effectLst/>
          </c:spPr>
          <c:invertIfNegative val="0"/>
          <c:cat>
            <c:strRef>
              <c:f>'Fig 17 data'!$B$7:$B$25</c:f>
              <c:strCache>
                <c:ptCount val="19"/>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c:v>
                </c:pt>
              </c:strCache>
            </c:strRef>
          </c:cat>
          <c:val>
            <c:numRef>
              <c:f>'Fig 17 data'!$D$7:$D$25</c:f>
              <c:numCache>
                <c:formatCode>0.0</c:formatCode>
                <c:ptCount val="19"/>
                <c:pt idx="0">
                  <c:v>2.5218385272935304</c:v>
                </c:pt>
                <c:pt idx="1">
                  <c:v>0.98646573286643302</c:v>
                </c:pt>
                <c:pt idx="2">
                  <c:v>0.94598871050275002</c:v>
                </c:pt>
                <c:pt idx="3">
                  <c:v>1.2097040875629601</c:v>
                </c:pt>
                <c:pt idx="4">
                  <c:v>1.39776673446745</c:v>
                </c:pt>
                <c:pt idx="5">
                  <c:v>1.44790914282606</c:v>
                </c:pt>
                <c:pt idx="6">
                  <c:v>1.7737306049021799</c:v>
                </c:pt>
                <c:pt idx="7">
                  <c:v>1.6996386135566</c:v>
                </c:pt>
                <c:pt idx="8">
                  <c:v>1.6045640216117598</c:v>
                </c:pt>
                <c:pt idx="9">
                  <c:v>1.50441813380281</c:v>
                </c:pt>
                <c:pt idx="10">
                  <c:v>1.74062229865465</c:v>
                </c:pt>
                <c:pt idx="11">
                  <c:v>1.9090651660918501</c:v>
                </c:pt>
                <c:pt idx="12">
                  <c:v>2.3283140019447099</c:v>
                </c:pt>
                <c:pt idx="13">
                  <c:v>2.96931324271528</c:v>
                </c:pt>
                <c:pt idx="14">
                  <c:v>3.5189526864087903</c:v>
                </c:pt>
                <c:pt idx="15">
                  <c:v>4.5039721886336102</c:v>
                </c:pt>
                <c:pt idx="16">
                  <c:v>6.0898879258816496</c:v>
                </c:pt>
                <c:pt idx="17">
                  <c:v>7.3557165060615395</c:v>
                </c:pt>
                <c:pt idx="18">
                  <c:v>6.5265319148936092</c:v>
                </c:pt>
              </c:numCache>
            </c:numRef>
          </c:val>
          <c:extLst>
            <c:ext xmlns:c16="http://schemas.microsoft.com/office/drawing/2014/chart" uri="{C3380CC4-5D6E-409C-BE32-E72D297353CC}">
              <c16:uniqueId val="{00000001-0486-4572-99CE-2FA50CA57C15}"/>
            </c:ext>
          </c:extLst>
        </c:ser>
        <c:ser>
          <c:idx val="3"/>
          <c:order val="3"/>
          <c:tx>
            <c:strRef>
              <c:f>'Fig 17 data'!$F$5</c:f>
              <c:strCache>
                <c:ptCount val="1"/>
                <c:pt idx="0">
                  <c:v>Other</c:v>
                </c:pt>
              </c:strCache>
            </c:strRef>
          </c:tx>
          <c:spPr>
            <a:solidFill>
              <a:srgbClr val="A9A7A5"/>
            </a:solidFill>
            <a:ln>
              <a:noFill/>
            </a:ln>
            <a:effectLst/>
          </c:spPr>
          <c:invertIfNegative val="0"/>
          <c:cat>
            <c:strRef>
              <c:f>'Fig 17 data'!$B$7:$B$25</c:f>
              <c:strCache>
                <c:ptCount val="19"/>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c:v>
                </c:pt>
              </c:strCache>
            </c:strRef>
          </c:cat>
          <c:val>
            <c:numRef>
              <c:f>'Fig 17 data'!$F$7:$F$25</c:f>
              <c:numCache>
                <c:formatCode>0.0</c:formatCode>
                <c:ptCount val="19"/>
                <c:pt idx="0">
                  <c:v>8.28018779026721E-2</c:v>
                </c:pt>
                <c:pt idx="1">
                  <c:v>7.0087387443721796E-2</c:v>
                </c:pt>
                <c:pt idx="2">
                  <c:v>6.8195119611103999E-2</c:v>
                </c:pt>
                <c:pt idx="3">
                  <c:v>7.4142774118558699E-2</c:v>
                </c:pt>
                <c:pt idx="4">
                  <c:v>7.4140162721893402E-2</c:v>
                </c:pt>
                <c:pt idx="5">
                  <c:v>5.5014005221364001E-2</c:v>
                </c:pt>
                <c:pt idx="6">
                  <c:v>5.0716072633235798E-2</c:v>
                </c:pt>
                <c:pt idx="7">
                  <c:v>5.2174013421166003E-2</c:v>
                </c:pt>
                <c:pt idx="8">
                  <c:v>5.8725263637547098E-2</c:v>
                </c:pt>
                <c:pt idx="9">
                  <c:v>4.97337147887323E-2</c:v>
                </c:pt>
                <c:pt idx="10">
                  <c:v>7.7107049369939701E-2</c:v>
                </c:pt>
                <c:pt idx="11">
                  <c:v>8.7006262479578794E-2</c:v>
                </c:pt>
                <c:pt idx="12">
                  <c:v>9.9998263647728805E-2</c:v>
                </c:pt>
                <c:pt idx="13">
                  <c:v>0.30617287970047197</c:v>
                </c:pt>
                <c:pt idx="14">
                  <c:v>0.5544675412366159</c:v>
                </c:pt>
                <c:pt idx="15">
                  <c:v>1.08424425634824</c:v>
                </c:pt>
                <c:pt idx="16">
                  <c:v>2.3486610878661001</c:v>
                </c:pt>
                <c:pt idx="17">
                  <c:v>4.3684480882810002</c:v>
                </c:pt>
                <c:pt idx="18">
                  <c:v>3.8440531914893601</c:v>
                </c:pt>
              </c:numCache>
            </c:numRef>
          </c:val>
          <c:extLst>
            <c:ext xmlns:c16="http://schemas.microsoft.com/office/drawing/2014/chart" uri="{C3380CC4-5D6E-409C-BE32-E72D297353CC}">
              <c16:uniqueId val="{00000003-0486-4572-99CE-2FA50CA57C15}"/>
            </c:ext>
          </c:extLst>
        </c:ser>
        <c:ser>
          <c:idx val="0"/>
          <c:order val="4"/>
          <c:tx>
            <c:strRef>
              <c:f>'Fig 17 data'!$C$5</c:f>
              <c:strCache>
                <c:ptCount val="1"/>
                <c:pt idx="0">
                  <c:v>Aged care</c:v>
                </c:pt>
              </c:strCache>
            </c:strRef>
          </c:tx>
          <c:spPr>
            <a:solidFill>
              <a:srgbClr val="0083AC"/>
            </a:solidFill>
            <a:ln>
              <a:noFill/>
            </a:ln>
            <a:effectLst/>
          </c:spPr>
          <c:invertIfNegative val="0"/>
          <c:cat>
            <c:strRef>
              <c:f>'Fig 17 data'!$B$7:$B$25</c:f>
              <c:strCache>
                <c:ptCount val="19"/>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80–84</c:v>
                </c:pt>
                <c:pt idx="17">
                  <c:v>85–89</c:v>
                </c:pt>
                <c:pt idx="18">
                  <c:v>90+</c:v>
                </c:pt>
              </c:strCache>
            </c:strRef>
          </c:cat>
          <c:val>
            <c:numRef>
              <c:f>'Fig 17 data'!$C$7:$C$25</c:f>
              <c:numCache>
                <c:formatCode>0.0</c:formatCode>
                <c:ptCount val="19"/>
                <c:pt idx="0">
                  <c:v>0</c:v>
                </c:pt>
                <c:pt idx="1">
                  <c:v>0</c:v>
                </c:pt>
                <c:pt idx="2">
                  <c:v>0</c:v>
                </c:pt>
                <c:pt idx="3">
                  <c:v>0</c:v>
                </c:pt>
                <c:pt idx="4">
                  <c:v>0</c:v>
                </c:pt>
                <c:pt idx="5">
                  <c:v>0</c:v>
                </c:pt>
                <c:pt idx="6">
                  <c:v>0</c:v>
                </c:pt>
                <c:pt idx="7">
                  <c:v>0</c:v>
                </c:pt>
                <c:pt idx="8">
                  <c:v>0</c:v>
                </c:pt>
                <c:pt idx="9">
                  <c:v>0</c:v>
                </c:pt>
                <c:pt idx="10">
                  <c:v>9.87414013514336E-3</c:v>
                </c:pt>
                <c:pt idx="11">
                  <c:v>2.94431838809221E-2</c:v>
                </c:pt>
                <c:pt idx="12">
                  <c:v>9.01250173635227E-2</c:v>
                </c:pt>
                <c:pt idx="13">
                  <c:v>0.25084221878560897</c:v>
                </c:pt>
                <c:pt idx="14">
                  <c:v>0.62584161280987705</c:v>
                </c:pt>
                <c:pt idx="15">
                  <c:v>1.63444679564691</c:v>
                </c:pt>
                <c:pt idx="16">
                  <c:v>4.2659354453078304</c:v>
                </c:pt>
                <c:pt idx="17">
                  <c:v>8.9244148274790103</c:v>
                </c:pt>
                <c:pt idx="18">
                  <c:v>16.1052127659574</c:v>
                </c:pt>
              </c:numCache>
            </c:numRef>
          </c:val>
          <c:extLst>
            <c:ext xmlns:c16="http://schemas.microsoft.com/office/drawing/2014/chart" uri="{C3380CC4-5D6E-409C-BE32-E72D297353CC}">
              <c16:uniqueId val="{00000000-0486-4572-99CE-2FA50CA57C15}"/>
            </c:ext>
          </c:extLst>
        </c:ser>
        <c:dLbls>
          <c:showLegendKey val="0"/>
          <c:showVal val="0"/>
          <c:showCatName val="0"/>
          <c:showSerName val="0"/>
          <c:showPercent val="0"/>
          <c:showBubbleSize val="0"/>
        </c:dLbls>
        <c:gapWidth val="150"/>
        <c:overlap val="100"/>
        <c:axId val="1889587807"/>
        <c:axId val="1889588287"/>
      </c:barChart>
      <c:catAx>
        <c:axId val="1889587807"/>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mn-cs"/>
                  </a:defRPr>
                </a:pPr>
                <a:r>
                  <a:rPr lang="en-NZ" sz="1800" b="1"/>
                  <a:t>Age group</a:t>
                </a:r>
              </a:p>
            </c:rich>
          </c:tx>
          <c:layout>
            <c:manualLayout>
              <c:xMode val="edge"/>
              <c:yMode val="edge"/>
              <c:x val="0.4274099766256988"/>
              <c:y val="0.8202802223251505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rgbClr val="545454"/>
            </a:solidFill>
            <a:round/>
          </a:ln>
          <a:effectLst/>
        </c:spPr>
        <c:txPr>
          <a:bodyPr rot="-540000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1889588287"/>
        <c:crosses val="autoZero"/>
        <c:auto val="1"/>
        <c:lblAlgn val="ctr"/>
        <c:lblOffset val="100"/>
        <c:tickLblSkip val="1"/>
        <c:noMultiLvlLbl val="0"/>
      </c:catAx>
      <c:valAx>
        <c:axId val="1889588287"/>
        <c:scaling>
          <c:orientation val="minMax"/>
        </c:scaling>
        <c:delete val="0"/>
        <c:axPos val="l"/>
        <c:majorGridlines>
          <c:spPr>
            <a:ln w="9525" cap="flat" cmpd="sng" algn="ctr">
              <a:solidFill>
                <a:srgbClr val="545454"/>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1889587807"/>
        <c:crosses val="autoZero"/>
        <c:crossBetween val="between"/>
        <c:majorUnit val="10"/>
      </c:valAx>
      <c:spPr>
        <a:noFill/>
        <a:ln>
          <a:noFill/>
        </a:ln>
        <a:effectLst/>
      </c:spPr>
    </c:plotArea>
    <c:legend>
      <c:legendPos val="r"/>
      <c:legendEntry>
        <c:idx val="2"/>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legendEntry>
      <c:layout>
        <c:manualLayout>
          <c:xMode val="edge"/>
          <c:yMode val="edge"/>
          <c:x val="0.13406292749658003"/>
          <c:y val="0.87187504135512472"/>
          <c:w val="0.72941047211779786"/>
          <c:h val="0.12728230662343679"/>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2800" baseline="0">
          <a:solidFill>
            <a:sysClr val="windowText" lastClr="000000"/>
          </a:solidFill>
          <a:latin typeface="Arial" panose="020B0604020202020204" pitchFamily="34" charset="0"/>
        </a:defRPr>
      </a:pPr>
      <a:endParaRPr lang="en-US"/>
    </a:p>
  </c:txPr>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6"/>
          <c:order val="6"/>
          <c:tx>
            <c:strRef>
              <c:f>'Fig 18 data'!$R$79</c:f>
              <c:strCache>
                <c:ptCount val="1"/>
                <c:pt idx="0">
                  <c:v>Actual</c:v>
                </c:pt>
              </c:strCache>
            </c:strRef>
          </c:tx>
          <c:spPr>
            <a:solidFill>
              <a:schemeClr val="accent1">
                <a:lumMod val="60000"/>
              </a:schemeClr>
            </a:solidFill>
            <a:ln>
              <a:noFill/>
            </a:ln>
            <a:effectLst/>
          </c:spPr>
          <c:invertIfNegative val="0"/>
          <c:cat>
            <c:numRef>
              <c:f>'Fig 18 data'!$K$80:$K$104</c:f>
              <c:numCache>
                <c:formatCode>General</c:formatCode>
                <c:ptCount val="2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numCache>
            </c:numRef>
          </c:cat>
          <c:val>
            <c:numRef>
              <c:f>'Fig 18 data'!$R$80:$R$104</c:f>
              <c:numCache>
                <c:formatCode>0.0</c:formatCode>
                <c:ptCount val="25"/>
                <c:pt idx="0">
                  <c:v>29.989419791071274</c:v>
                </c:pt>
                <c:pt idx="1">
                  <c:v>30.794979556690986</c:v>
                </c:pt>
                <c:pt idx="2">
                  <c:v>30.173906138330814</c:v>
                </c:pt>
                <c:pt idx="3">
                  <c:v>33.714719175700864</c:v>
                </c:pt>
                <c:pt idx="4">
                  <c:v>32.435787649541687</c:v>
                </c:pt>
                <c:pt idx="5">
                  <c:v>34.012460091800989</c:v>
                </c:pt>
                <c:pt idx="6">
                  <c:v>32.035297889840464</c:v>
                </c:pt>
                <c:pt idx="7">
                  <c:v>31.919446307423481</c:v>
                </c:pt>
                <c:pt idx="8">
                  <c:v>30.02476260382787</c:v>
                </c:pt>
                <c:pt idx="9">
                  <c:v>29.43116743671504</c:v>
                </c:pt>
                <c:pt idx="10">
                  <c:v>28.551842396950523</c:v>
                </c:pt>
                <c:pt idx="11">
                  <c:v>27.671490089750467</c:v>
                </c:pt>
                <c:pt idx="12">
                  <c:v>27.238461616472353</c:v>
                </c:pt>
                <c:pt idx="13">
                  <c:v>28.005036842376462</c:v>
                </c:pt>
                <c:pt idx="14">
                  <c:v>34.263658144198764</c:v>
                </c:pt>
                <c:pt idx="15">
                  <c:v>31.382119029799689</c:v>
                </c:pt>
                <c:pt idx="16">
                  <c:v>34.354799899375472</c:v>
                </c:pt>
                <c:pt idx="17">
                  <c:v>31.770627099691946</c:v>
                </c:pt>
                <c:pt idx="18">
                  <c:v>33.04582261507958</c:v>
                </c:pt>
              </c:numCache>
            </c:numRef>
          </c:val>
          <c:extLst>
            <c:ext xmlns:c16="http://schemas.microsoft.com/office/drawing/2014/chart" uri="{C3380CC4-5D6E-409C-BE32-E72D297353CC}">
              <c16:uniqueId val="{00000006-46D8-43B3-9117-DAEE489B9A16}"/>
            </c:ext>
          </c:extLst>
        </c:ser>
        <c:dLbls>
          <c:showLegendKey val="0"/>
          <c:showVal val="0"/>
          <c:showCatName val="0"/>
          <c:showSerName val="0"/>
          <c:showPercent val="0"/>
          <c:showBubbleSize val="0"/>
        </c:dLbls>
        <c:gapWidth val="219"/>
        <c:overlap val="100"/>
        <c:axId val="200461120"/>
        <c:axId val="200466400"/>
      </c:barChart>
      <c:lineChart>
        <c:grouping val="standard"/>
        <c:varyColors val="0"/>
        <c:ser>
          <c:idx val="0"/>
          <c:order val="0"/>
          <c:tx>
            <c:strRef>
              <c:f>'Fig 18 data'!$L$79</c:f>
              <c:strCache>
                <c:ptCount val="1"/>
                <c:pt idx="0">
                  <c:v>2025 LTFM</c:v>
                </c:pt>
              </c:strCache>
            </c:strRef>
          </c:tx>
          <c:spPr>
            <a:ln w="28575" cap="rnd">
              <a:solidFill>
                <a:schemeClr val="accent1"/>
              </a:solidFill>
              <a:round/>
            </a:ln>
            <a:effectLst/>
          </c:spPr>
          <c:marker>
            <c:symbol val="none"/>
          </c:marker>
          <c:cat>
            <c:numRef>
              <c:f>'Fig 18 data'!$K$80:$K$104</c:f>
              <c:numCache>
                <c:formatCode>General</c:formatCode>
                <c:ptCount val="2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numCache>
            </c:numRef>
          </c:cat>
          <c:val>
            <c:numRef>
              <c:f>'Fig 18 data'!$L$80:$L$104</c:f>
              <c:numCache>
                <c:formatCode>General</c:formatCode>
                <c:ptCount val="25"/>
                <c:pt idx="19" formatCode="0.0">
                  <c:v>32.680375412503331</c:v>
                </c:pt>
                <c:pt idx="20" formatCode="0.0">
                  <c:v>32.937756318132422</c:v>
                </c:pt>
                <c:pt idx="21" formatCode="0.0">
                  <c:v>32.053498545325155</c:v>
                </c:pt>
                <c:pt idx="22" formatCode="0.0">
                  <c:v>31.311169055196409</c:v>
                </c:pt>
                <c:pt idx="23" formatCode="0.0">
                  <c:v>30.90101159653668</c:v>
                </c:pt>
                <c:pt idx="24" formatCode="0.0">
                  <c:v>31.258766962088934</c:v>
                </c:pt>
              </c:numCache>
            </c:numRef>
          </c:val>
          <c:smooth val="0"/>
          <c:extLst>
            <c:ext xmlns:c16="http://schemas.microsoft.com/office/drawing/2014/chart" uri="{C3380CC4-5D6E-409C-BE32-E72D297353CC}">
              <c16:uniqueId val="{00000000-46D8-43B3-9117-DAEE489B9A16}"/>
            </c:ext>
          </c:extLst>
        </c:ser>
        <c:ser>
          <c:idx val="1"/>
          <c:order val="1"/>
          <c:tx>
            <c:strRef>
              <c:f>'Fig 18 data'!$M$79</c:f>
              <c:strCache>
                <c:ptCount val="1"/>
                <c:pt idx="0">
                  <c:v>2021 LTFM</c:v>
                </c:pt>
              </c:strCache>
            </c:strRef>
          </c:tx>
          <c:spPr>
            <a:ln w="28575" cap="rnd">
              <a:solidFill>
                <a:schemeClr val="accent2"/>
              </a:solidFill>
              <a:round/>
            </a:ln>
            <a:effectLst/>
          </c:spPr>
          <c:marker>
            <c:symbol val="none"/>
          </c:marker>
          <c:cat>
            <c:numRef>
              <c:f>'Fig 18 data'!$K$80:$K$104</c:f>
              <c:numCache>
                <c:formatCode>General</c:formatCode>
                <c:ptCount val="2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numCache>
            </c:numRef>
          </c:cat>
          <c:val>
            <c:numRef>
              <c:f>'Fig 18 data'!$M$80:$M$104</c:f>
              <c:numCache>
                <c:formatCode>General</c:formatCode>
                <c:ptCount val="25"/>
                <c:pt idx="13" formatCode="0.0">
                  <c:v>28.027692813469951</c:v>
                </c:pt>
                <c:pt idx="14" formatCode="0.0">
                  <c:v>34.380449341656345</c:v>
                </c:pt>
                <c:pt idx="15" formatCode="0.0">
                  <c:v>33.117622959398801</c:v>
                </c:pt>
                <c:pt idx="16" formatCode="0.0">
                  <c:v>32.800464342286595</c:v>
                </c:pt>
                <c:pt idx="17" formatCode="0.0">
                  <c:v>31.058149952781573</c:v>
                </c:pt>
                <c:pt idx="18" formatCode="0.0">
                  <c:v>29.985847447704277</c:v>
                </c:pt>
                <c:pt idx="19" formatCode="0.0">
                  <c:v>29.234537512970871</c:v>
                </c:pt>
                <c:pt idx="20" formatCode="0.0">
                  <c:v>29.470782849051634</c:v>
                </c:pt>
                <c:pt idx="21" formatCode="0.0">
                  <c:v>29.898961037909778</c:v>
                </c:pt>
                <c:pt idx="22" formatCode="0.0">
                  <c:v>30.31491099458788</c:v>
                </c:pt>
                <c:pt idx="23" formatCode="0.0">
                  <c:v>30.744194829358317</c:v>
                </c:pt>
                <c:pt idx="24" formatCode="0.0">
                  <c:v>31.102748025148529</c:v>
                </c:pt>
              </c:numCache>
            </c:numRef>
          </c:val>
          <c:smooth val="0"/>
          <c:extLst>
            <c:ext xmlns:c16="http://schemas.microsoft.com/office/drawing/2014/chart" uri="{C3380CC4-5D6E-409C-BE32-E72D297353CC}">
              <c16:uniqueId val="{00000001-46D8-43B3-9117-DAEE489B9A16}"/>
            </c:ext>
          </c:extLst>
        </c:ser>
        <c:ser>
          <c:idx val="2"/>
          <c:order val="2"/>
          <c:tx>
            <c:strRef>
              <c:f>'Fig 18 data'!$N$79</c:f>
              <c:strCache>
                <c:ptCount val="1"/>
                <c:pt idx="0">
                  <c:v>2016 LTFM </c:v>
                </c:pt>
              </c:strCache>
            </c:strRef>
          </c:tx>
          <c:spPr>
            <a:ln w="28575" cap="rnd">
              <a:solidFill>
                <a:schemeClr val="accent3"/>
              </a:solidFill>
              <a:round/>
            </a:ln>
            <a:effectLst/>
          </c:spPr>
          <c:marker>
            <c:symbol val="none"/>
          </c:marker>
          <c:cat>
            <c:numRef>
              <c:f>'Fig 18 data'!$K$80:$K$104</c:f>
              <c:numCache>
                <c:formatCode>General</c:formatCode>
                <c:ptCount val="2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numCache>
            </c:numRef>
          </c:cat>
          <c:val>
            <c:numRef>
              <c:f>'Fig 18 data'!$N$80:$N$104</c:f>
              <c:numCache>
                <c:formatCode>General</c:formatCode>
                <c:ptCount val="25"/>
                <c:pt idx="9" formatCode="0.0">
                  <c:v>29.954052487788722</c:v>
                </c:pt>
                <c:pt idx="10" formatCode="0.0">
                  <c:v>29.737812142680092</c:v>
                </c:pt>
                <c:pt idx="11" formatCode="0.0">
                  <c:v>29.855560013579829</c:v>
                </c:pt>
                <c:pt idx="12" formatCode="0.0">
                  <c:v>29.135144617678659</c:v>
                </c:pt>
                <c:pt idx="13" formatCode="0.0">
                  <c:v>28.543150263177118</c:v>
                </c:pt>
                <c:pt idx="14" formatCode="0.0">
                  <c:v>28.349209532404156</c:v>
                </c:pt>
                <c:pt idx="15" formatCode="0.0">
                  <c:v>29.010134589073999</c:v>
                </c:pt>
                <c:pt idx="16" formatCode="0.0">
                  <c:v>29.762630469971825</c:v>
                </c:pt>
                <c:pt idx="17" formatCode="0.0">
                  <c:v>30.324662036739365</c:v>
                </c:pt>
                <c:pt idx="18" formatCode="0.0">
                  <c:v>30.784725038198502</c:v>
                </c:pt>
                <c:pt idx="19" formatCode="0.0">
                  <c:v>31.173814628999875</c:v>
                </c:pt>
                <c:pt idx="20" formatCode="0.0">
                  <c:v>31.622388392172063</c:v>
                </c:pt>
                <c:pt idx="21" formatCode="0.0">
                  <c:v>32.071989827800628</c:v>
                </c:pt>
                <c:pt idx="22" formatCode="0.0">
                  <c:v>32.45789579194232</c:v>
                </c:pt>
                <c:pt idx="23" formatCode="0.0">
                  <c:v>32.848873338278118</c:v>
                </c:pt>
                <c:pt idx="24" formatCode="0.0">
                  <c:v>33.237769455113011</c:v>
                </c:pt>
              </c:numCache>
            </c:numRef>
          </c:val>
          <c:smooth val="0"/>
          <c:extLst>
            <c:ext xmlns:c16="http://schemas.microsoft.com/office/drawing/2014/chart" uri="{C3380CC4-5D6E-409C-BE32-E72D297353CC}">
              <c16:uniqueId val="{00000002-46D8-43B3-9117-DAEE489B9A16}"/>
            </c:ext>
          </c:extLst>
        </c:ser>
        <c:ser>
          <c:idx val="3"/>
          <c:order val="3"/>
          <c:tx>
            <c:strRef>
              <c:f>'Fig 18 data'!$O$79</c:f>
              <c:strCache>
                <c:ptCount val="1"/>
                <c:pt idx="0">
                  <c:v>2013 LTFM</c:v>
                </c:pt>
              </c:strCache>
            </c:strRef>
          </c:tx>
          <c:spPr>
            <a:ln w="28575" cap="rnd">
              <a:solidFill>
                <a:schemeClr val="accent4"/>
              </a:solidFill>
              <a:round/>
            </a:ln>
            <a:effectLst/>
          </c:spPr>
          <c:marker>
            <c:symbol val="none"/>
          </c:marker>
          <c:cat>
            <c:numRef>
              <c:f>'Fig 18 data'!$K$80:$K$104</c:f>
              <c:numCache>
                <c:formatCode>General</c:formatCode>
                <c:ptCount val="2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numCache>
            </c:numRef>
          </c:cat>
          <c:val>
            <c:numRef>
              <c:f>'Fig 18 data'!$O$80:$O$104</c:f>
              <c:numCache>
                <c:formatCode>0.0</c:formatCode>
                <c:ptCount val="25"/>
                <c:pt idx="1">
                  <c:v>31.177041116768855</c:v>
                </c:pt>
                <c:pt idx="2">
                  <c:v>30.696689968655416</c:v>
                </c:pt>
                <c:pt idx="3">
                  <c:v>34.504844005240258</c:v>
                </c:pt>
                <c:pt idx="4">
                  <c:v>33.375217676930937</c:v>
                </c:pt>
                <c:pt idx="5">
                  <c:v>35.183834913151614</c:v>
                </c:pt>
                <c:pt idx="6">
                  <c:v>33.135220442564041</c:v>
                </c:pt>
                <c:pt idx="7">
                  <c:v>33.505265520659918</c:v>
                </c:pt>
                <c:pt idx="8">
                  <c:v>31.754954101065415</c:v>
                </c:pt>
                <c:pt idx="9">
                  <c:v>30.870252233624985</c:v>
                </c:pt>
                <c:pt idx="10">
                  <c:v>30.707884518346969</c:v>
                </c:pt>
                <c:pt idx="11">
                  <c:v>30.947187728282199</c:v>
                </c:pt>
                <c:pt idx="12">
                  <c:v>30.671709516435396</c:v>
                </c:pt>
                <c:pt idx="13">
                  <c:v>30.709250744198069</c:v>
                </c:pt>
                <c:pt idx="14">
                  <c:v>30.758902919604807</c:v>
                </c:pt>
                <c:pt idx="15">
                  <c:v>30.868978704999499</c:v>
                </c:pt>
                <c:pt idx="16">
                  <c:v>31.044397135290247</c:v>
                </c:pt>
                <c:pt idx="17">
                  <c:v>31.260040829020031</c:v>
                </c:pt>
                <c:pt idx="18">
                  <c:v>31.512132783348591</c:v>
                </c:pt>
                <c:pt idx="19">
                  <c:v>31.781973451857894</c:v>
                </c:pt>
                <c:pt idx="20">
                  <c:v>32.083114179845573</c:v>
                </c:pt>
                <c:pt idx="21">
                  <c:v>32.365646905989855</c:v>
                </c:pt>
                <c:pt idx="22">
                  <c:v>32.698480792505919</c:v>
                </c:pt>
                <c:pt idx="23">
                  <c:v>33.050366666766678</c:v>
                </c:pt>
                <c:pt idx="24">
                  <c:v>33.395416734685263</c:v>
                </c:pt>
              </c:numCache>
            </c:numRef>
          </c:val>
          <c:smooth val="0"/>
          <c:extLst>
            <c:ext xmlns:c16="http://schemas.microsoft.com/office/drawing/2014/chart" uri="{C3380CC4-5D6E-409C-BE32-E72D297353CC}">
              <c16:uniqueId val="{00000003-46D8-43B3-9117-DAEE489B9A16}"/>
            </c:ext>
          </c:extLst>
        </c:ser>
        <c:ser>
          <c:idx val="4"/>
          <c:order val="4"/>
          <c:tx>
            <c:strRef>
              <c:f>'Fig 18 data'!$P$79</c:f>
              <c:strCache>
                <c:ptCount val="1"/>
                <c:pt idx="0">
                  <c:v>2009 LTFM</c:v>
                </c:pt>
              </c:strCache>
            </c:strRef>
          </c:tx>
          <c:spPr>
            <a:ln w="28575" cap="rnd">
              <a:solidFill>
                <a:schemeClr val="accent5"/>
              </a:solidFill>
              <a:round/>
            </a:ln>
            <a:effectLst/>
          </c:spPr>
          <c:marker>
            <c:symbol val="none"/>
          </c:marker>
          <c:cat>
            <c:numRef>
              <c:f>'Fig 18 data'!$K$80:$K$104</c:f>
              <c:numCache>
                <c:formatCode>General</c:formatCode>
                <c:ptCount val="2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numCache>
            </c:numRef>
          </c:cat>
          <c:val>
            <c:numRef>
              <c:f>'Fig 18 data'!$P$80:$P$104</c:f>
              <c:numCache>
                <c:formatCode>0.0</c:formatCode>
                <c:ptCount val="25"/>
                <c:pt idx="1">
                  <c:v>31.928932509533801</c:v>
                </c:pt>
                <c:pt idx="2">
                  <c:v>31.801570075937224</c:v>
                </c:pt>
                <c:pt idx="3">
                  <c:v>35.850760768155993</c:v>
                </c:pt>
                <c:pt idx="4">
                  <c:v>37.293107702917347</c:v>
                </c:pt>
                <c:pt idx="5">
                  <c:v>36.912854713544526</c:v>
                </c:pt>
                <c:pt idx="6">
                  <c:v>36.736622647500838</c:v>
                </c:pt>
                <c:pt idx="7">
                  <c:v>36.26228892039812</c:v>
                </c:pt>
                <c:pt idx="8">
                  <c:v>35.808583672051469</c:v>
                </c:pt>
                <c:pt idx="9">
                  <c:v>35.465193421295879</c:v>
                </c:pt>
                <c:pt idx="10">
                  <c:v>35.203495880103397</c:v>
                </c:pt>
                <c:pt idx="11">
                  <c:v>35.365599165240631</c:v>
                </c:pt>
                <c:pt idx="12">
                  <c:v>35.484538351797248</c:v>
                </c:pt>
                <c:pt idx="13">
                  <c:v>35.580398258996091</c:v>
                </c:pt>
                <c:pt idx="14">
                  <c:v>35.677492417107331</c:v>
                </c:pt>
                <c:pt idx="15">
                  <c:v>35.720439852962485</c:v>
                </c:pt>
                <c:pt idx="16">
                  <c:v>35.964468984214534</c:v>
                </c:pt>
                <c:pt idx="17">
                  <c:v>36.182037091948793</c:v>
                </c:pt>
                <c:pt idx="18">
                  <c:v>36.477590753266355</c:v>
                </c:pt>
                <c:pt idx="19">
                  <c:v>36.81521736006659</c:v>
                </c:pt>
                <c:pt idx="20">
                  <c:v>37.196927330763835</c:v>
                </c:pt>
                <c:pt idx="21">
                  <c:v>37.641831546889478</c:v>
                </c:pt>
                <c:pt idx="22">
                  <c:v>38.08370769135729</c:v>
                </c:pt>
                <c:pt idx="23">
                  <c:v>38.529428573488786</c:v>
                </c:pt>
                <c:pt idx="24">
                  <c:v>38.965654584434176</c:v>
                </c:pt>
              </c:numCache>
            </c:numRef>
          </c:val>
          <c:smooth val="0"/>
          <c:extLst>
            <c:ext xmlns:c16="http://schemas.microsoft.com/office/drawing/2014/chart" uri="{C3380CC4-5D6E-409C-BE32-E72D297353CC}">
              <c16:uniqueId val="{00000004-46D8-43B3-9117-DAEE489B9A16}"/>
            </c:ext>
          </c:extLst>
        </c:ser>
        <c:ser>
          <c:idx val="5"/>
          <c:order val="5"/>
          <c:tx>
            <c:strRef>
              <c:f>'Fig 18 data'!$Q$79</c:f>
              <c:strCache>
                <c:ptCount val="1"/>
                <c:pt idx="0">
                  <c:v>2006 LTFM</c:v>
                </c:pt>
              </c:strCache>
            </c:strRef>
          </c:tx>
          <c:spPr>
            <a:ln w="28575" cap="rnd">
              <a:solidFill>
                <a:schemeClr val="accent6"/>
              </a:solidFill>
              <a:round/>
            </a:ln>
            <a:effectLst/>
          </c:spPr>
          <c:marker>
            <c:symbol val="none"/>
          </c:marker>
          <c:cat>
            <c:numRef>
              <c:f>'Fig 18 data'!$K$80:$K$104</c:f>
              <c:numCache>
                <c:formatCode>General</c:formatCode>
                <c:ptCount val="25"/>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pt idx="21">
                  <c:v>2027</c:v>
                </c:pt>
                <c:pt idx="22">
                  <c:v>2028</c:v>
                </c:pt>
                <c:pt idx="23">
                  <c:v>2029</c:v>
                </c:pt>
                <c:pt idx="24">
                  <c:v>2030</c:v>
                </c:pt>
              </c:numCache>
            </c:numRef>
          </c:cat>
          <c:val>
            <c:numRef>
              <c:f>'Fig 18 data'!$Q$80:$Q$104</c:f>
              <c:numCache>
                <c:formatCode>0.0</c:formatCode>
                <c:ptCount val="25"/>
                <c:pt idx="0">
                  <c:v>32.283264468225482</c:v>
                </c:pt>
                <c:pt idx="1">
                  <c:v>32.704014854850399</c:v>
                </c:pt>
                <c:pt idx="2">
                  <c:v>32.698642686608153</c:v>
                </c:pt>
                <c:pt idx="3">
                  <c:v>32.589096499649585</c:v>
                </c:pt>
                <c:pt idx="4">
                  <c:v>32.378456761628968</c:v>
                </c:pt>
                <c:pt idx="5">
                  <c:v>32.305190378184356</c:v>
                </c:pt>
                <c:pt idx="6">
                  <c:v>32.378697239591716</c:v>
                </c:pt>
                <c:pt idx="7">
                  <c:v>32.438491140499131</c:v>
                </c:pt>
                <c:pt idx="8">
                  <c:v>32.495740837753502</c:v>
                </c:pt>
                <c:pt idx="9">
                  <c:v>32.553939707936991</c:v>
                </c:pt>
                <c:pt idx="10">
                  <c:v>32.617018758361475</c:v>
                </c:pt>
                <c:pt idx="11">
                  <c:v>32.725641826908593</c:v>
                </c:pt>
                <c:pt idx="12">
                  <c:v>32.824481912303511</c:v>
                </c:pt>
                <c:pt idx="13">
                  <c:v>32.940191344799622</c:v>
                </c:pt>
                <c:pt idx="14">
                  <c:v>33.071338655620266</c:v>
                </c:pt>
                <c:pt idx="15">
                  <c:v>33.236180441473259</c:v>
                </c:pt>
                <c:pt idx="16">
                  <c:v>33.449959742769465</c:v>
                </c:pt>
                <c:pt idx="17">
                  <c:v>33.664979822947757</c:v>
                </c:pt>
                <c:pt idx="18">
                  <c:v>33.926109182935697</c:v>
                </c:pt>
                <c:pt idx="19">
                  <c:v>34.222947824744459</c:v>
                </c:pt>
                <c:pt idx="20">
                  <c:v>34.548316430400952</c:v>
                </c:pt>
                <c:pt idx="21">
                  <c:v>34.919573379076603</c:v>
                </c:pt>
                <c:pt idx="22">
                  <c:v>35.279207650813618</c:v>
                </c:pt>
                <c:pt idx="23">
                  <c:v>35.637498984929685</c:v>
                </c:pt>
                <c:pt idx="24">
                  <c:v>35.974154413020869</c:v>
                </c:pt>
              </c:numCache>
            </c:numRef>
          </c:val>
          <c:smooth val="0"/>
          <c:extLst>
            <c:ext xmlns:c16="http://schemas.microsoft.com/office/drawing/2014/chart" uri="{C3380CC4-5D6E-409C-BE32-E72D297353CC}">
              <c16:uniqueId val="{00000005-46D8-43B3-9117-DAEE489B9A16}"/>
            </c:ext>
          </c:extLst>
        </c:ser>
        <c:dLbls>
          <c:showLegendKey val="0"/>
          <c:showVal val="0"/>
          <c:showCatName val="0"/>
          <c:showSerName val="0"/>
          <c:showPercent val="0"/>
          <c:showBubbleSize val="0"/>
        </c:dLbls>
        <c:marker val="1"/>
        <c:smooth val="0"/>
        <c:axId val="200461120"/>
        <c:axId val="200466400"/>
      </c:lineChart>
      <c:catAx>
        <c:axId val="20046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6400"/>
        <c:crosses val="autoZero"/>
        <c:auto val="1"/>
        <c:lblAlgn val="ctr"/>
        <c:lblOffset val="100"/>
        <c:noMultiLvlLbl val="0"/>
      </c:catAx>
      <c:valAx>
        <c:axId val="2004664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61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311733436845599E-2"/>
          <c:y val="7.5538035853082011E-2"/>
          <c:w val="0.93964799840390645"/>
          <c:h val="0.71781726971345694"/>
        </c:manualLayout>
      </c:layout>
      <c:lineChart>
        <c:grouping val="standard"/>
        <c:varyColors val="0"/>
        <c:ser>
          <c:idx val="0"/>
          <c:order val="0"/>
          <c:tx>
            <c:strRef>
              <c:f>'Fig 18 data'!$C$5</c:f>
              <c:strCache>
                <c:ptCount val="1"/>
                <c:pt idx="0">
                  <c:v>Core Crown tax revenue</c:v>
                </c:pt>
              </c:strCache>
            </c:strRef>
          </c:tx>
          <c:spPr>
            <a:ln w="38100" cap="rnd">
              <a:solidFill>
                <a:srgbClr val="0083AC"/>
              </a:solidFill>
              <a:round/>
            </a:ln>
            <a:effectLst/>
          </c:spPr>
          <c:marker>
            <c:symbol val="none"/>
          </c:marker>
          <c:cat>
            <c:numRef>
              <c:f>'Fig 18 data'!$B$7:$B$62</c:f>
              <c:numCache>
                <c:formatCode>General</c:formatCode>
                <c:ptCount val="5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pt idx="41">
                  <c:v>2051</c:v>
                </c:pt>
                <c:pt idx="42">
                  <c:v>2052</c:v>
                </c:pt>
                <c:pt idx="43">
                  <c:v>2053</c:v>
                </c:pt>
                <c:pt idx="44">
                  <c:v>2054</c:v>
                </c:pt>
                <c:pt idx="45">
                  <c:v>2055</c:v>
                </c:pt>
                <c:pt idx="46">
                  <c:v>2056</c:v>
                </c:pt>
                <c:pt idx="47">
                  <c:v>2057</c:v>
                </c:pt>
                <c:pt idx="48">
                  <c:v>2058</c:v>
                </c:pt>
                <c:pt idx="49">
                  <c:v>2059</c:v>
                </c:pt>
                <c:pt idx="50">
                  <c:v>2060</c:v>
                </c:pt>
                <c:pt idx="51">
                  <c:v>2061</c:v>
                </c:pt>
                <c:pt idx="52">
                  <c:v>2062</c:v>
                </c:pt>
                <c:pt idx="53">
                  <c:v>2063</c:v>
                </c:pt>
                <c:pt idx="54">
                  <c:v>2064</c:v>
                </c:pt>
                <c:pt idx="55">
                  <c:v>2065</c:v>
                </c:pt>
              </c:numCache>
            </c:numRef>
          </c:cat>
          <c:val>
            <c:numRef>
              <c:f>'Fig 18 data'!$C$7:$C$62</c:f>
              <c:numCache>
                <c:formatCode>0.0</c:formatCode>
                <c:ptCount val="56"/>
                <c:pt idx="0">
                  <c:v>28.252420789144324</c:v>
                </c:pt>
                <c:pt idx="1">
                  <c:v>27.753301827286048</c:v>
                </c:pt>
                <c:pt idx="2">
                  <c:v>28.08031710479235</c:v>
                </c:pt>
                <c:pt idx="3">
                  <c:v>29.110378085891696</c:v>
                </c:pt>
                <c:pt idx="4">
                  <c:v>28.303192140088001</c:v>
                </c:pt>
                <c:pt idx="5">
                  <c:v>29.370160083295371</c:v>
                </c:pt>
                <c:pt idx="6">
                  <c:v>29.398406512982323</c:v>
                </c:pt>
                <c:pt idx="7">
                  <c:v>29.64447795386333</c:v>
                </c:pt>
                <c:pt idx="8">
                  <c:v>29.335028074789481</c:v>
                </c:pt>
                <c:pt idx="9">
                  <c:v>30.103184417993507</c:v>
                </c:pt>
                <c:pt idx="10">
                  <c:v>28.94018530936842</c:v>
                </c:pt>
                <c:pt idx="11">
                  <c:v>30.567891599421078</c:v>
                </c:pt>
                <c:pt idx="12">
                  <c:v>32.132857189731922</c:v>
                </c:pt>
                <c:pt idx="13">
                  <c:v>30.730649214164217</c:v>
                </c:pt>
                <c:pt idx="14">
                  <c:v>31.672142683929987</c:v>
                </c:pt>
                <c:pt idx="15">
                  <c:v>30.837324312647645</c:v>
                </c:pt>
                <c:pt idx="16">
                  <c:v>30.61051912089453</c:v>
                </c:pt>
                <c:pt idx="17">
                  <c:v>30.647173326077411</c:v>
                </c:pt>
                <c:pt idx="18">
                  <c:v>30.820818342630563</c:v>
                </c:pt>
                <c:pt idx="19">
                  <c:v>31.005185815516235</c:v>
                </c:pt>
                <c:pt idx="20">
                  <c:v>30.846358840029207</c:v>
                </c:pt>
                <c:pt idx="21">
                  <c:v>30.769618712204881</c:v>
                </c:pt>
                <c:pt idx="22">
                  <c:v>30.731240661491576</c:v>
                </c:pt>
                <c:pt idx="23">
                  <c:v>30.70081079860153</c:v>
                </c:pt>
                <c:pt idx="24">
                  <c:v>30.671114337801857</c:v>
                </c:pt>
                <c:pt idx="25">
                  <c:v>30.641608195628073</c:v>
                </c:pt>
                <c:pt idx="26">
                  <c:v>30.612337312194622</c:v>
                </c:pt>
                <c:pt idx="27">
                  <c:v>30.583234248737</c:v>
                </c:pt>
                <c:pt idx="28">
                  <c:v>30.554337777046708</c:v>
                </c:pt>
                <c:pt idx="29">
                  <c:v>30.527139407815568</c:v>
                </c:pt>
                <c:pt idx="30">
                  <c:v>30.501741020667016</c:v>
                </c:pt>
                <c:pt idx="31">
                  <c:v>30.477970730321008</c:v>
                </c:pt>
                <c:pt idx="32">
                  <c:v>30.455605458355773</c:v>
                </c:pt>
                <c:pt idx="33">
                  <c:v>30.434859602999897</c:v>
                </c:pt>
                <c:pt idx="34">
                  <c:v>30.415830240614632</c:v>
                </c:pt>
                <c:pt idx="35">
                  <c:v>30.396617926529313</c:v>
                </c:pt>
                <c:pt idx="36">
                  <c:v>30.378850412097076</c:v>
                </c:pt>
                <c:pt idx="37">
                  <c:v>30.36242109125417</c:v>
                </c:pt>
                <c:pt idx="38">
                  <c:v>30.347267490889767</c:v>
                </c:pt>
                <c:pt idx="39">
                  <c:v>30.333296120067494</c:v>
                </c:pt>
                <c:pt idx="40">
                  <c:v>30.320429414568729</c:v>
                </c:pt>
                <c:pt idx="41">
                  <c:v>30.308431597035714</c:v>
                </c:pt>
                <c:pt idx="42">
                  <c:v>30.29735494008316</c:v>
                </c:pt>
                <c:pt idx="43">
                  <c:v>30.286838440111186</c:v>
                </c:pt>
                <c:pt idx="44">
                  <c:v>30.276577087652008</c:v>
                </c:pt>
                <c:pt idx="45">
                  <c:v>30.265224068681036</c:v>
                </c:pt>
                <c:pt idx="46">
                  <c:v>30.252829060205936</c:v>
                </c:pt>
                <c:pt idx="47">
                  <c:v>30.240505785199467</c:v>
                </c:pt>
                <c:pt idx="48">
                  <c:v>30.227784570091792</c:v>
                </c:pt>
                <c:pt idx="49">
                  <c:v>30.214637747346902</c:v>
                </c:pt>
                <c:pt idx="50">
                  <c:v>30.201075689583451</c:v>
                </c:pt>
                <c:pt idx="51">
                  <c:v>30.186956701292655</c:v>
                </c:pt>
                <c:pt idx="52">
                  <c:v>30.172583513680046</c:v>
                </c:pt>
                <c:pt idx="53">
                  <c:v>30.157791559662016</c:v>
                </c:pt>
                <c:pt idx="54">
                  <c:v>30.142721225605445</c:v>
                </c:pt>
                <c:pt idx="55">
                  <c:v>30.12828253875357</c:v>
                </c:pt>
              </c:numCache>
            </c:numRef>
          </c:val>
          <c:smooth val="0"/>
          <c:extLst>
            <c:ext xmlns:c16="http://schemas.microsoft.com/office/drawing/2014/chart" uri="{C3380CC4-5D6E-409C-BE32-E72D297353CC}">
              <c16:uniqueId val="{00000000-4031-47BF-9123-88B7227E3CA8}"/>
            </c:ext>
          </c:extLst>
        </c:ser>
        <c:ser>
          <c:idx val="1"/>
          <c:order val="1"/>
          <c:tx>
            <c:strRef>
              <c:f>'Fig 18 data'!$D$5</c:f>
              <c:strCache>
                <c:ptCount val="1"/>
                <c:pt idx="0">
                  <c:v>Core Crown expenditure</c:v>
                </c:pt>
              </c:strCache>
            </c:strRef>
          </c:tx>
          <c:spPr>
            <a:ln w="38100" cap="rnd">
              <a:solidFill>
                <a:schemeClr val="tx1"/>
              </a:solidFill>
              <a:round/>
            </a:ln>
            <a:effectLst/>
          </c:spPr>
          <c:marker>
            <c:symbol val="none"/>
          </c:marker>
          <c:cat>
            <c:numRef>
              <c:f>'Fig 18 data'!$B$7:$B$62</c:f>
              <c:numCache>
                <c:formatCode>General</c:formatCode>
                <c:ptCount val="5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pt idx="41">
                  <c:v>2051</c:v>
                </c:pt>
                <c:pt idx="42">
                  <c:v>2052</c:v>
                </c:pt>
                <c:pt idx="43">
                  <c:v>2053</c:v>
                </c:pt>
                <c:pt idx="44">
                  <c:v>2054</c:v>
                </c:pt>
                <c:pt idx="45">
                  <c:v>2055</c:v>
                </c:pt>
                <c:pt idx="46">
                  <c:v>2056</c:v>
                </c:pt>
                <c:pt idx="47">
                  <c:v>2057</c:v>
                </c:pt>
                <c:pt idx="48">
                  <c:v>2058</c:v>
                </c:pt>
                <c:pt idx="49">
                  <c:v>2059</c:v>
                </c:pt>
                <c:pt idx="50">
                  <c:v>2060</c:v>
                </c:pt>
                <c:pt idx="51">
                  <c:v>2061</c:v>
                </c:pt>
                <c:pt idx="52">
                  <c:v>2062</c:v>
                </c:pt>
                <c:pt idx="53">
                  <c:v>2063</c:v>
                </c:pt>
                <c:pt idx="54">
                  <c:v>2064</c:v>
                </c:pt>
                <c:pt idx="55">
                  <c:v>2065</c:v>
                </c:pt>
              </c:numCache>
            </c:numRef>
          </c:cat>
          <c:val>
            <c:numRef>
              <c:f>'Fig 18 data'!$D$7:$D$62</c:f>
              <c:numCache>
                <c:formatCode>0.0</c:formatCode>
                <c:ptCount val="56"/>
                <c:pt idx="0">
                  <c:v>32.20320947743383</c:v>
                </c:pt>
                <c:pt idx="1">
                  <c:v>34.012460091800989</c:v>
                </c:pt>
                <c:pt idx="2">
                  <c:v>32.035297889840471</c:v>
                </c:pt>
                <c:pt idx="3">
                  <c:v>31.919446307423481</c:v>
                </c:pt>
                <c:pt idx="4">
                  <c:v>30.024762603827863</c:v>
                </c:pt>
                <c:pt idx="5">
                  <c:v>29.431167436715032</c:v>
                </c:pt>
                <c:pt idx="6">
                  <c:v>28.551842396950516</c:v>
                </c:pt>
                <c:pt idx="7">
                  <c:v>27.671490089750467</c:v>
                </c:pt>
                <c:pt idx="8">
                  <c:v>27.238461616472343</c:v>
                </c:pt>
                <c:pt idx="9">
                  <c:v>28.005036842376462</c:v>
                </c:pt>
                <c:pt idx="10">
                  <c:v>34.263658144198772</c:v>
                </c:pt>
                <c:pt idx="11">
                  <c:v>31.382410241327001</c:v>
                </c:pt>
                <c:pt idx="12">
                  <c:v>34.354799899375472</c:v>
                </c:pt>
                <c:pt idx="13">
                  <c:v>31.770627099691946</c:v>
                </c:pt>
                <c:pt idx="14">
                  <c:v>33.046298101383201</c:v>
                </c:pt>
                <c:pt idx="15">
                  <c:v>32.680375412503331</c:v>
                </c:pt>
                <c:pt idx="16">
                  <c:v>32.937756318132422</c:v>
                </c:pt>
                <c:pt idx="17">
                  <c:v>32.053498545325155</c:v>
                </c:pt>
                <c:pt idx="18">
                  <c:v>31.311169055196409</c:v>
                </c:pt>
                <c:pt idx="19">
                  <c:v>30.90101159653668</c:v>
                </c:pt>
                <c:pt idx="20">
                  <c:v>31.261131675564375</c:v>
                </c:pt>
                <c:pt idx="21">
                  <c:v>31.604931786668359</c:v>
                </c:pt>
                <c:pt idx="22">
                  <c:v>32.01079741305076</c:v>
                </c:pt>
                <c:pt idx="23">
                  <c:v>32.458407534252053</c:v>
                </c:pt>
                <c:pt idx="24">
                  <c:v>32.879477079593435</c:v>
                </c:pt>
                <c:pt idx="25">
                  <c:v>33.240626181102535</c:v>
                </c:pt>
                <c:pt idx="26">
                  <c:v>33.449474730891851</c:v>
                </c:pt>
                <c:pt idx="27">
                  <c:v>33.627406921110847</c:v>
                </c:pt>
                <c:pt idx="28">
                  <c:v>33.804647094094939</c:v>
                </c:pt>
                <c:pt idx="29">
                  <c:v>33.988858082421395</c:v>
                </c:pt>
                <c:pt idx="30">
                  <c:v>34.203311809567957</c:v>
                </c:pt>
                <c:pt idx="31">
                  <c:v>34.423433626717539</c:v>
                </c:pt>
                <c:pt idx="32">
                  <c:v>34.651963869311089</c:v>
                </c:pt>
                <c:pt idx="33">
                  <c:v>34.883409303496208</c:v>
                </c:pt>
                <c:pt idx="34">
                  <c:v>35.12977238862932</c:v>
                </c:pt>
                <c:pt idx="35">
                  <c:v>35.387837115624627</c:v>
                </c:pt>
                <c:pt idx="36">
                  <c:v>35.659879770133664</c:v>
                </c:pt>
                <c:pt idx="37">
                  <c:v>35.947058134527538</c:v>
                </c:pt>
                <c:pt idx="38">
                  <c:v>36.253987654518696</c:v>
                </c:pt>
                <c:pt idx="39">
                  <c:v>36.574971823988491</c:v>
                </c:pt>
                <c:pt idx="40">
                  <c:v>36.911537701392845</c:v>
                </c:pt>
                <c:pt idx="41">
                  <c:v>37.263443957032145</c:v>
                </c:pt>
                <c:pt idx="42">
                  <c:v>37.641263944517775</c:v>
                </c:pt>
                <c:pt idx="43">
                  <c:v>38.042784413736747</c:v>
                </c:pt>
                <c:pt idx="44">
                  <c:v>38.461272727010133</c:v>
                </c:pt>
                <c:pt idx="45">
                  <c:v>38.912681916172112</c:v>
                </c:pt>
                <c:pt idx="46">
                  <c:v>39.376277540767312</c:v>
                </c:pt>
                <c:pt idx="47">
                  <c:v>39.846592849300379</c:v>
                </c:pt>
                <c:pt idx="48">
                  <c:v>40.323407136610179</c:v>
                </c:pt>
                <c:pt idx="49">
                  <c:v>40.799984547886666</c:v>
                </c:pt>
                <c:pt idx="50">
                  <c:v>41.285278943285448</c:v>
                </c:pt>
                <c:pt idx="51">
                  <c:v>41.771373217089803</c:v>
                </c:pt>
                <c:pt idx="52">
                  <c:v>42.263470913911824</c:v>
                </c:pt>
                <c:pt idx="53">
                  <c:v>42.764204263070951</c:v>
                </c:pt>
                <c:pt idx="54">
                  <c:v>43.267969240184314</c:v>
                </c:pt>
                <c:pt idx="55">
                  <c:v>43.792066692772167</c:v>
                </c:pt>
              </c:numCache>
            </c:numRef>
          </c:val>
          <c:smooth val="0"/>
          <c:extLst>
            <c:ext xmlns:c16="http://schemas.microsoft.com/office/drawing/2014/chart" uri="{C3380CC4-5D6E-409C-BE32-E72D297353CC}">
              <c16:uniqueId val="{00000001-4031-47BF-9123-88B7227E3CA8}"/>
            </c:ext>
          </c:extLst>
        </c:ser>
        <c:dLbls>
          <c:showLegendKey val="0"/>
          <c:showVal val="0"/>
          <c:showCatName val="0"/>
          <c:showSerName val="0"/>
          <c:showPercent val="0"/>
          <c:showBubbleSize val="0"/>
        </c:dLbls>
        <c:marker val="1"/>
        <c:smooth val="0"/>
        <c:axId val="1775304895"/>
        <c:axId val="1775305375"/>
      </c:lineChart>
      <c:scatterChart>
        <c:scatterStyle val="lineMarker"/>
        <c:varyColors val="0"/>
        <c:ser>
          <c:idx val="2"/>
          <c:order val="2"/>
          <c:tx>
            <c:strRef>
              <c:f>'Fig 18 data'!$E$5</c:f>
              <c:strCache>
                <c:ptCount val="1"/>
                <c:pt idx="0">
                  <c:v>line</c:v>
                </c:pt>
              </c:strCache>
            </c:strRef>
          </c:tx>
          <c:spPr>
            <a:ln w="25400" cap="rnd">
              <a:noFill/>
              <a:round/>
            </a:ln>
            <a:effectLst/>
          </c:spPr>
          <c:marker>
            <c:symbol val="circle"/>
            <c:size val="5"/>
            <c:spPr>
              <a:solidFill>
                <a:schemeClr val="accent3"/>
              </a:solidFill>
              <a:ln w="9525">
                <a:solidFill>
                  <a:schemeClr val="accent3"/>
                </a:solidFill>
              </a:ln>
              <a:effectLst/>
            </c:spPr>
          </c:marker>
          <c:dPt>
            <c:idx val="19"/>
            <c:marker>
              <c:symbol val="circle"/>
              <c:size val="5"/>
              <c:spPr>
                <a:noFill/>
                <a:ln w="9525">
                  <a:noFill/>
                </a:ln>
                <a:effectLst/>
              </c:spPr>
            </c:marker>
            <c:bubble3D val="0"/>
            <c:extLst>
              <c:ext xmlns:c16="http://schemas.microsoft.com/office/drawing/2014/chart" uri="{C3380CC4-5D6E-409C-BE32-E72D297353CC}">
                <c16:uniqueId val="{00000001-0A5C-4010-9A2C-F5C0E2EA5D30}"/>
              </c:ext>
            </c:extLst>
          </c:dPt>
          <c:errBars>
            <c:errDir val="y"/>
            <c:errBarType val="both"/>
            <c:errValType val="fixedVal"/>
            <c:noEndCap val="1"/>
            <c:val val="1"/>
            <c:spPr>
              <a:noFill/>
              <a:ln w="9525" cap="flat" cmpd="sng" algn="ctr">
                <a:solidFill>
                  <a:schemeClr val="tx1">
                    <a:lumMod val="65000"/>
                    <a:lumOff val="35000"/>
                  </a:schemeClr>
                </a:solidFill>
                <a:round/>
              </a:ln>
              <a:effectLst/>
            </c:spPr>
          </c:errBars>
          <c:yVal>
            <c:numRef>
              <c:f>'Fig 18 data'!$E$7:$E$62</c:f>
              <c:numCache>
                <c:formatCode>General</c:formatCode>
                <c:ptCount val="56"/>
                <c:pt idx="19">
                  <c:v>1</c:v>
                </c:pt>
              </c:numCache>
            </c:numRef>
          </c:yVal>
          <c:smooth val="0"/>
          <c:extLst>
            <c:ext xmlns:c16="http://schemas.microsoft.com/office/drawing/2014/chart" uri="{C3380CC4-5D6E-409C-BE32-E72D297353CC}">
              <c16:uniqueId val="{00000000-0A5C-4010-9A2C-F5C0E2EA5D30}"/>
            </c:ext>
          </c:extLst>
        </c:ser>
        <c:dLbls>
          <c:showLegendKey val="0"/>
          <c:showVal val="0"/>
          <c:showCatName val="0"/>
          <c:showSerName val="0"/>
          <c:showPercent val="0"/>
          <c:showBubbleSize val="0"/>
        </c:dLbls>
        <c:axId val="709596447"/>
        <c:axId val="709592607"/>
      </c:scatterChart>
      <c:catAx>
        <c:axId val="1775304895"/>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a:t>
                </a:r>
                <a:r>
                  <a:rPr lang="en-NZ" sz="1800" b="1" baseline="0">
                    <a:solidFill>
                      <a:sysClr val="windowText" lastClr="000000"/>
                    </a:solidFill>
                    <a:latin typeface="Arial" panose="020B0604020202020204" pitchFamily="34" charset="0"/>
                    <a:cs typeface="Arial" panose="020B0604020202020204" pitchFamily="34" charset="0"/>
                  </a:rPr>
                  <a:t> 30 June</a:t>
                </a:r>
                <a:endParaRPr lang="en-NZ" sz="18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709502869105204"/>
              <c:y val="0.8708863969321885"/>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Z"/>
            </a:p>
          </c:txPr>
        </c:title>
        <c:numFmt formatCode="General" sourceLinked="1"/>
        <c:majorTickMark val="none"/>
        <c:minorTickMark val="out"/>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75305375"/>
        <c:crosses val="autoZero"/>
        <c:auto val="1"/>
        <c:lblAlgn val="ctr"/>
        <c:lblOffset val="100"/>
        <c:tickLblSkip val="5"/>
        <c:tickMarkSkip val="5"/>
        <c:noMultiLvlLbl val="0"/>
      </c:catAx>
      <c:valAx>
        <c:axId val="1775305375"/>
        <c:scaling>
          <c:orientation val="minMax"/>
          <c:min val="20"/>
        </c:scaling>
        <c:delete val="0"/>
        <c:axPos val="l"/>
        <c:majorGridlines>
          <c:spPr>
            <a:ln w="9525" cap="flat" cmpd="sng" algn="ctr">
              <a:solidFill>
                <a:srgbClr val="A9A7A5"/>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3.6637650724867554E-6"/>
              <c:y val="9.5024952946841292E-4"/>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75304895"/>
        <c:crosses val="autoZero"/>
        <c:crossBetween val="between"/>
      </c:valAx>
      <c:valAx>
        <c:axId val="709592607"/>
        <c:scaling>
          <c:orientation val="minMax"/>
          <c:max val="1"/>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96447"/>
        <c:crosses val="max"/>
        <c:crossBetween val="midCat"/>
      </c:valAx>
      <c:valAx>
        <c:axId val="709596447"/>
        <c:scaling>
          <c:orientation val="minMax"/>
        </c:scaling>
        <c:delete val="1"/>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Projection</a:t>
                </a:r>
              </a:p>
            </c:rich>
          </c:tx>
          <c:layout>
            <c:manualLayout>
              <c:xMode val="edge"/>
              <c:yMode val="edge"/>
              <c:x val="0.60598631195817365"/>
              <c:y val="0.16268732089716401"/>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majorTickMark val="out"/>
        <c:minorTickMark val="none"/>
        <c:tickLblPos val="nextTo"/>
        <c:crossAx val="709592607"/>
        <c:crosses val="autoZero"/>
        <c:crossBetween val="midCat"/>
      </c:valAx>
      <c:spPr>
        <a:noFill/>
        <a:ln>
          <a:noFill/>
        </a:ln>
        <a:effectLst/>
      </c:spPr>
    </c:plotArea>
    <c:legend>
      <c:legendPos val="b"/>
      <c:legendEntry>
        <c:idx val="2"/>
        <c:delete val="1"/>
      </c:legendEntry>
      <c:layout>
        <c:manualLayout>
          <c:xMode val="edge"/>
          <c:yMode val="edge"/>
          <c:x val="0.1354309681466877"/>
          <c:y val="0.92337440046636876"/>
          <c:w val="0.72605705279625565"/>
          <c:h val="6.78403018022961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84173798694977E-2"/>
          <c:y val="8.1744099141276616E-2"/>
          <c:w val="0.90213902124151446"/>
          <c:h val="0.72069144613955038"/>
        </c:manualLayout>
      </c:layout>
      <c:lineChart>
        <c:grouping val="standard"/>
        <c:varyColors val="0"/>
        <c:ser>
          <c:idx val="0"/>
          <c:order val="0"/>
          <c:tx>
            <c:strRef>
              <c:f>'Fig 19 data'!$C$5</c:f>
              <c:strCache>
                <c:ptCount val="1"/>
                <c:pt idx="0">
                  <c:v>LTFS 2025</c:v>
                </c:pt>
              </c:strCache>
            </c:strRef>
          </c:tx>
          <c:spPr>
            <a:ln w="38100" cap="rnd">
              <a:solidFill>
                <a:srgbClr val="0083AC"/>
              </a:solidFill>
              <a:round/>
            </a:ln>
            <a:effectLst/>
          </c:spPr>
          <c:marker>
            <c:symbol val="none"/>
          </c:marker>
          <c:cat>
            <c:numRef>
              <c:f>'Fig 19 data'!$B$7:$B$62</c:f>
              <c:numCache>
                <c:formatCode>@</c:formatCode>
                <c:ptCount val="5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pt idx="41">
                  <c:v>2051</c:v>
                </c:pt>
                <c:pt idx="42">
                  <c:v>2052</c:v>
                </c:pt>
                <c:pt idx="43">
                  <c:v>2053</c:v>
                </c:pt>
                <c:pt idx="44">
                  <c:v>2054</c:v>
                </c:pt>
                <c:pt idx="45">
                  <c:v>2055</c:v>
                </c:pt>
                <c:pt idx="46">
                  <c:v>2056</c:v>
                </c:pt>
                <c:pt idx="47">
                  <c:v>2057</c:v>
                </c:pt>
                <c:pt idx="48">
                  <c:v>2058</c:v>
                </c:pt>
                <c:pt idx="49">
                  <c:v>2059</c:v>
                </c:pt>
                <c:pt idx="50">
                  <c:v>2060</c:v>
                </c:pt>
                <c:pt idx="51">
                  <c:v>2061</c:v>
                </c:pt>
                <c:pt idx="52">
                  <c:v>2062</c:v>
                </c:pt>
                <c:pt idx="53">
                  <c:v>2063</c:v>
                </c:pt>
                <c:pt idx="54">
                  <c:v>2064</c:v>
                </c:pt>
                <c:pt idx="55">
                  <c:v>2065</c:v>
                </c:pt>
              </c:numCache>
            </c:numRef>
          </c:cat>
          <c:val>
            <c:numRef>
              <c:f>'Fig 19 data'!$C$7:$C$62</c:f>
              <c:numCache>
                <c:formatCode>0.0</c:formatCode>
                <c:ptCount val="56"/>
                <c:pt idx="0">
                  <c:v>13.548243258307407</c:v>
                </c:pt>
                <c:pt idx="1">
                  <c:v>19.468554267721728</c:v>
                </c:pt>
                <c:pt idx="2">
                  <c:v>23.546769643993994</c:v>
                </c:pt>
                <c:pt idx="3">
                  <c:v>25.474147173822786</c:v>
                </c:pt>
                <c:pt idx="4">
                  <c:v>25.273691845754193</c:v>
                </c:pt>
                <c:pt idx="5">
                  <c:v>24.659478673949558</c:v>
                </c:pt>
                <c:pt idx="6">
                  <c:v>23.90010466917203</c:v>
                </c:pt>
                <c:pt idx="7">
                  <c:v>21.559395264037349</c:v>
                </c:pt>
                <c:pt idx="8">
                  <c:v>19.43390040189421</c:v>
                </c:pt>
                <c:pt idx="9">
                  <c:v>18.593806358530429</c:v>
                </c:pt>
                <c:pt idx="10">
                  <c:v>26.249012218580681</c:v>
                </c:pt>
                <c:pt idx="11">
                  <c:v>29.726872708529299</c:v>
                </c:pt>
                <c:pt idx="12">
                  <c:v>35.238545756816755</c:v>
                </c:pt>
                <c:pt idx="13">
                  <c:v>38.668698807362532</c:v>
                </c:pt>
                <c:pt idx="14">
                  <c:v>41.715364388928769</c:v>
                </c:pt>
                <c:pt idx="15">
                  <c:v>42.662266631123209</c:v>
                </c:pt>
                <c:pt idx="16">
                  <c:v>43.856251533527278</c:v>
                </c:pt>
                <c:pt idx="17">
                  <c:v>45.720325679720375</c:v>
                </c:pt>
                <c:pt idx="18">
                  <c:v>45.969979994649258</c:v>
                </c:pt>
                <c:pt idx="19">
                  <c:v>45.50753450532509</c:v>
                </c:pt>
                <c:pt idx="20">
                  <c:v>45.994639863852179</c:v>
                </c:pt>
                <c:pt idx="21">
                  <c:v>46.745755798944231</c:v>
                </c:pt>
                <c:pt idx="22">
                  <c:v>47.902018331619956</c:v>
                </c:pt>
                <c:pt idx="23">
                  <c:v>49.474451588221683</c:v>
                </c:pt>
                <c:pt idx="24">
                  <c:v>51.410059238652636</c:v>
                </c:pt>
                <c:pt idx="25">
                  <c:v>53.639633556887688</c:v>
                </c:pt>
                <c:pt idx="26">
                  <c:v>55.792886503026232</c:v>
                </c:pt>
                <c:pt idx="27">
                  <c:v>58.042324639763123</c:v>
                </c:pt>
                <c:pt idx="28">
                  <c:v>60.498660534783376</c:v>
                </c:pt>
                <c:pt idx="29">
                  <c:v>63.174159719252209</c:v>
                </c:pt>
                <c:pt idx="30">
                  <c:v>66.002794014467909</c:v>
                </c:pt>
                <c:pt idx="31">
                  <c:v>68.992727316958778</c:v>
                </c:pt>
                <c:pt idx="32">
                  <c:v>72.143805681006384</c:v>
                </c:pt>
                <c:pt idx="33">
                  <c:v>75.45883598356383</c:v>
                </c:pt>
                <c:pt idx="34">
                  <c:v>78.940304126756189</c:v>
                </c:pt>
                <c:pt idx="35">
                  <c:v>82.592221057046871</c:v>
                </c:pt>
                <c:pt idx="36">
                  <c:v>86.419370432243412</c:v>
                </c:pt>
                <c:pt idx="37">
                  <c:v>90.426369443103468</c:v>
                </c:pt>
                <c:pt idx="38">
                  <c:v>94.620476617891711</c:v>
                </c:pt>
                <c:pt idx="39">
                  <c:v>99.00777145746747</c:v>
                </c:pt>
                <c:pt idx="40">
                  <c:v>103.59208253345477</c:v>
                </c:pt>
                <c:pt idx="41">
                  <c:v>108.37763071072106</c:v>
                </c:pt>
                <c:pt idx="42">
                  <c:v>113.37678136034725</c:v>
                </c:pt>
                <c:pt idx="43">
                  <c:v>118.595341758323</c:v>
                </c:pt>
                <c:pt idx="44">
                  <c:v>124.03839608169436</c:v>
                </c:pt>
                <c:pt idx="45">
                  <c:v>129.71358707590875</c:v>
                </c:pt>
                <c:pt idx="46">
                  <c:v>135.63550650685855</c:v>
                </c:pt>
                <c:pt idx="47">
                  <c:v>141.80317962623471</c:v>
                </c:pt>
                <c:pt idx="48">
                  <c:v>148.21684127458337</c:v>
                </c:pt>
                <c:pt idx="49">
                  <c:v>154.87340162203637</c:v>
                </c:pt>
                <c:pt idx="50">
                  <c:v>161.77874586949704</c:v>
                </c:pt>
                <c:pt idx="51">
                  <c:v>168.92589308825092</c:v>
                </c:pt>
                <c:pt idx="52">
                  <c:v>176.32532755945135</c:v>
                </c:pt>
                <c:pt idx="53">
                  <c:v>183.97419005984332</c:v>
                </c:pt>
                <c:pt idx="54">
                  <c:v>191.87530189258945</c:v>
                </c:pt>
                <c:pt idx="55">
                  <c:v>200.04067114934801</c:v>
                </c:pt>
              </c:numCache>
            </c:numRef>
          </c:val>
          <c:smooth val="0"/>
          <c:extLst>
            <c:ext xmlns:c16="http://schemas.microsoft.com/office/drawing/2014/chart" uri="{C3380CC4-5D6E-409C-BE32-E72D297353CC}">
              <c16:uniqueId val="{00000000-22B2-4ABC-B77B-F8DB3C93ECF5}"/>
            </c:ext>
          </c:extLst>
        </c:ser>
        <c:ser>
          <c:idx val="1"/>
          <c:order val="1"/>
          <c:tx>
            <c:strRef>
              <c:f>'Fig 19 data'!$D$5</c:f>
              <c:strCache>
                <c:ptCount val="1"/>
                <c:pt idx="0">
                  <c:v>LTFS 2021 </c:v>
                </c:pt>
              </c:strCache>
            </c:strRef>
          </c:tx>
          <c:spPr>
            <a:ln w="38100" cap="rnd">
              <a:solidFill>
                <a:srgbClr val="67A854"/>
              </a:solidFill>
              <a:round/>
            </a:ln>
            <a:effectLst/>
          </c:spPr>
          <c:marker>
            <c:symbol val="none"/>
          </c:marker>
          <c:cat>
            <c:numRef>
              <c:f>'Fig 19 data'!$B$7:$B$62</c:f>
              <c:numCache>
                <c:formatCode>@</c:formatCode>
                <c:ptCount val="5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pt idx="41">
                  <c:v>2051</c:v>
                </c:pt>
                <c:pt idx="42">
                  <c:v>2052</c:v>
                </c:pt>
                <c:pt idx="43">
                  <c:v>2053</c:v>
                </c:pt>
                <c:pt idx="44">
                  <c:v>2054</c:v>
                </c:pt>
                <c:pt idx="45">
                  <c:v>2055</c:v>
                </c:pt>
                <c:pt idx="46">
                  <c:v>2056</c:v>
                </c:pt>
                <c:pt idx="47">
                  <c:v>2057</c:v>
                </c:pt>
                <c:pt idx="48">
                  <c:v>2058</c:v>
                </c:pt>
                <c:pt idx="49">
                  <c:v>2059</c:v>
                </c:pt>
                <c:pt idx="50">
                  <c:v>2060</c:v>
                </c:pt>
                <c:pt idx="51">
                  <c:v>2061</c:v>
                </c:pt>
                <c:pt idx="52">
                  <c:v>2062</c:v>
                </c:pt>
                <c:pt idx="53">
                  <c:v>2063</c:v>
                </c:pt>
                <c:pt idx="54">
                  <c:v>2064</c:v>
                </c:pt>
                <c:pt idx="55">
                  <c:v>2065</c:v>
                </c:pt>
              </c:numCache>
            </c:numRef>
          </c:cat>
          <c:val>
            <c:numRef>
              <c:f>'Fig 19 data'!$D$7:$D$62</c:f>
              <c:numCache>
                <c:formatCode>0.0</c:formatCode>
                <c:ptCount val="56"/>
                <c:pt idx="0">
                  <c:v>13.548243258307407</c:v>
                </c:pt>
                <c:pt idx="1">
                  <c:v>19.468554267721728</c:v>
                </c:pt>
                <c:pt idx="2">
                  <c:v>23.546769643993994</c:v>
                </c:pt>
                <c:pt idx="3">
                  <c:v>25.474147173822786</c:v>
                </c:pt>
                <c:pt idx="4">
                  <c:v>25.273691845754193</c:v>
                </c:pt>
                <c:pt idx="5">
                  <c:v>24.659478673949558</c:v>
                </c:pt>
                <c:pt idx="6">
                  <c:v>23.90010466917203</c:v>
                </c:pt>
                <c:pt idx="7">
                  <c:v>21.559395264037349</c:v>
                </c:pt>
                <c:pt idx="8">
                  <c:v>19.43390040189421</c:v>
                </c:pt>
                <c:pt idx="9">
                  <c:v>18.608848679015406</c:v>
                </c:pt>
                <c:pt idx="10">
                  <c:v>26.33848467234451</c:v>
                </c:pt>
                <c:pt idx="11">
                  <c:v>33.987840872729876</c:v>
                </c:pt>
                <c:pt idx="12">
                  <c:v>43.835455850312513</c:v>
                </c:pt>
                <c:pt idx="13">
                  <c:v>48.019651471573447</c:v>
                </c:pt>
                <c:pt idx="14">
                  <c:v>46.897638356471219</c:v>
                </c:pt>
                <c:pt idx="15">
                  <c:v>43.626535389367504</c:v>
                </c:pt>
                <c:pt idx="16">
                  <c:v>41.349367092058841</c:v>
                </c:pt>
                <c:pt idx="17">
                  <c:v>41.299352600643566</c:v>
                </c:pt>
                <c:pt idx="18">
                  <c:v>41.568812622795363</c:v>
                </c:pt>
                <c:pt idx="19">
                  <c:v>42.115641250900389</c:v>
                </c:pt>
                <c:pt idx="20">
                  <c:v>42.934260054053212</c:v>
                </c:pt>
                <c:pt idx="21">
                  <c:v>43.96662628393112</c:v>
                </c:pt>
                <c:pt idx="22">
                  <c:v>45.229959008836133</c:v>
                </c:pt>
                <c:pt idx="23">
                  <c:v>46.759869729990314</c:v>
                </c:pt>
                <c:pt idx="24">
                  <c:v>48.529675173833006</c:v>
                </c:pt>
                <c:pt idx="25">
                  <c:v>50.529367848738985</c:v>
                </c:pt>
                <c:pt idx="26">
                  <c:v>52.767320332914501</c:v>
                </c:pt>
                <c:pt idx="27">
                  <c:v>55.245767320824925</c:v>
                </c:pt>
                <c:pt idx="28">
                  <c:v>57.962462529982353</c:v>
                </c:pt>
                <c:pt idx="29">
                  <c:v>60.925301569466363</c:v>
                </c:pt>
                <c:pt idx="30">
                  <c:v>64.139811594594079</c:v>
                </c:pt>
                <c:pt idx="31">
                  <c:v>67.607598308494246</c:v>
                </c:pt>
                <c:pt idx="32">
                  <c:v>71.343967982807882</c:v>
                </c:pt>
                <c:pt idx="33">
                  <c:v>75.348110661147274</c:v>
                </c:pt>
                <c:pt idx="34">
                  <c:v>79.628487140890073</c:v>
                </c:pt>
                <c:pt idx="35">
                  <c:v>84.163318109699361</c:v>
                </c:pt>
                <c:pt idx="36">
                  <c:v>88.950524143797665</c:v>
                </c:pt>
                <c:pt idx="37">
                  <c:v>94.006077996983734</c:v>
                </c:pt>
                <c:pt idx="38">
                  <c:v>99.333596673210636</c:v>
                </c:pt>
                <c:pt idx="39">
                  <c:v>104.92817000406269</c:v>
                </c:pt>
                <c:pt idx="40">
                  <c:v>110.80484492676321</c:v>
                </c:pt>
                <c:pt idx="41">
                  <c:v>116.97779124268848</c:v>
                </c:pt>
                <c:pt idx="42">
                  <c:v>123.45504122815846</c:v>
                </c:pt>
                <c:pt idx="43">
                  <c:v>130.24121896748707</c:v>
                </c:pt>
                <c:pt idx="44">
                  <c:v>137.35949327654998</c:v>
                </c:pt>
                <c:pt idx="45">
                  <c:v>144.81912363583186</c:v>
                </c:pt>
                <c:pt idx="46">
                  <c:v>152.61689472522258</c:v>
                </c:pt>
                <c:pt idx="47">
                  <c:v>160.77246117007101</c:v>
                </c:pt>
                <c:pt idx="48">
                  <c:v>169.27069626680364</c:v>
                </c:pt>
                <c:pt idx="49">
                  <c:v>178.12468480125045</c:v>
                </c:pt>
                <c:pt idx="50">
                  <c:v>187.35778717507296</c:v>
                </c:pt>
                <c:pt idx="51">
                  <c:v>196.94431310166559</c:v>
                </c:pt>
              </c:numCache>
            </c:numRef>
          </c:val>
          <c:smooth val="0"/>
          <c:extLst>
            <c:ext xmlns:c16="http://schemas.microsoft.com/office/drawing/2014/chart" uri="{C3380CC4-5D6E-409C-BE32-E72D297353CC}">
              <c16:uniqueId val="{00000001-22B2-4ABC-B77B-F8DB3C93ECF5}"/>
            </c:ext>
          </c:extLst>
        </c:ser>
        <c:ser>
          <c:idx val="2"/>
          <c:order val="2"/>
          <c:tx>
            <c:strRef>
              <c:f>'Fig 19 data'!$E$5</c:f>
              <c:strCache>
                <c:ptCount val="1"/>
                <c:pt idx="0">
                  <c:v>LTFS 2006 </c:v>
                </c:pt>
              </c:strCache>
            </c:strRef>
          </c:tx>
          <c:spPr>
            <a:ln w="38100" cap="rnd">
              <a:solidFill>
                <a:srgbClr val="3E403A"/>
              </a:solidFill>
              <a:round/>
            </a:ln>
            <a:effectLst/>
          </c:spPr>
          <c:marker>
            <c:symbol val="none"/>
          </c:marker>
          <c:cat>
            <c:numRef>
              <c:f>'Fig 19 data'!$B$7:$B$62</c:f>
              <c:numCache>
                <c:formatCode>@</c:formatCode>
                <c:ptCount val="5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pt idx="41">
                  <c:v>2051</c:v>
                </c:pt>
                <c:pt idx="42">
                  <c:v>2052</c:v>
                </c:pt>
                <c:pt idx="43">
                  <c:v>2053</c:v>
                </c:pt>
                <c:pt idx="44">
                  <c:v>2054</c:v>
                </c:pt>
                <c:pt idx="45">
                  <c:v>2055</c:v>
                </c:pt>
                <c:pt idx="46">
                  <c:v>2056</c:v>
                </c:pt>
                <c:pt idx="47">
                  <c:v>2057</c:v>
                </c:pt>
                <c:pt idx="48">
                  <c:v>2058</c:v>
                </c:pt>
                <c:pt idx="49">
                  <c:v>2059</c:v>
                </c:pt>
                <c:pt idx="50">
                  <c:v>2060</c:v>
                </c:pt>
                <c:pt idx="51">
                  <c:v>2061</c:v>
                </c:pt>
                <c:pt idx="52">
                  <c:v>2062</c:v>
                </c:pt>
                <c:pt idx="53">
                  <c:v>2063</c:v>
                </c:pt>
                <c:pt idx="54">
                  <c:v>2064</c:v>
                </c:pt>
                <c:pt idx="55">
                  <c:v>2065</c:v>
                </c:pt>
              </c:numCache>
            </c:numRef>
          </c:cat>
          <c:val>
            <c:numRef>
              <c:f>'Fig 19 data'!$E$7:$E$62</c:f>
              <c:numCache>
                <c:formatCode>0.0</c:formatCode>
                <c:ptCount val="56"/>
                <c:pt idx="0">
                  <c:v>12.836404683877525</c:v>
                </c:pt>
                <c:pt idx="1">
                  <c:v>13.510539464867374</c:v>
                </c:pt>
                <c:pt idx="2">
                  <c:v>14.217133633053322</c:v>
                </c:pt>
                <c:pt idx="3">
                  <c:v>14.863503780470811</c:v>
                </c:pt>
                <c:pt idx="4">
                  <c:v>15.455754454660189</c:v>
                </c:pt>
                <c:pt idx="5">
                  <c:v>15.996242203802865</c:v>
                </c:pt>
                <c:pt idx="6">
                  <c:v>16.50264122408857</c:v>
                </c:pt>
                <c:pt idx="7">
                  <c:v>17.038604929830665</c:v>
                </c:pt>
                <c:pt idx="8">
                  <c:v>17.574262657934543</c:v>
                </c:pt>
                <c:pt idx="9">
                  <c:v>18.1104800780628</c:v>
                </c:pt>
                <c:pt idx="10">
                  <c:v>18.647506474476902</c:v>
                </c:pt>
                <c:pt idx="11">
                  <c:v>19.228273892608268</c:v>
                </c:pt>
                <c:pt idx="12">
                  <c:v>19.907224138167525</c:v>
                </c:pt>
                <c:pt idx="13">
                  <c:v>20.656779731706752</c:v>
                </c:pt>
                <c:pt idx="14">
                  <c:v>21.510952066038357</c:v>
                </c:pt>
                <c:pt idx="15">
                  <c:v>22.497439755577638</c:v>
                </c:pt>
                <c:pt idx="16">
                  <c:v>23.635844316261764</c:v>
                </c:pt>
                <c:pt idx="17">
                  <c:v>24.947319222353386</c:v>
                </c:pt>
                <c:pt idx="18">
                  <c:v>26.411209695647305</c:v>
                </c:pt>
                <c:pt idx="19">
                  <c:v>28.030350579587161</c:v>
                </c:pt>
                <c:pt idx="20">
                  <c:v>29.795661243645604</c:v>
                </c:pt>
                <c:pt idx="21">
                  <c:v>31.719251939426833</c:v>
                </c:pt>
                <c:pt idx="22">
                  <c:v>33.854700528397764</c:v>
                </c:pt>
                <c:pt idx="23">
                  <c:v>36.181927527425948</c:v>
                </c:pt>
                <c:pt idx="24">
                  <c:v>38.690851126738423</c:v>
                </c:pt>
                <c:pt idx="25">
                  <c:v>41.3808705508796</c:v>
                </c:pt>
                <c:pt idx="26">
                  <c:v>44.255071091976525</c:v>
                </c:pt>
                <c:pt idx="27">
                  <c:v>47.323627339085881</c:v>
                </c:pt>
                <c:pt idx="28">
                  <c:v>50.557416246700704</c:v>
                </c:pt>
                <c:pt idx="29">
                  <c:v>53.958850086039853</c:v>
                </c:pt>
                <c:pt idx="30">
                  <c:v>57.510394384529874</c:v>
                </c:pt>
                <c:pt idx="31">
                  <c:v>61.209921003574287</c:v>
                </c:pt>
                <c:pt idx="32">
                  <c:v>65.10381617725487</c:v>
                </c:pt>
                <c:pt idx="33">
                  <c:v>69.1529640794176</c:v>
                </c:pt>
                <c:pt idx="34">
                  <c:v>73.385842823052698</c:v>
                </c:pt>
                <c:pt idx="35">
                  <c:v>77.776502111147366</c:v>
                </c:pt>
                <c:pt idx="36">
                  <c:v>82.340448101488434</c:v>
                </c:pt>
                <c:pt idx="37">
                  <c:v>87.065776456737254</c:v>
                </c:pt>
                <c:pt idx="38">
                  <c:v>91.954026324778241</c:v>
                </c:pt>
                <c:pt idx="39">
                  <c:v>96.973642225885143</c:v>
                </c:pt>
                <c:pt idx="40">
                  <c:v>102.14514818994031</c:v>
                </c:pt>
              </c:numCache>
            </c:numRef>
          </c:val>
          <c:smooth val="0"/>
          <c:extLst>
            <c:ext xmlns:c16="http://schemas.microsoft.com/office/drawing/2014/chart" uri="{C3380CC4-5D6E-409C-BE32-E72D297353CC}">
              <c16:uniqueId val="{00000002-22B2-4ABC-B77B-F8DB3C93ECF5}"/>
            </c:ext>
          </c:extLst>
        </c:ser>
        <c:dLbls>
          <c:showLegendKey val="0"/>
          <c:showVal val="0"/>
          <c:showCatName val="0"/>
          <c:showSerName val="0"/>
          <c:showPercent val="0"/>
          <c:showBubbleSize val="0"/>
        </c:dLbls>
        <c:smooth val="0"/>
        <c:axId val="249662575"/>
        <c:axId val="249660655"/>
      </c:lineChart>
      <c:catAx>
        <c:axId val="249662575"/>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i="0">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9211727518643846"/>
              <c:y val="0.88071740104733365"/>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 sourceLinked="1"/>
        <c:majorTickMark val="out"/>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9660655"/>
        <c:crosses val="autoZero"/>
        <c:auto val="1"/>
        <c:lblAlgn val="ctr"/>
        <c:lblOffset val="100"/>
        <c:tickLblSkip val="5"/>
        <c:tickMarkSkip val="5"/>
        <c:noMultiLvlLbl val="0"/>
      </c:catAx>
      <c:valAx>
        <c:axId val="249660655"/>
        <c:scaling>
          <c:orientation val="minMax"/>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9.0996732630049208E-4"/>
              <c:y val="1.7274074873186945E-3"/>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9662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82396135230294E-2"/>
          <c:y val="9.1367115621637532E-2"/>
          <c:w val="0.89321045847160174"/>
          <c:h val="0.72718140011910259"/>
        </c:manualLayout>
      </c:layout>
      <c:lineChart>
        <c:grouping val="standard"/>
        <c:varyColors val="0"/>
        <c:ser>
          <c:idx val="0"/>
          <c:order val="0"/>
          <c:tx>
            <c:strRef>
              <c:f>'Fig 20 data'!$C$5</c:f>
              <c:strCache>
                <c:ptCount val="1"/>
                <c:pt idx="0">
                  <c:v>OLG</c:v>
                </c:pt>
              </c:strCache>
            </c:strRef>
          </c:tx>
          <c:spPr>
            <a:ln w="38100">
              <a:solidFill>
                <a:srgbClr val="0083AC"/>
              </a:solidFill>
            </a:ln>
          </c:spPr>
          <c:marker>
            <c:symbol val="none"/>
          </c:marker>
          <c:cat>
            <c:numRef>
              <c:f>'Fig 20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20 data'!$C$7:$C$47</c:f>
              <c:numCache>
                <c:formatCode>0.0</c:formatCode>
                <c:ptCount val="41"/>
                <c:pt idx="0">
                  <c:v>42.472015775010298</c:v>
                </c:pt>
                <c:pt idx="1">
                  <c:v>42.576202991002503</c:v>
                </c:pt>
                <c:pt idx="2">
                  <c:v>42.886500700301497</c:v>
                </c:pt>
                <c:pt idx="3">
                  <c:v>43.408313171584702</c:v>
                </c:pt>
                <c:pt idx="4">
                  <c:v>44.138328082986703</c:v>
                </c:pt>
                <c:pt idx="5">
                  <c:v>45.083010317918003</c:v>
                </c:pt>
                <c:pt idx="6">
                  <c:v>46.222230378354702</c:v>
                </c:pt>
                <c:pt idx="7">
                  <c:v>47.564900640418003</c:v>
                </c:pt>
                <c:pt idx="8">
                  <c:v>49.122383898461997</c:v>
                </c:pt>
                <c:pt idx="9">
                  <c:v>50.890821569152003</c:v>
                </c:pt>
                <c:pt idx="10">
                  <c:v>52.875144765340401</c:v>
                </c:pt>
                <c:pt idx="11">
                  <c:v>55.075235910280199</c:v>
                </c:pt>
                <c:pt idx="12">
                  <c:v>57.495436354331403</c:v>
                </c:pt>
                <c:pt idx="13">
                  <c:v>60.120468550096497</c:v>
                </c:pt>
                <c:pt idx="14">
                  <c:v>62.941063805169001</c:v>
                </c:pt>
                <c:pt idx="15">
                  <c:v>65.936763981832698</c:v>
                </c:pt>
                <c:pt idx="16">
                  <c:v>69.105107600146496</c:v>
                </c:pt>
                <c:pt idx="17">
                  <c:v>72.432960854334098</c:v>
                </c:pt>
                <c:pt idx="18">
                  <c:v>75.929013457594905</c:v>
                </c:pt>
                <c:pt idx="19">
                  <c:v>79.638069815668203</c:v>
                </c:pt>
                <c:pt idx="20">
                  <c:v>83.551754071081604</c:v>
                </c:pt>
                <c:pt idx="21">
                  <c:v>87.657261965249106</c:v>
                </c:pt>
                <c:pt idx="22">
                  <c:v>91.9847424249878</c:v>
                </c:pt>
                <c:pt idx="23">
                  <c:v>96.552918941897005</c:v>
                </c:pt>
                <c:pt idx="24">
                  <c:v>101.37145318232901</c:v>
                </c:pt>
                <c:pt idx="25">
                  <c:v>106.453085247328</c:v>
                </c:pt>
                <c:pt idx="26">
                  <c:v>111.811086941035</c:v>
                </c:pt>
                <c:pt idx="27">
                  <c:v>117.470642981767</c:v>
                </c:pt>
                <c:pt idx="28">
                  <c:v>123.453745782054</c:v>
                </c:pt>
                <c:pt idx="29">
                  <c:v>129.76677259414399</c:v>
                </c:pt>
                <c:pt idx="30">
                  <c:v>136.430850315996</c:v>
                </c:pt>
                <c:pt idx="31">
                  <c:v>143.45052357187399</c:v>
                </c:pt>
                <c:pt idx="32">
                  <c:v>150.80517286671599</c:v>
                </c:pt>
                <c:pt idx="33">
                  <c:v>158.46846245139099</c:v>
                </c:pt>
                <c:pt idx="34">
                  <c:v>166.41410039440299</c:v>
                </c:pt>
                <c:pt idx="35">
                  <c:v>174.633206978571</c:v>
                </c:pt>
                <c:pt idx="36">
                  <c:v>183.10282769880399</c:v>
                </c:pt>
                <c:pt idx="37">
                  <c:v>191.79670793859199</c:v>
                </c:pt>
                <c:pt idx="38">
                  <c:v>200.70493720958299</c:v>
                </c:pt>
                <c:pt idx="39">
                  <c:v>209.78917144181401</c:v>
                </c:pt>
                <c:pt idx="40">
                  <c:v>219.09613686220601</c:v>
                </c:pt>
              </c:numCache>
            </c:numRef>
          </c:val>
          <c:smooth val="0"/>
          <c:extLst>
            <c:ext xmlns:c16="http://schemas.microsoft.com/office/drawing/2014/chart" uri="{C3380CC4-5D6E-409C-BE32-E72D297353CC}">
              <c16:uniqueId val="{00000000-2713-41A5-8283-8E309C32912C}"/>
            </c:ext>
          </c:extLst>
        </c:ser>
        <c:ser>
          <c:idx val="1"/>
          <c:order val="1"/>
          <c:tx>
            <c:strRef>
              <c:f>'Fig 20 data'!$D$5</c:f>
              <c:strCache>
                <c:ptCount val="1"/>
                <c:pt idx="0">
                  <c:v>LTFM </c:v>
                </c:pt>
              </c:strCache>
            </c:strRef>
          </c:tx>
          <c:spPr>
            <a:ln>
              <a:solidFill>
                <a:srgbClr val="3E403A"/>
              </a:solidFill>
            </a:ln>
          </c:spPr>
          <c:marker>
            <c:symbol val="none"/>
          </c:marker>
          <c:val>
            <c:numRef>
              <c:f>'Fig 20 data'!$D$7:$D$47</c:f>
              <c:numCache>
                <c:formatCode>0.0</c:formatCode>
                <c:ptCount val="41"/>
                <c:pt idx="0">
                  <c:v>42.662266631123217</c:v>
                </c:pt>
                <c:pt idx="1">
                  <c:v>43.856251533527278</c:v>
                </c:pt>
                <c:pt idx="2">
                  <c:v>45.720325679720375</c:v>
                </c:pt>
                <c:pt idx="3">
                  <c:v>45.96997999464925</c:v>
                </c:pt>
                <c:pt idx="4">
                  <c:v>45.507534505325083</c:v>
                </c:pt>
                <c:pt idx="5">
                  <c:v>45.994639863852179</c:v>
                </c:pt>
                <c:pt idx="6">
                  <c:v>46.745755798944231</c:v>
                </c:pt>
                <c:pt idx="7">
                  <c:v>47.902018331619956</c:v>
                </c:pt>
                <c:pt idx="8">
                  <c:v>49.474451588221683</c:v>
                </c:pt>
                <c:pt idx="9">
                  <c:v>51.410059238652636</c:v>
                </c:pt>
                <c:pt idx="10">
                  <c:v>53.639633556887688</c:v>
                </c:pt>
                <c:pt idx="11">
                  <c:v>55.792886503026232</c:v>
                </c:pt>
                <c:pt idx="12">
                  <c:v>58.042324639763123</c:v>
                </c:pt>
                <c:pt idx="13">
                  <c:v>60.498660534783376</c:v>
                </c:pt>
                <c:pt idx="14">
                  <c:v>63.174159719252209</c:v>
                </c:pt>
                <c:pt idx="15">
                  <c:v>66.002794014467909</c:v>
                </c:pt>
                <c:pt idx="16">
                  <c:v>68.992727316958778</c:v>
                </c:pt>
                <c:pt idx="17">
                  <c:v>72.143805681006384</c:v>
                </c:pt>
                <c:pt idx="18">
                  <c:v>75.45883598356383</c:v>
                </c:pt>
                <c:pt idx="19">
                  <c:v>78.940304126756189</c:v>
                </c:pt>
                <c:pt idx="20">
                  <c:v>82.592221057046871</c:v>
                </c:pt>
                <c:pt idx="21">
                  <c:v>86.419370432243412</c:v>
                </c:pt>
                <c:pt idx="22">
                  <c:v>90.426369443103468</c:v>
                </c:pt>
                <c:pt idx="23">
                  <c:v>94.620476617891711</c:v>
                </c:pt>
                <c:pt idx="24">
                  <c:v>99.00777145746747</c:v>
                </c:pt>
                <c:pt idx="25">
                  <c:v>103.59208253345477</c:v>
                </c:pt>
                <c:pt idx="26">
                  <c:v>108.37763071072106</c:v>
                </c:pt>
                <c:pt idx="27">
                  <c:v>113.37678136034725</c:v>
                </c:pt>
                <c:pt idx="28">
                  <c:v>118.595341758323</c:v>
                </c:pt>
                <c:pt idx="29">
                  <c:v>124.03839608169436</c:v>
                </c:pt>
                <c:pt idx="30">
                  <c:v>129.71358707590875</c:v>
                </c:pt>
                <c:pt idx="31">
                  <c:v>135.63550650685855</c:v>
                </c:pt>
                <c:pt idx="32">
                  <c:v>141.80317962623471</c:v>
                </c:pt>
                <c:pt idx="33">
                  <c:v>148.21684127458337</c:v>
                </c:pt>
                <c:pt idx="34">
                  <c:v>154.87340162203637</c:v>
                </c:pt>
                <c:pt idx="35">
                  <c:v>161.77874586949704</c:v>
                </c:pt>
                <c:pt idx="36">
                  <c:v>168.92589308825092</c:v>
                </c:pt>
                <c:pt idx="37">
                  <c:v>176.32532755945135</c:v>
                </c:pt>
                <c:pt idx="38">
                  <c:v>183.97419005984332</c:v>
                </c:pt>
                <c:pt idx="39">
                  <c:v>191.87530189258945</c:v>
                </c:pt>
                <c:pt idx="40">
                  <c:v>200.04067114934801</c:v>
                </c:pt>
              </c:numCache>
            </c:numRef>
          </c:val>
          <c:smooth val="0"/>
          <c:extLst>
            <c:ext xmlns:c16="http://schemas.microsoft.com/office/drawing/2014/chart" uri="{C3380CC4-5D6E-409C-BE32-E72D297353CC}">
              <c16:uniqueId val="{00000000-0166-462D-BDAF-10333943A8FF}"/>
            </c:ext>
          </c:extLst>
        </c:ser>
        <c:dLbls>
          <c:showLegendKey val="0"/>
          <c:showVal val="0"/>
          <c:showCatName val="0"/>
          <c:showSerName val="0"/>
          <c:showPercent val="0"/>
          <c:showBubbleSize val="0"/>
        </c:dLbls>
        <c:smooth val="0"/>
        <c:axId val="1637865936"/>
        <c:axId val="1637889456"/>
      </c:lineChart>
      <c:catAx>
        <c:axId val="1637865936"/>
        <c:scaling>
          <c:orientation val="minMax"/>
        </c:scaling>
        <c:delete val="0"/>
        <c:axPos val="b"/>
        <c:title>
          <c:tx>
            <c:rich>
              <a:bodyPr/>
              <a:lstStyle/>
              <a:p>
                <a:pPr algn="ctr">
                  <a:defRPr sz="1800" b="1">
                    <a:solidFill>
                      <a:srgbClr val="000000"/>
                    </a:solidFill>
                    <a:latin typeface="Arial"/>
                    <a:ea typeface="Arial"/>
                    <a:cs typeface="Arial"/>
                  </a:defRPr>
                </a:pPr>
                <a:r>
                  <a:rPr lang="en-NZ"/>
                  <a:t>Year ending 30 June</a:t>
                </a:r>
              </a:p>
            </c:rich>
          </c:tx>
          <c:layout>
            <c:manualLayout>
              <c:xMode val="edge"/>
              <c:yMode val="edge"/>
              <c:x val="0.38912093238687162"/>
              <c:y val="0.88916363395751985"/>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637889456"/>
        <c:crosses val="autoZero"/>
        <c:auto val="1"/>
        <c:lblAlgn val="ctr"/>
        <c:lblOffset val="100"/>
        <c:tickLblSkip val="5"/>
        <c:tickMarkSkip val="5"/>
        <c:noMultiLvlLbl val="0"/>
      </c:catAx>
      <c:valAx>
        <c:axId val="1637889456"/>
        <c:scaling>
          <c:orientation val="minMax"/>
        </c:scaling>
        <c:delete val="0"/>
        <c:axPos val="l"/>
        <c:majorGridlines>
          <c:spPr>
            <a:ln w="9525">
              <a:solidFill>
                <a:schemeClr val="bg1">
                  <a:lumMod val="50000"/>
                </a:schemeClr>
              </a:solidFill>
            </a:ln>
          </c:spPr>
        </c:majorGridlines>
        <c:title>
          <c:tx>
            <c:rich>
              <a:bodyPr rot="0" vert="horz"/>
              <a:lstStyle/>
              <a:p>
                <a:pPr>
                  <a:defRPr sz="1800">
                    <a:solidFill>
                      <a:sysClr val="windowText" lastClr="000000"/>
                    </a:solidFill>
                    <a:latin typeface="Arial" panose="020B0604020202020204" pitchFamily="34" charset="0"/>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8.9445100954652264E-4"/>
              <c:y val="1.0473648845524253E-3"/>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rgbClr val="000000"/>
                </a:solidFill>
                <a:latin typeface="Arial"/>
                <a:ea typeface="Arial"/>
                <a:cs typeface="Arial"/>
              </a:defRPr>
            </a:pPr>
            <a:endParaRPr lang="en-US"/>
          </a:p>
        </c:txPr>
        <c:crossAx val="1637865936"/>
        <c:crosses val="autoZero"/>
        <c:crossBetween val="midCat"/>
      </c:valAx>
    </c:plotArea>
    <c:legend>
      <c:legendPos val="b"/>
      <c:layout>
        <c:manualLayout>
          <c:xMode val="edge"/>
          <c:yMode val="edge"/>
          <c:x val="0.40010968218460874"/>
          <c:y val="0.93885394331333938"/>
          <c:w val="0.218437383412838"/>
          <c:h val="5.4472772470641521E-2"/>
        </c:manualLayout>
      </c:layout>
      <c:overlay val="0"/>
      <c:txPr>
        <a:bodyPr/>
        <a:lstStyle/>
        <a:p>
          <a:pPr>
            <a:defRPr sz="1800">
              <a:latin typeface="Arial" panose="020B0604020202020204" pitchFamily="34" charset="0"/>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020592622621099E-2"/>
          <c:y val="8.3194751828622057E-2"/>
          <c:w val="0.90277014044396864"/>
          <c:h val="0.72355832613735727"/>
        </c:manualLayout>
      </c:layout>
      <c:lineChart>
        <c:grouping val="standard"/>
        <c:varyColors val="0"/>
        <c:ser>
          <c:idx val="0"/>
          <c:order val="0"/>
          <c:tx>
            <c:strRef>
              <c:f>'Fig 21 data'!$C$5</c:f>
              <c:strCache>
                <c:ptCount val="1"/>
                <c:pt idx="0">
                  <c:v>Baseline</c:v>
                </c:pt>
              </c:strCache>
            </c:strRef>
          </c:tx>
          <c:spPr>
            <a:ln w="38100" cap="rnd">
              <a:solidFill>
                <a:srgbClr val="0083AC"/>
              </a:solidFill>
              <a:round/>
            </a:ln>
            <a:effectLst/>
          </c:spPr>
          <c:marker>
            <c:symbol val="none"/>
          </c:marker>
          <c:cat>
            <c:numRef>
              <c:f>'Fig 21 data'!$B$7:$B$67</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21 data'!$C$7:$C$67</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45.994639863852179</c:v>
                </c:pt>
                <c:pt idx="26">
                  <c:v>46.745755798944231</c:v>
                </c:pt>
                <c:pt idx="27">
                  <c:v>47.902018331619956</c:v>
                </c:pt>
                <c:pt idx="28">
                  <c:v>49.474451588221683</c:v>
                </c:pt>
                <c:pt idx="29">
                  <c:v>51.410059238652636</c:v>
                </c:pt>
                <c:pt idx="30">
                  <c:v>53.639633556887688</c:v>
                </c:pt>
                <c:pt idx="31">
                  <c:v>55.792886503026232</c:v>
                </c:pt>
                <c:pt idx="32">
                  <c:v>58.042324639763123</c:v>
                </c:pt>
                <c:pt idx="33">
                  <c:v>60.498660534783376</c:v>
                </c:pt>
                <c:pt idx="34">
                  <c:v>63.174159719252209</c:v>
                </c:pt>
                <c:pt idx="35">
                  <c:v>66.002794014467909</c:v>
                </c:pt>
                <c:pt idx="36">
                  <c:v>68.992727316958778</c:v>
                </c:pt>
                <c:pt idx="37">
                  <c:v>72.143805681006384</c:v>
                </c:pt>
                <c:pt idx="38">
                  <c:v>75.45883598356383</c:v>
                </c:pt>
                <c:pt idx="39">
                  <c:v>78.940304126756189</c:v>
                </c:pt>
                <c:pt idx="40">
                  <c:v>82.592221057046871</c:v>
                </c:pt>
                <c:pt idx="41">
                  <c:v>86.419370432243412</c:v>
                </c:pt>
                <c:pt idx="42">
                  <c:v>90.426369443103468</c:v>
                </c:pt>
                <c:pt idx="43">
                  <c:v>94.620476617891711</c:v>
                </c:pt>
                <c:pt idx="44">
                  <c:v>99.00777145746747</c:v>
                </c:pt>
                <c:pt idx="45">
                  <c:v>103.59208253345477</c:v>
                </c:pt>
                <c:pt idx="46">
                  <c:v>108.37763071072106</c:v>
                </c:pt>
                <c:pt idx="47">
                  <c:v>113.37678136034725</c:v>
                </c:pt>
                <c:pt idx="48">
                  <c:v>118.595341758323</c:v>
                </c:pt>
                <c:pt idx="49">
                  <c:v>124.03839608169436</c:v>
                </c:pt>
                <c:pt idx="50">
                  <c:v>129.71358707590875</c:v>
                </c:pt>
                <c:pt idx="51">
                  <c:v>135.63550650685855</c:v>
                </c:pt>
                <c:pt idx="52">
                  <c:v>141.80317962623471</c:v>
                </c:pt>
                <c:pt idx="53">
                  <c:v>148.21684127458337</c:v>
                </c:pt>
                <c:pt idx="54">
                  <c:v>154.87340162203637</c:v>
                </c:pt>
                <c:pt idx="55">
                  <c:v>161.77874586949704</c:v>
                </c:pt>
                <c:pt idx="56">
                  <c:v>168.92589308825092</c:v>
                </c:pt>
                <c:pt idx="57">
                  <c:v>176.32532755945135</c:v>
                </c:pt>
                <c:pt idx="58">
                  <c:v>183.97419005984332</c:v>
                </c:pt>
                <c:pt idx="59">
                  <c:v>191.87530189258945</c:v>
                </c:pt>
                <c:pt idx="60">
                  <c:v>200.04067114934801</c:v>
                </c:pt>
              </c:numCache>
            </c:numRef>
          </c:val>
          <c:smooth val="0"/>
          <c:extLst>
            <c:ext xmlns:c16="http://schemas.microsoft.com/office/drawing/2014/chart" uri="{C3380CC4-5D6E-409C-BE32-E72D297353CC}">
              <c16:uniqueId val="{00000000-8C71-48C4-9E72-BDFBB55AB50F}"/>
            </c:ext>
          </c:extLst>
        </c:ser>
        <c:ser>
          <c:idx val="1"/>
          <c:order val="1"/>
          <c:tx>
            <c:strRef>
              <c:f>'Fig 21 data'!$D$5</c:f>
              <c:strCache>
                <c:ptCount val="1"/>
                <c:pt idx="0">
                  <c:v>High</c:v>
                </c:pt>
              </c:strCache>
            </c:strRef>
          </c:tx>
          <c:spPr>
            <a:ln w="38100" cap="rnd">
              <a:solidFill>
                <a:srgbClr val="67A854"/>
              </a:solidFill>
              <a:round/>
            </a:ln>
            <a:effectLst/>
          </c:spPr>
          <c:marker>
            <c:symbol val="none"/>
          </c:marker>
          <c:cat>
            <c:numRef>
              <c:f>'Fig 21 data'!$B$7:$B$67</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21 data'!$D$7:$D$67</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46.131810846396618</c:v>
                </c:pt>
                <c:pt idx="26">
                  <c:v>47.158675941636623</c:v>
                </c:pt>
                <c:pt idx="27">
                  <c:v>48.744753023260856</c:v>
                </c:pt>
                <c:pt idx="28">
                  <c:v>50.954692070795026</c:v>
                </c:pt>
                <c:pt idx="29">
                  <c:v>53.789874197925755</c:v>
                </c:pt>
                <c:pt idx="30">
                  <c:v>56.97887398055115</c:v>
                </c:pt>
                <c:pt idx="31">
                  <c:v>60.154526650931182</c:v>
                </c:pt>
                <c:pt idx="32">
                  <c:v>63.491328406000001</c:v>
                </c:pt>
                <c:pt idx="33">
                  <c:v>67.105749749957624</c:v>
                </c:pt>
                <c:pt idx="34">
                  <c:v>71.015826441898227</c:v>
                </c:pt>
                <c:pt idx="35">
                  <c:v>75.159816520509622</c:v>
                </c:pt>
                <c:pt idx="36">
                  <c:v>79.551152533913026</c:v>
                </c:pt>
                <c:pt idx="37">
                  <c:v>84.193690603340471</c:v>
                </c:pt>
                <c:pt idx="38">
                  <c:v>89.09638845225254</c:v>
                </c:pt>
                <c:pt idx="39">
                  <c:v>94.267812351290686</c:v>
                </c:pt>
                <c:pt idx="40">
                  <c:v>99.71797385887642</c:v>
                </c:pt>
                <c:pt idx="41">
                  <c:v>105.45855276902691</c:v>
                </c:pt>
                <c:pt idx="42">
                  <c:v>111.50113809208068</c:v>
                </c:pt>
                <c:pt idx="43">
                  <c:v>117.86044762957376</c:v>
                </c:pt>
                <c:pt idx="44">
                  <c:v>124.55093728048617</c:v>
                </c:pt>
                <c:pt idx="45">
                  <c:v>131.58404081171525</c:v>
                </c:pt>
                <c:pt idx="46">
                  <c:v>138.97164059926595</c:v>
                </c:pt>
                <c:pt idx="47">
                  <c:v>146.7367692835256</c:v>
                </c:pt>
                <c:pt idx="48">
                  <c:v>154.89359119356632</c:v>
                </c:pt>
                <c:pt idx="49">
                  <c:v>163.45571397963099</c:v>
                </c:pt>
                <c:pt idx="50">
                  <c:v>172.43998917562229</c:v>
                </c:pt>
                <c:pt idx="51">
                  <c:v>181.87167768081852</c:v>
                </c:pt>
                <c:pt idx="52">
                  <c:v>191.75686708761</c:v>
                </c:pt>
                <c:pt idx="53">
                  <c:v>202.10614311911962</c:v>
                </c:pt>
                <c:pt idx="54">
                  <c:v>212.92411923495865</c:v>
                </c:pt>
                <c:pt idx="55">
                  <c:v>224.22787170877538</c:v>
                </c:pt>
                <c:pt idx="56">
                  <c:v>236.01709806420942</c:v>
                </c:pt>
                <c:pt idx="57">
                  <c:v>248.31654826782082</c:v>
                </c:pt>
                <c:pt idx="58">
                  <c:v>261.13070462003492</c:v>
                </c:pt>
                <c:pt idx="59">
                  <c:v>274.4744446759002</c:v>
                </c:pt>
                <c:pt idx="60">
                  <c:v>288.37588354514185</c:v>
                </c:pt>
              </c:numCache>
            </c:numRef>
          </c:val>
          <c:smooth val="0"/>
          <c:extLst>
            <c:ext xmlns:c16="http://schemas.microsoft.com/office/drawing/2014/chart" uri="{C3380CC4-5D6E-409C-BE32-E72D297353CC}">
              <c16:uniqueId val="{00000001-8C71-48C4-9E72-BDFBB55AB50F}"/>
            </c:ext>
          </c:extLst>
        </c:ser>
        <c:ser>
          <c:idx val="2"/>
          <c:order val="2"/>
          <c:tx>
            <c:strRef>
              <c:f>'Fig 21 data'!$E$5</c:f>
              <c:strCache>
                <c:ptCount val="1"/>
                <c:pt idx="0">
                  <c:v>Low</c:v>
                </c:pt>
              </c:strCache>
            </c:strRef>
          </c:tx>
          <c:spPr>
            <a:ln w="38100" cap="rnd">
              <a:solidFill>
                <a:srgbClr val="3E403A"/>
              </a:solidFill>
              <a:round/>
            </a:ln>
            <a:effectLst/>
          </c:spPr>
          <c:marker>
            <c:symbol val="none"/>
          </c:marker>
          <c:cat>
            <c:numRef>
              <c:f>'Fig 21 data'!$B$7:$B$67</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21 data'!$E$7:$E$67</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45.856943105750808</c:v>
                </c:pt>
                <c:pt idx="26">
                  <c:v>46.323181152787555</c:v>
                </c:pt>
                <c:pt idx="27">
                  <c:v>47.037457654806332</c:v>
                </c:pt>
                <c:pt idx="28">
                  <c:v>47.969003877533503</c:v>
                </c:pt>
                <c:pt idx="29">
                  <c:v>49.022576175860415</c:v>
                </c:pt>
                <c:pt idx="30">
                  <c:v>50.340013595308307</c:v>
                </c:pt>
                <c:pt idx="31">
                  <c:v>51.549549477316546</c:v>
                </c:pt>
                <c:pt idx="32">
                  <c:v>52.823525301880991</c:v>
                </c:pt>
                <c:pt idx="33">
                  <c:v>54.268780145830888</c:v>
                </c:pt>
                <c:pt idx="34">
                  <c:v>55.893817205969555</c:v>
                </c:pt>
                <c:pt idx="35">
                  <c:v>57.63044045339759</c:v>
                </c:pt>
                <c:pt idx="36">
                  <c:v>59.483927048176788</c:v>
                </c:pt>
                <c:pt idx="37">
                  <c:v>61.452499747285437</c:v>
                </c:pt>
                <c:pt idx="38">
                  <c:v>63.535554601289888</c:v>
                </c:pt>
                <c:pt idx="39">
                  <c:v>65.732429802732398</c:v>
                </c:pt>
                <c:pt idx="40">
                  <c:v>68.044237937616018</c:v>
                </c:pt>
                <c:pt idx="41">
                  <c:v>70.472281849066405</c:v>
                </c:pt>
                <c:pt idx="42">
                  <c:v>73.017838200069832</c:v>
                </c:pt>
                <c:pt idx="43">
                  <c:v>75.684617931301958</c:v>
                </c:pt>
                <c:pt idx="44">
                  <c:v>78.474621242426721</c:v>
                </c:pt>
                <c:pt idx="45">
                  <c:v>81.388444477781661</c:v>
                </c:pt>
                <c:pt idx="46">
                  <c:v>84.427215320745191</c:v>
                </c:pt>
                <c:pt idx="47">
                  <c:v>87.598062036364354</c:v>
                </c:pt>
                <c:pt idx="48">
                  <c:v>90.903602624642815</c:v>
                </c:pt>
                <c:pt idx="49">
                  <c:v>94.345778452103531</c:v>
                </c:pt>
                <c:pt idx="50">
                  <c:v>97.928745436313491</c:v>
                </c:pt>
                <c:pt idx="51">
                  <c:v>101.6627069219674</c:v>
                </c:pt>
                <c:pt idx="52">
                  <c:v>105.54512812161832</c:v>
                </c:pt>
                <c:pt idx="53">
                  <c:v>109.57242929283193</c:v>
                </c:pt>
                <c:pt idx="54">
                  <c:v>113.73980446145482</c:v>
                </c:pt>
                <c:pt idx="55">
                  <c:v>118.04909274798858</c:v>
                </c:pt>
                <c:pt idx="56">
                  <c:v>122.49261582600171</c:v>
                </c:pt>
                <c:pt idx="57">
                  <c:v>127.07504912998343</c:v>
                </c:pt>
                <c:pt idx="58">
                  <c:v>131.79271244209744</c:v>
                </c:pt>
                <c:pt idx="59">
                  <c:v>136.64453531654021</c:v>
                </c:pt>
                <c:pt idx="60">
                  <c:v>141.63619519106732</c:v>
                </c:pt>
              </c:numCache>
            </c:numRef>
          </c:val>
          <c:smooth val="0"/>
          <c:extLst>
            <c:ext xmlns:c16="http://schemas.microsoft.com/office/drawing/2014/chart" uri="{C3380CC4-5D6E-409C-BE32-E72D297353CC}">
              <c16:uniqueId val="{00000002-8C71-48C4-9E72-BDFBB55AB50F}"/>
            </c:ext>
          </c:extLst>
        </c:ser>
        <c:dLbls>
          <c:showLegendKey val="0"/>
          <c:showVal val="0"/>
          <c:showCatName val="0"/>
          <c:showSerName val="0"/>
          <c:showPercent val="0"/>
          <c:showBubbleSize val="0"/>
        </c:dLbls>
        <c:marker val="1"/>
        <c:smooth val="0"/>
        <c:axId val="249720655"/>
        <c:axId val="249715375"/>
      </c:lineChart>
      <c:scatterChart>
        <c:scatterStyle val="lineMarker"/>
        <c:varyColors val="0"/>
        <c:ser>
          <c:idx val="3"/>
          <c:order val="3"/>
          <c:tx>
            <c:strRef>
              <c:f>'Fig 21 data'!$F$5</c:f>
              <c:strCache>
                <c:ptCount val="1"/>
                <c:pt idx="0">
                  <c:v>Line</c:v>
                </c:pt>
              </c:strCache>
            </c:strRef>
          </c:tx>
          <c:spPr>
            <a:ln w="25400" cap="rnd">
              <a:noFill/>
              <a:round/>
            </a:ln>
            <a:effectLst/>
          </c:spPr>
          <c:marker>
            <c:symbol val="circle"/>
            <c:size val="5"/>
            <c:spPr>
              <a:solidFill>
                <a:schemeClr val="accent4"/>
              </a:solidFill>
              <a:ln w="9525">
                <a:solidFill>
                  <a:schemeClr val="accent4"/>
                </a:solidFill>
              </a:ln>
              <a:effectLst/>
            </c:spPr>
          </c:marker>
          <c:dPt>
            <c:idx val="24"/>
            <c:marker>
              <c:symbol val="circle"/>
              <c:size val="5"/>
              <c:spPr>
                <a:noFill/>
                <a:ln w="9525">
                  <a:noFill/>
                </a:ln>
                <a:effectLst/>
              </c:spPr>
            </c:marker>
            <c:bubble3D val="0"/>
            <c:extLst>
              <c:ext xmlns:c16="http://schemas.microsoft.com/office/drawing/2014/chart" uri="{C3380CC4-5D6E-409C-BE32-E72D297353CC}">
                <c16:uniqueId val="{00000004-8C71-48C4-9E72-BDFBB55AB50F}"/>
              </c:ext>
            </c:extLst>
          </c:dPt>
          <c:errBars>
            <c:errDir val="y"/>
            <c:errBarType val="both"/>
            <c:errValType val="fixedVal"/>
            <c:noEndCap val="1"/>
            <c:val val="1"/>
            <c:spPr>
              <a:noFill/>
              <a:ln w="9525" cap="flat" cmpd="sng" algn="ctr">
                <a:solidFill>
                  <a:schemeClr val="tx1">
                    <a:lumMod val="65000"/>
                    <a:lumOff val="35000"/>
                  </a:schemeClr>
                </a:solidFill>
                <a:round/>
              </a:ln>
              <a:effectLst/>
            </c:spPr>
          </c:errBars>
          <c:yVal>
            <c:numRef>
              <c:f>'Fig 21 data'!$F$7:$F$67</c:f>
              <c:numCache>
                <c:formatCode>General</c:formatCode>
                <c:ptCount val="61"/>
                <c:pt idx="24">
                  <c:v>1</c:v>
                </c:pt>
              </c:numCache>
            </c:numRef>
          </c:yVal>
          <c:smooth val="0"/>
          <c:extLst>
            <c:ext xmlns:c16="http://schemas.microsoft.com/office/drawing/2014/chart" uri="{C3380CC4-5D6E-409C-BE32-E72D297353CC}">
              <c16:uniqueId val="{00000003-8C71-48C4-9E72-BDFBB55AB50F}"/>
            </c:ext>
          </c:extLst>
        </c:ser>
        <c:dLbls>
          <c:showLegendKey val="0"/>
          <c:showVal val="0"/>
          <c:showCatName val="0"/>
          <c:showSerName val="0"/>
          <c:showPercent val="0"/>
          <c:showBubbleSize val="0"/>
        </c:dLbls>
        <c:axId val="406749727"/>
        <c:axId val="406759807"/>
      </c:scatterChart>
      <c:catAx>
        <c:axId val="249720655"/>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7710314931857741"/>
              <c:y val="0.88497478553177644"/>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9715375"/>
        <c:crosses val="autoZero"/>
        <c:auto val="1"/>
        <c:lblAlgn val="ctr"/>
        <c:lblOffset val="100"/>
        <c:tickLblSkip val="5"/>
        <c:tickMarkSkip val="5"/>
        <c:noMultiLvlLbl val="0"/>
      </c:catAx>
      <c:valAx>
        <c:axId val="249715375"/>
        <c:scaling>
          <c:orientation val="minMax"/>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1.3637826693351806E-3"/>
              <c:y val="1.0437682516683158E-3"/>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49720655"/>
        <c:crosses val="autoZero"/>
        <c:crossBetween val="between"/>
      </c:valAx>
      <c:valAx>
        <c:axId val="406759807"/>
        <c:scaling>
          <c:orientation val="minMax"/>
          <c:max val="1"/>
        </c:scaling>
        <c:delete val="0"/>
        <c:axPos val="r"/>
        <c:title>
          <c:tx>
            <c:rich>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0">
                    <a:solidFill>
                      <a:sysClr val="windowText" lastClr="000000"/>
                    </a:solidFill>
                    <a:latin typeface="Arial" panose="020B0604020202020204" pitchFamily="34" charset="0"/>
                    <a:cs typeface="Arial" panose="020B0604020202020204" pitchFamily="34" charset="0"/>
                  </a:rPr>
                  <a:t>Projection</a:t>
                </a:r>
              </a:p>
            </c:rich>
          </c:tx>
          <c:layout>
            <c:manualLayout>
              <c:xMode val="edge"/>
              <c:yMode val="edge"/>
              <c:x val="0.63163051230965794"/>
              <c:y val="0.12843646131113912"/>
            </c:manualLayout>
          </c:layout>
          <c:overlay val="0"/>
          <c:spPr>
            <a:noFill/>
            <a:ln>
              <a:noFill/>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749727"/>
        <c:crosses val="max"/>
        <c:crossBetween val="midCat"/>
      </c:valAx>
      <c:valAx>
        <c:axId val="406749727"/>
        <c:scaling>
          <c:orientation val="minMax"/>
        </c:scaling>
        <c:delete val="1"/>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0">
                    <a:solidFill>
                      <a:sysClr val="windowText" lastClr="000000"/>
                    </a:solidFill>
                    <a:latin typeface="Arial" panose="020B0604020202020204" pitchFamily="34" charset="0"/>
                    <a:cs typeface="Arial" panose="020B0604020202020204" pitchFamily="34" charset="0"/>
                  </a:rPr>
                  <a:t>Outturn and forecast</a:t>
                </a:r>
              </a:p>
            </c:rich>
          </c:tx>
          <c:layout>
            <c:manualLayout>
              <c:xMode val="edge"/>
              <c:yMode val="edge"/>
              <c:x val="0.11907387346497672"/>
              <c:y val="0.12835436345943796"/>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majorTickMark val="out"/>
        <c:minorTickMark val="none"/>
        <c:tickLblPos val="nextTo"/>
        <c:crossAx val="406759807"/>
        <c:crosses val="autoZero"/>
        <c:crossBetween val="midCat"/>
      </c:valAx>
      <c:spPr>
        <a:noFill/>
        <a:ln>
          <a:noFill/>
        </a:ln>
        <a:effectLst/>
      </c:spPr>
    </c:plotArea>
    <c:legend>
      <c:legendPos val="b"/>
      <c:legendEntry>
        <c:idx val="3"/>
        <c:delete val="1"/>
      </c:legendEntry>
      <c:layout>
        <c:manualLayout>
          <c:xMode val="edge"/>
          <c:yMode val="edge"/>
          <c:x val="0.29656745083092573"/>
          <c:y val="0.92872002993923264"/>
          <c:w val="0.40549646656798205"/>
          <c:h val="5.4463152051014548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784664893879518E-2"/>
          <c:y val="0.11882197668315529"/>
          <c:w val="0.87722198535327389"/>
          <c:h val="0.53795082597829758"/>
        </c:manualLayout>
      </c:layout>
      <c:lineChart>
        <c:grouping val="standard"/>
        <c:varyColors val="0"/>
        <c:ser>
          <c:idx val="0"/>
          <c:order val="0"/>
          <c:tx>
            <c:strRef>
              <c:f>'Fig 22 data'!$C$5</c:f>
              <c:strCache>
                <c:ptCount val="1"/>
                <c:pt idx="0">
                  <c:v>Health spending (baseline)</c:v>
                </c:pt>
              </c:strCache>
            </c:strRef>
          </c:tx>
          <c:spPr>
            <a:ln w="38100">
              <a:solidFill>
                <a:srgbClr val="0083AC"/>
              </a:solidFill>
            </a:ln>
          </c:spPr>
          <c:marker>
            <c:symbol val="none"/>
          </c:marker>
          <c:cat>
            <c:numRef>
              <c:f>'Fig 22 data'!$B$7:$B$47</c:f>
              <c:numCache>
                <c:formatCode>0</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22 data'!$C$7:$C$47</c:f>
              <c:numCache>
                <c:formatCode>0.0</c:formatCode>
                <c:ptCount val="41"/>
                <c:pt idx="0">
                  <c:v>6.93035268827518</c:v>
                </c:pt>
                <c:pt idx="1">
                  <c:v>7.0572301364629899</c:v>
                </c:pt>
                <c:pt idx="2">
                  <c:v>7.1813314038995699</c:v>
                </c:pt>
                <c:pt idx="3">
                  <c:v>7.2890444048016203</c:v>
                </c:pt>
                <c:pt idx="4">
                  <c:v>7.3926353779531402</c:v>
                </c:pt>
                <c:pt idx="5">
                  <c:v>7.49454378468677</c:v>
                </c:pt>
                <c:pt idx="6">
                  <c:v>7.5922724850593903</c:v>
                </c:pt>
                <c:pt idx="7">
                  <c:v>7.6994295611724199</c:v>
                </c:pt>
                <c:pt idx="8">
                  <c:v>7.7992209935864896</c:v>
                </c:pt>
                <c:pt idx="9">
                  <c:v>7.89798683965323</c:v>
                </c:pt>
                <c:pt idx="10">
                  <c:v>7.9965879523866299</c:v>
                </c:pt>
                <c:pt idx="11">
                  <c:v>8.0965199731822395</c:v>
                </c:pt>
                <c:pt idx="12">
                  <c:v>8.1992935339856192</c:v>
                </c:pt>
                <c:pt idx="13">
                  <c:v>8.29326495780575</c:v>
                </c:pt>
                <c:pt idx="14">
                  <c:v>8.3832007882542001</c:v>
                </c:pt>
                <c:pt idx="15">
                  <c:v>8.4671899951226095</c:v>
                </c:pt>
                <c:pt idx="16">
                  <c:v>8.5507327031224207</c:v>
                </c:pt>
                <c:pt idx="17">
                  <c:v>8.6327976708907705</c:v>
                </c:pt>
                <c:pt idx="18">
                  <c:v>8.7129712595600601</c:v>
                </c:pt>
                <c:pt idx="19">
                  <c:v>8.8037720579040606</c:v>
                </c:pt>
                <c:pt idx="20">
                  <c:v>8.8960859002455805</c:v>
                </c:pt>
                <c:pt idx="21">
                  <c:v>8.9874541059843196</c:v>
                </c:pt>
                <c:pt idx="22">
                  <c:v>9.0824819578884792</c:v>
                </c:pt>
                <c:pt idx="23">
                  <c:v>9.1806002960462703</c:v>
                </c:pt>
                <c:pt idx="24">
                  <c:v>9.2802364419226802</c:v>
                </c:pt>
                <c:pt idx="25">
                  <c:v>9.3816057922831</c:v>
                </c:pt>
                <c:pt idx="26">
                  <c:v>9.4863832502306504</c:v>
                </c:pt>
                <c:pt idx="27">
                  <c:v>9.5977588225832005</c:v>
                </c:pt>
                <c:pt idx="28">
                  <c:v>9.7148334984642695</c:v>
                </c:pt>
                <c:pt idx="29">
                  <c:v>9.8350004715770396</c:v>
                </c:pt>
                <c:pt idx="30">
                  <c:v>9.9611679596601999</c:v>
                </c:pt>
                <c:pt idx="31">
                  <c:v>10.0912383758556</c:v>
                </c:pt>
                <c:pt idx="32">
                  <c:v>10.221379582268501</c:v>
                </c:pt>
                <c:pt idx="33">
                  <c:v>10.3491030267204</c:v>
                </c:pt>
                <c:pt idx="34">
                  <c:v>10.4722190265951</c:v>
                </c:pt>
                <c:pt idx="35">
                  <c:v>10.5947083656632</c:v>
                </c:pt>
                <c:pt idx="36">
                  <c:v>10.712748407020801</c:v>
                </c:pt>
                <c:pt idx="37">
                  <c:v>10.829335077866</c:v>
                </c:pt>
                <c:pt idx="38">
                  <c:v>10.9465882037338</c:v>
                </c:pt>
                <c:pt idx="39">
                  <c:v>11.062025794014501</c:v>
                </c:pt>
                <c:pt idx="40">
                  <c:v>11.186237423478801</c:v>
                </c:pt>
              </c:numCache>
            </c:numRef>
          </c:val>
          <c:smooth val="0"/>
          <c:extLst>
            <c:ext xmlns:c16="http://schemas.microsoft.com/office/drawing/2014/chart" uri="{C3380CC4-5D6E-409C-BE32-E72D297353CC}">
              <c16:uniqueId val="{00000000-A900-4C4D-A634-1FD468D9D6CB}"/>
            </c:ext>
          </c:extLst>
        </c:ser>
        <c:ser>
          <c:idx val="1"/>
          <c:order val="1"/>
          <c:tx>
            <c:strRef>
              <c:f>'Fig 22 data'!$D$5</c:f>
              <c:strCache>
                <c:ptCount val="1"/>
                <c:pt idx="0">
                  <c:v>Health spending (high productivity growth)</c:v>
                </c:pt>
              </c:strCache>
            </c:strRef>
          </c:tx>
          <c:spPr>
            <a:ln w="38100">
              <a:solidFill>
                <a:srgbClr val="3E403A"/>
              </a:solidFill>
            </a:ln>
          </c:spPr>
          <c:marker>
            <c:symbol val="none"/>
          </c:marker>
          <c:cat>
            <c:numRef>
              <c:f>'Fig 22 data'!$B$7:$B$47</c:f>
              <c:numCache>
                <c:formatCode>0</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22 data'!$D$7:$D$47</c:f>
              <c:numCache>
                <c:formatCode>0.0</c:formatCode>
                <c:ptCount val="41"/>
                <c:pt idx="0">
                  <c:v>7.0049960247982304</c:v>
                </c:pt>
                <c:pt idx="1">
                  <c:v>7.1296960798124296</c:v>
                </c:pt>
                <c:pt idx="2">
                  <c:v>7.2563780401848597</c:v>
                </c:pt>
                <c:pt idx="3">
                  <c:v>7.3674685314828903</c:v>
                </c:pt>
                <c:pt idx="4">
                  <c:v>7.4735791467202199</c:v>
                </c:pt>
                <c:pt idx="5">
                  <c:v>7.5773736230542399</c:v>
                </c:pt>
                <c:pt idx="6">
                  <c:v>7.6767949734786596</c:v>
                </c:pt>
                <c:pt idx="7">
                  <c:v>7.7854862259257196</c:v>
                </c:pt>
                <c:pt idx="8">
                  <c:v>7.8865437732821899</c:v>
                </c:pt>
                <c:pt idx="9">
                  <c:v>7.9863585651966504</c:v>
                </c:pt>
                <c:pt idx="10">
                  <c:v>8.0857842582474504</c:v>
                </c:pt>
                <c:pt idx="11">
                  <c:v>8.1865010059916496</c:v>
                </c:pt>
                <c:pt idx="12">
                  <c:v>8.2898670326448691</c:v>
                </c:pt>
                <c:pt idx="13">
                  <c:v>8.3842085041683099</c:v>
                </c:pt>
                <c:pt idx="14">
                  <c:v>8.4741399609553092</c:v>
                </c:pt>
                <c:pt idx="15">
                  <c:v>8.5576670768152105</c:v>
                </c:pt>
                <c:pt idx="16">
                  <c:v>8.6398970761573803</c:v>
                </c:pt>
                <c:pt idx="17">
                  <c:v>8.7198198097910193</c:v>
                </c:pt>
                <c:pt idx="18">
                  <c:v>8.7969100245920604</c:v>
                </c:pt>
                <c:pt idx="19">
                  <c:v>8.8835047347541902</c:v>
                </c:pt>
                <c:pt idx="20">
                  <c:v>8.97160570591085</c:v>
                </c:pt>
                <c:pt idx="21">
                  <c:v>9.0586991242319002</c:v>
                </c:pt>
                <c:pt idx="22">
                  <c:v>9.1492987287127807</c:v>
                </c:pt>
                <c:pt idx="23">
                  <c:v>9.2426956362322503</c:v>
                </c:pt>
                <c:pt idx="24">
                  <c:v>9.3372191882227398</c:v>
                </c:pt>
                <c:pt idx="25">
                  <c:v>9.4329726827672307</c:v>
                </c:pt>
                <c:pt idx="26">
                  <c:v>9.5318572734084501</c:v>
                </c:pt>
                <c:pt idx="27">
                  <c:v>9.6369386427440098</c:v>
                </c:pt>
                <c:pt idx="28">
                  <c:v>9.7475336405094595</c:v>
                </c:pt>
                <c:pt idx="29">
                  <c:v>9.8612882923481493</c:v>
                </c:pt>
                <c:pt idx="30">
                  <c:v>9.9812089045274206</c:v>
                </c:pt>
                <c:pt idx="31">
                  <c:v>10.105024721195299</c:v>
                </c:pt>
                <c:pt idx="32">
                  <c:v>10.228845068675801</c:v>
                </c:pt>
                <c:pt idx="33">
                  <c:v>10.350680249075801</c:v>
                </c:pt>
                <c:pt idx="34">
                  <c:v>10.468584481343299</c:v>
                </c:pt>
                <c:pt idx="35">
                  <c:v>10.586350472776299</c:v>
                </c:pt>
                <c:pt idx="36">
                  <c:v>10.7003131567264</c:v>
                </c:pt>
                <c:pt idx="37">
                  <c:v>10.8134750838905</c:v>
                </c:pt>
                <c:pt idx="38">
                  <c:v>10.9277076363693</c:v>
                </c:pt>
                <c:pt idx="39">
                  <c:v>11.0404976700496</c:v>
                </c:pt>
                <c:pt idx="40">
                  <c:v>11.1624583257538</c:v>
                </c:pt>
              </c:numCache>
            </c:numRef>
          </c:val>
          <c:smooth val="0"/>
          <c:extLst>
            <c:ext xmlns:c16="http://schemas.microsoft.com/office/drawing/2014/chart" uri="{C3380CC4-5D6E-409C-BE32-E72D297353CC}">
              <c16:uniqueId val="{00000001-A900-4C4D-A634-1FD468D9D6CB}"/>
            </c:ext>
          </c:extLst>
        </c:ser>
        <c:dLbls>
          <c:showLegendKey val="0"/>
          <c:showVal val="0"/>
          <c:showCatName val="0"/>
          <c:showSerName val="0"/>
          <c:showPercent val="0"/>
          <c:showBubbleSize val="0"/>
        </c:dLbls>
        <c:smooth val="0"/>
        <c:axId val="1731428608"/>
        <c:axId val="1731421408"/>
      </c:lineChart>
      <c:catAx>
        <c:axId val="1731428608"/>
        <c:scaling>
          <c:orientation val="minMax"/>
        </c:scaling>
        <c:delete val="0"/>
        <c:axPos val="b"/>
        <c:title>
          <c:tx>
            <c:rich>
              <a:bodyPr/>
              <a:lstStyle/>
              <a:p>
                <a:pPr algn="ctr">
                  <a:defRPr/>
                </a:pPr>
                <a:r>
                  <a:rPr lang="en-NZ"/>
                  <a:t>Year ending 30 June</a:t>
                </a:r>
              </a:p>
            </c:rich>
          </c:tx>
          <c:layout>
            <c:manualLayout>
              <c:xMode val="edge"/>
              <c:yMode val="edge"/>
              <c:x val="0.32048527639779828"/>
              <c:y val="0.76880814090563521"/>
            </c:manualLayout>
          </c:layout>
          <c:overlay val="0"/>
        </c:title>
        <c:numFmt formatCode="0" sourceLinked="1"/>
        <c:majorTickMark val="out"/>
        <c:minorTickMark val="none"/>
        <c:tickLblPos val="low"/>
        <c:spPr>
          <a:ln w="9525">
            <a:solidFill>
              <a:schemeClr val="bg1">
                <a:lumMod val="50000"/>
              </a:schemeClr>
            </a:solidFill>
          </a:ln>
        </c:spPr>
        <c:crossAx val="1731421408"/>
        <c:crosses val="autoZero"/>
        <c:auto val="1"/>
        <c:lblAlgn val="ctr"/>
        <c:lblOffset val="100"/>
        <c:tickLblSkip val="10"/>
        <c:tickMarkSkip val="10"/>
        <c:noMultiLvlLbl val="0"/>
      </c:catAx>
      <c:valAx>
        <c:axId val="1731421408"/>
        <c:scaling>
          <c:orientation val="minMax"/>
          <c:min val="6"/>
        </c:scaling>
        <c:delete val="0"/>
        <c:axPos val="l"/>
        <c:majorGridlines>
          <c:spPr>
            <a:ln w="9525">
              <a:solidFill>
                <a:schemeClr val="bg1">
                  <a:lumMod val="50000"/>
                </a:schemeClr>
              </a:solidFill>
            </a:ln>
          </c:spPr>
        </c:majorGridlines>
        <c:title>
          <c:tx>
            <c:rich>
              <a:bodyPr rot="0" vert="horz"/>
              <a:lstStyle/>
              <a:p>
                <a:pPr>
                  <a:defRPr/>
                </a:pPr>
                <a:r>
                  <a:rPr lang="en-NZ"/>
                  <a:t>% of GDP</a:t>
                </a:r>
              </a:p>
            </c:rich>
          </c:tx>
          <c:layout>
            <c:manualLayout>
              <c:xMode val="edge"/>
              <c:yMode val="edge"/>
              <c:x val="0"/>
              <c:y val="1.8464455509513923E-3"/>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731428608"/>
        <c:crosses val="autoZero"/>
        <c:crossBetween val="midCat"/>
        <c:majorUnit val="2"/>
      </c:valAx>
    </c:plotArea>
    <c:legend>
      <c:legendPos val="b"/>
      <c:layout>
        <c:manualLayout>
          <c:xMode val="edge"/>
          <c:yMode val="edge"/>
          <c:x val="3.0261097576149643E-4"/>
          <c:y val="0.84249604362641239"/>
          <c:w val="0.99665795777471455"/>
          <c:h val="0.15750329456514636"/>
        </c:manualLayout>
      </c:layout>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txPr>
    <a:bodyPr/>
    <a:lstStyle/>
    <a:p>
      <a:pPr>
        <a:defRPr sz="2800" baseline="0">
          <a:solidFill>
            <a:sysClr val="windowText" lastClr="000000"/>
          </a:solidFill>
          <a:latin typeface="Arial" panose="020B0604020202020204" pitchFamily="34" charset="0"/>
        </a:defRPr>
      </a:pPr>
      <a:endParaRPr lang="en-US"/>
    </a:p>
  </c:txPr>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37939458085639E-2"/>
          <c:y val="0.11885051612024901"/>
          <c:w val="0.86461704848553389"/>
          <c:h val="0.54556943732781493"/>
        </c:manualLayout>
      </c:layout>
      <c:lineChart>
        <c:grouping val="standard"/>
        <c:varyColors val="0"/>
        <c:ser>
          <c:idx val="0"/>
          <c:order val="0"/>
          <c:tx>
            <c:strRef>
              <c:f>'Fig 23 data'!$C$5</c:f>
              <c:strCache>
                <c:ptCount val="1"/>
                <c:pt idx="0">
                  <c:v>Pension spending (baseline)</c:v>
                </c:pt>
              </c:strCache>
            </c:strRef>
          </c:tx>
          <c:spPr>
            <a:ln w="38100">
              <a:solidFill>
                <a:srgbClr val="0083AC"/>
              </a:solidFill>
            </a:ln>
          </c:spPr>
          <c:marker>
            <c:symbol val="none"/>
          </c:marker>
          <c:cat>
            <c:numRef>
              <c:f>'Fig 23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23 data'!$C$7:$C$47</c:f>
              <c:numCache>
                <c:formatCode>0.0</c:formatCode>
                <c:ptCount val="41"/>
                <c:pt idx="0">
                  <c:v>5.6196707083363799</c:v>
                </c:pt>
                <c:pt idx="1">
                  <c:v>5.7404282508576401</c:v>
                </c:pt>
                <c:pt idx="2">
                  <c:v>5.8737923191089401</c:v>
                </c:pt>
                <c:pt idx="3">
                  <c:v>5.9987272675829901</c:v>
                </c:pt>
                <c:pt idx="4">
                  <c:v>6.10317953349647</c:v>
                </c:pt>
                <c:pt idx="5">
                  <c:v>6.18780247703274</c:v>
                </c:pt>
                <c:pt idx="6">
                  <c:v>6.2570195891705698</c:v>
                </c:pt>
                <c:pt idx="7">
                  <c:v>6.3208897923174501</c:v>
                </c:pt>
                <c:pt idx="8">
                  <c:v>6.3842847990056999</c:v>
                </c:pt>
                <c:pt idx="9">
                  <c:v>6.4489107475698599</c:v>
                </c:pt>
                <c:pt idx="10">
                  <c:v>6.5079991232846801</c:v>
                </c:pt>
                <c:pt idx="11">
                  <c:v>6.5740943110448598</c:v>
                </c:pt>
                <c:pt idx="12">
                  <c:v>6.6302974542821298</c:v>
                </c:pt>
                <c:pt idx="13">
                  <c:v>6.6717814240523801</c:v>
                </c:pt>
                <c:pt idx="14">
                  <c:v>6.7017543335747796</c:v>
                </c:pt>
                <c:pt idx="15">
                  <c:v>6.7129598275884801</c:v>
                </c:pt>
                <c:pt idx="16">
                  <c:v>6.7128141973032802</c:v>
                </c:pt>
                <c:pt idx="17">
                  <c:v>6.7110574396309204</c:v>
                </c:pt>
                <c:pt idx="18">
                  <c:v>6.7011737293091302</c:v>
                </c:pt>
                <c:pt idx="19">
                  <c:v>6.7065257444010999</c:v>
                </c:pt>
                <c:pt idx="20">
                  <c:v>6.7217978067030604</c:v>
                </c:pt>
                <c:pt idx="21">
                  <c:v>6.7414941477366597</c:v>
                </c:pt>
                <c:pt idx="22">
                  <c:v>6.7695177153328903</c:v>
                </c:pt>
                <c:pt idx="23">
                  <c:v>6.8066831074867604</c:v>
                </c:pt>
                <c:pt idx="24">
                  <c:v>6.8497415767005601</c:v>
                </c:pt>
                <c:pt idx="25">
                  <c:v>6.89889827366133</c:v>
                </c:pt>
                <c:pt idx="26">
                  <c:v>6.9540617205715698</c:v>
                </c:pt>
                <c:pt idx="27">
                  <c:v>7.0237525802960104</c:v>
                </c:pt>
                <c:pt idx="28">
                  <c:v>7.1077869247074599</c:v>
                </c:pt>
                <c:pt idx="29">
                  <c:v>7.1980731001903804</c:v>
                </c:pt>
                <c:pt idx="30">
                  <c:v>7.30113136862491</c:v>
                </c:pt>
                <c:pt idx="31">
                  <c:v>7.40973204414815</c:v>
                </c:pt>
                <c:pt idx="32">
                  <c:v>7.5129314740019399</c:v>
                </c:pt>
                <c:pt idx="33">
                  <c:v>7.6068031209675002</c:v>
                </c:pt>
                <c:pt idx="34">
                  <c:v>7.6870241057120401</c:v>
                </c:pt>
                <c:pt idx="35">
                  <c:v>7.7613281744006501</c:v>
                </c:pt>
                <c:pt idx="36">
                  <c:v>7.8262069009444302</c:v>
                </c:pt>
                <c:pt idx="37">
                  <c:v>7.8799338917638</c:v>
                </c:pt>
                <c:pt idx="38">
                  <c:v>7.9256463208779797</c:v>
                </c:pt>
                <c:pt idx="39">
                  <c:v>7.9589175049837202</c:v>
                </c:pt>
                <c:pt idx="40">
                  <c:v>7.9971588670221703</c:v>
                </c:pt>
              </c:numCache>
            </c:numRef>
          </c:val>
          <c:smooth val="0"/>
          <c:extLst>
            <c:ext xmlns:c16="http://schemas.microsoft.com/office/drawing/2014/chart" uri="{C3380CC4-5D6E-409C-BE32-E72D297353CC}">
              <c16:uniqueId val="{00000000-6127-47B3-95AA-CEBA4F6B4A54}"/>
            </c:ext>
          </c:extLst>
        </c:ser>
        <c:ser>
          <c:idx val="1"/>
          <c:order val="1"/>
          <c:tx>
            <c:strRef>
              <c:f>'Fig 23 data'!$D$5</c:f>
              <c:strCache>
                <c:ptCount val="1"/>
                <c:pt idx="0">
                  <c:v>Pension spending (high productivity growth)</c:v>
                </c:pt>
              </c:strCache>
            </c:strRef>
          </c:tx>
          <c:spPr>
            <a:ln w="38100">
              <a:solidFill>
                <a:srgbClr val="3E403A"/>
              </a:solidFill>
            </a:ln>
          </c:spPr>
          <c:marker>
            <c:symbol val="none"/>
          </c:marker>
          <c:cat>
            <c:numRef>
              <c:f>'Fig 23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23 data'!$D$7:$D$47</c:f>
              <c:numCache>
                <c:formatCode>0.0</c:formatCode>
                <c:ptCount val="41"/>
                <c:pt idx="0">
                  <c:v>5.60687651029526</c:v>
                </c:pt>
                <c:pt idx="1">
                  <c:v>5.7416605495058102</c:v>
                </c:pt>
                <c:pt idx="2">
                  <c:v>5.8804998284097403</c:v>
                </c:pt>
                <c:pt idx="3">
                  <c:v>6.0087097769494902</c:v>
                </c:pt>
                <c:pt idx="4">
                  <c:v>6.1160864098439003</c:v>
                </c:pt>
                <c:pt idx="5">
                  <c:v>6.2035892698738104</c:v>
                </c:pt>
                <c:pt idx="6">
                  <c:v>6.2756289131375897</c:v>
                </c:pt>
                <c:pt idx="7">
                  <c:v>6.3423517781762397</c:v>
                </c:pt>
                <c:pt idx="8">
                  <c:v>6.4086199500393297</c:v>
                </c:pt>
                <c:pt idx="9">
                  <c:v>6.4761447490432396</c:v>
                </c:pt>
                <c:pt idx="10">
                  <c:v>6.5381082349402098</c:v>
                </c:pt>
                <c:pt idx="11">
                  <c:v>6.6071064018319499</c:v>
                </c:pt>
                <c:pt idx="12">
                  <c:v>6.66612063860424</c:v>
                </c:pt>
                <c:pt idx="13">
                  <c:v>6.71030131648308</c:v>
                </c:pt>
                <c:pt idx="14">
                  <c:v>6.7428935903278804</c:v>
                </c:pt>
                <c:pt idx="15">
                  <c:v>6.7565552074245296</c:v>
                </c:pt>
                <c:pt idx="16">
                  <c:v>6.7588072034793001</c:v>
                </c:pt>
                <c:pt idx="17">
                  <c:v>6.75941320049842</c:v>
                </c:pt>
                <c:pt idx="18">
                  <c:v>6.7517807180321396</c:v>
                </c:pt>
                <c:pt idx="19">
                  <c:v>6.7595313306726696</c:v>
                </c:pt>
                <c:pt idx="20">
                  <c:v>6.77642519307184</c:v>
                </c:pt>
                <c:pt idx="21">
                  <c:v>6.7975424417014096</c:v>
                </c:pt>
                <c:pt idx="22">
                  <c:v>6.82698327314362</c:v>
                </c:pt>
                <c:pt idx="23">
                  <c:v>6.8656218126909501</c:v>
                </c:pt>
                <c:pt idx="24">
                  <c:v>6.9101700262589301</c:v>
                </c:pt>
                <c:pt idx="25">
                  <c:v>6.9608767353408503</c:v>
                </c:pt>
                <c:pt idx="26">
                  <c:v>7.0175958188409302</c:v>
                </c:pt>
                <c:pt idx="27">
                  <c:v>7.0889876575665296</c:v>
                </c:pt>
                <c:pt idx="28">
                  <c:v>7.1747860460002499</c:v>
                </c:pt>
                <c:pt idx="29">
                  <c:v>7.2667792284023003</c:v>
                </c:pt>
                <c:pt idx="30">
                  <c:v>7.3715942498665203</c:v>
                </c:pt>
                <c:pt idx="31">
                  <c:v>7.4819410991043203</c:v>
                </c:pt>
                <c:pt idx="32">
                  <c:v>7.58676708767491</c:v>
                </c:pt>
                <c:pt idx="33">
                  <c:v>7.6820159089685696</c:v>
                </c:pt>
                <c:pt idx="34">
                  <c:v>7.7633076887770498</c:v>
                </c:pt>
                <c:pt idx="35">
                  <c:v>7.8385319556975297</c:v>
                </c:pt>
                <c:pt idx="36">
                  <c:v>7.9040708835282301</c:v>
                </c:pt>
                <c:pt idx="37">
                  <c:v>7.9582248901855603</c:v>
                </c:pt>
                <c:pt idx="38">
                  <c:v>8.0042564354580996</c:v>
                </c:pt>
                <c:pt idx="39">
                  <c:v>8.0376850434263307</c:v>
                </c:pt>
                <c:pt idx="40">
                  <c:v>8.07611792295606</c:v>
                </c:pt>
              </c:numCache>
            </c:numRef>
          </c:val>
          <c:smooth val="0"/>
          <c:extLst>
            <c:ext xmlns:c16="http://schemas.microsoft.com/office/drawing/2014/chart" uri="{C3380CC4-5D6E-409C-BE32-E72D297353CC}">
              <c16:uniqueId val="{00000001-6127-47B3-95AA-CEBA4F6B4A54}"/>
            </c:ext>
          </c:extLst>
        </c:ser>
        <c:dLbls>
          <c:showLegendKey val="0"/>
          <c:showVal val="0"/>
          <c:showCatName val="0"/>
          <c:showSerName val="0"/>
          <c:showPercent val="0"/>
          <c:showBubbleSize val="0"/>
        </c:dLbls>
        <c:smooth val="0"/>
        <c:axId val="1731427168"/>
        <c:axId val="1731434848"/>
      </c:lineChart>
      <c:catAx>
        <c:axId val="1731427168"/>
        <c:scaling>
          <c:orientation val="minMax"/>
        </c:scaling>
        <c:delete val="0"/>
        <c:axPos val="b"/>
        <c:title>
          <c:tx>
            <c:rich>
              <a:bodyPr/>
              <a:lstStyle/>
              <a:p>
                <a:pPr algn="ctr">
                  <a:defRPr/>
                </a:pPr>
                <a:r>
                  <a:rPr lang="en-NZ"/>
                  <a:t>Year ending 30 June</a:t>
                </a:r>
              </a:p>
            </c:rich>
          </c:tx>
          <c:layout>
            <c:manualLayout>
              <c:xMode val="edge"/>
              <c:yMode val="edge"/>
              <c:x val="0.32650261845684403"/>
              <c:y val="0.76162517831244703"/>
            </c:manualLayout>
          </c:layout>
          <c:overlay val="0"/>
        </c:title>
        <c:numFmt formatCode="General" sourceLinked="1"/>
        <c:majorTickMark val="out"/>
        <c:minorTickMark val="none"/>
        <c:tickLblPos val="low"/>
        <c:spPr>
          <a:ln w="9525">
            <a:solidFill>
              <a:srgbClr val="545454"/>
            </a:solidFill>
          </a:ln>
        </c:spPr>
        <c:crossAx val="1731434848"/>
        <c:crosses val="autoZero"/>
        <c:auto val="1"/>
        <c:lblAlgn val="ctr"/>
        <c:lblOffset val="100"/>
        <c:tickLblSkip val="10"/>
        <c:tickMarkSkip val="10"/>
        <c:noMultiLvlLbl val="0"/>
      </c:catAx>
      <c:valAx>
        <c:axId val="1731434848"/>
        <c:scaling>
          <c:orientation val="minMax"/>
          <c:min val="5"/>
        </c:scaling>
        <c:delete val="0"/>
        <c:axPos val="l"/>
        <c:majorGridlines>
          <c:spPr>
            <a:ln w="9525">
              <a:solidFill>
                <a:srgbClr val="000000"/>
              </a:solidFill>
            </a:ln>
          </c:spPr>
        </c:majorGridlines>
        <c:title>
          <c:tx>
            <c:rich>
              <a:bodyPr rot="0" vert="horz"/>
              <a:lstStyle/>
              <a:p>
                <a:pPr>
                  <a:defRPr/>
                </a:pPr>
                <a:r>
                  <a:rPr lang="en-NZ"/>
                  <a:t>% of GDP</a:t>
                </a:r>
              </a:p>
            </c:rich>
          </c:tx>
          <c:layout>
            <c:manualLayout>
              <c:xMode val="edge"/>
              <c:yMode val="edge"/>
              <c:x val="1.3550916631799848E-3"/>
              <c:y val="1.658410464118321E-3"/>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731427168"/>
        <c:crosses val="autoZero"/>
        <c:crossBetween val="midCat"/>
        <c:majorUnit val="1"/>
      </c:valAx>
    </c:plotArea>
    <c:legend>
      <c:legendPos val="b"/>
      <c:layout>
        <c:manualLayout>
          <c:xMode val="edge"/>
          <c:yMode val="edge"/>
          <c:x val="1.6573365832833452E-3"/>
          <c:y val="0.83409194209081494"/>
          <c:w val="0.99257996802561244"/>
          <c:h val="0.15329996877760604"/>
        </c:manualLayout>
      </c:layout>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txPr>
    <a:bodyPr/>
    <a:lstStyle/>
    <a:p>
      <a:pPr>
        <a:defRPr sz="2800" baseline="0">
          <a:latin typeface="Arial" panose="020B0604020202020204" pitchFamily="34" charset="0"/>
        </a:defRPr>
      </a:pPr>
      <a:endParaRPr lang="en-US"/>
    </a:p>
  </c:txPr>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020592622621099E-2"/>
          <c:y val="8.31320198008101E-2"/>
          <c:w val="0.90277014044396864"/>
          <c:h val="0.71243870178799518"/>
        </c:manualLayout>
      </c:layout>
      <c:lineChart>
        <c:grouping val="standard"/>
        <c:varyColors val="0"/>
        <c:ser>
          <c:idx val="0"/>
          <c:order val="0"/>
          <c:tx>
            <c:strRef>
              <c:f>'Fig 24 data'!$C$6</c:f>
              <c:strCache>
                <c:ptCount val="1"/>
                <c:pt idx="0">
                  <c:v>Baseline (2%)</c:v>
                </c:pt>
              </c:strCache>
            </c:strRef>
          </c:tx>
          <c:spPr>
            <a:ln w="38100" cap="rnd">
              <a:solidFill>
                <a:srgbClr val="0083AC"/>
              </a:solidFill>
              <a:round/>
            </a:ln>
            <a:effectLst/>
          </c:spPr>
          <c:marker>
            <c:symbol val="none"/>
          </c:marker>
          <c:cat>
            <c:numRef>
              <c:f>'Fig 24 data'!$B$8:$B$68</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24 data'!$C$8:$C$68</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45.994639863852179</c:v>
                </c:pt>
                <c:pt idx="26">
                  <c:v>46.745755798944231</c:v>
                </c:pt>
                <c:pt idx="27">
                  <c:v>47.902018331619956</c:v>
                </c:pt>
                <c:pt idx="28">
                  <c:v>49.474451588221683</c:v>
                </c:pt>
                <c:pt idx="29">
                  <c:v>51.410059238652636</c:v>
                </c:pt>
                <c:pt idx="30">
                  <c:v>53.639633556887688</c:v>
                </c:pt>
                <c:pt idx="31">
                  <c:v>55.792886503026232</c:v>
                </c:pt>
                <c:pt idx="32">
                  <c:v>58.042324639763123</c:v>
                </c:pt>
                <c:pt idx="33">
                  <c:v>60.498660534783376</c:v>
                </c:pt>
                <c:pt idx="34">
                  <c:v>63.174159719252209</c:v>
                </c:pt>
                <c:pt idx="35">
                  <c:v>66.002794014467909</c:v>
                </c:pt>
                <c:pt idx="36">
                  <c:v>68.992727316958778</c:v>
                </c:pt>
                <c:pt idx="37">
                  <c:v>72.143805681006384</c:v>
                </c:pt>
                <c:pt idx="38">
                  <c:v>75.45883598356383</c:v>
                </c:pt>
                <c:pt idx="39">
                  <c:v>78.940304126756189</c:v>
                </c:pt>
                <c:pt idx="40">
                  <c:v>82.592221057046871</c:v>
                </c:pt>
                <c:pt idx="41">
                  <c:v>86.419370432243412</c:v>
                </c:pt>
                <c:pt idx="42">
                  <c:v>90.426369443103468</c:v>
                </c:pt>
                <c:pt idx="43">
                  <c:v>94.620476617891711</c:v>
                </c:pt>
                <c:pt idx="44">
                  <c:v>99.00777145746747</c:v>
                </c:pt>
                <c:pt idx="45">
                  <c:v>103.59208253345477</c:v>
                </c:pt>
                <c:pt idx="46">
                  <c:v>108.37763071072106</c:v>
                </c:pt>
                <c:pt idx="47">
                  <c:v>113.37678136034725</c:v>
                </c:pt>
                <c:pt idx="48">
                  <c:v>118.595341758323</c:v>
                </c:pt>
                <c:pt idx="49">
                  <c:v>124.03839608169436</c:v>
                </c:pt>
                <c:pt idx="50">
                  <c:v>129.71358707590875</c:v>
                </c:pt>
                <c:pt idx="51">
                  <c:v>135.63550650685855</c:v>
                </c:pt>
                <c:pt idx="52">
                  <c:v>141.80317962623471</c:v>
                </c:pt>
                <c:pt idx="53">
                  <c:v>148.21684127458337</c:v>
                </c:pt>
                <c:pt idx="54">
                  <c:v>154.87340162203637</c:v>
                </c:pt>
                <c:pt idx="55">
                  <c:v>161.77874586949704</c:v>
                </c:pt>
                <c:pt idx="56">
                  <c:v>168.92589308825092</c:v>
                </c:pt>
                <c:pt idx="57">
                  <c:v>176.32532755945135</c:v>
                </c:pt>
                <c:pt idx="58">
                  <c:v>183.97419005984332</c:v>
                </c:pt>
                <c:pt idx="59">
                  <c:v>191.87530189258945</c:v>
                </c:pt>
                <c:pt idx="60">
                  <c:v>200.04067114934801</c:v>
                </c:pt>
              </c:numCache>
            </c:numRef>
          </c:val>
          <c:smooth val="0"/>
          <c:extLst>
            <c:ext xmlns:c16="http://schemas.microsoft.com/office/drawing/2014/chart" uri="{C3380CC4-5D6E-409C-BE32-E72D297353CC}">
              <c16:uniqueId val="{00000000-8462-4CBE-AF85-831A90B62E94}"/>
            </c:ext>
          </c:extLst>
        </c:ser>
        <c:ser>
          <c:idx val="1"/>
          <c:order val="1"/>
          <c:tx>
            <c:strRef>
              <c:f>'Fig 24 data'!$D$6</c:f>
              <c:strCache>
                <c:ptCount val="1"/>
                <c:pt idx="0">
                  <c:v>3%</c:v>
                </c:pt>
              </c:strCache>
            </c:strRef>
          </c:tx>
          <c:spPr>
            <a:ln w="38100" cap="rnd">
              <a:solidFill>
                <a:srgbClr val="67A854"/>
              </a:solidFill>
              <a:round/>
            </a:ln>
            <a:effectLst/>
          </c:spPr>
          <c:marker>
            <c:symbol val="none"/>
          </c:marker>
          <c:cat>
            <c:numRef>
              <c:f>'Fig 24 data'!$B$8:$B$68</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24 data'!$D$8:$D$68</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45.994639863852179</c:v>
                </c:pt>
                <c:pt idx="26">
                  <c:v>46.745755798944231</c:v>
                </c:pt>
                <c:pt idx="27">
                  <c:v>47.902018331619956</c:v>
                </c:pt>
                <c:pt idx="28">
                  <c:v>49.474451588221683</c:v>
                </c:pt>
                <c:pt idx="29">
                  <c:v>51.410059238652636</c:v>
                </c:pt>
                <c:pt idx="30">
                  <c:v>53.701117796660959</c:v>
                </c:pt>
                <c:pt idx="31">
                  <c:v>56.120496874882129</c:v>
                </c:pt>
                <c:pt idx="32">
                  <c:v>58.841610647960806</c:v>
                </c:pt>
                <c:pt idx="33">
                  <c:v>61.976415696927958</c:v>
                </c:pt>
                <c:pt idx="34">
                  <c:v>65.538623455755371</c:v>
                </c:pt>
                <c:pt idx="35">
                  <c:v>69.402024245112983</c:v>
                </c:pt>
                <c:pt idx="36">
                  <c:v>73.433192899114474</c:v>
                </c:pt>
                <c:pt idx="37">
                  <c:v>77.631997930105612</c:v>
                </c:pt>
                <c:pt idx="38">
                  <c:v>82.001960376603847</c:v>
                </c:pt>
                <c:pt idx="39">
                  <c:v>86.546222650746401</c:v>
                </c:pt>
                <c:pt idx="40">
                  <c:v>91.269323471123343</c:v>
                </c:pt>
                <c:pt idx="41">
                  <c:v>96.176872900599307</c:v>
                </c:pt>
                <c:pt idx="42">
                  <c:v>101.27421815986915</c:v>
                </c:pt>
                <c:pt idx="43">
                  <c:v>106.56942213887524</c:v>
                </c:pt>
                <c:pt idx="44">
                  <c:v>112.06963703816788</c:v>
                </c:pt>
                <c:pt idx="45">
                  <c:v>117.77920292395542</c:v>
                </c:pt>
                <c:pt idx="46">
                  <c:v>123.7027074331759</c:v>
                </c:pt>
                <c:pt idx="47">
                  <c:v>129.85412033152468</c:v>
                </c:pt>
                <c:pt idx="48">
                  <c:v>136.23949269816563</c:v>
                </c:pt>
                <c:pt idx="49">
                  <c:v>142.86405139993445</c:v>
                </c:pt>
                <c:pt idx="50">
                  <c:v>149.73571625933079</c:v>
                </c:pt>
                <c:pt idx="51">
                  <c:v>156.8697917109192</c:v>
                </c:pt>
                <c:pt idx="52">
                  <c:v>164.26420432313864</c:v>
                </c:pt>
                <c:pt idx="53">
                  <c:v>171.91947323523286</c:v>
                </c:pt>
                <c:pt idx="54">
                  <c:v>179.83154510700231</c:v>
                </c:pt>
                <c:pt idx="55">
                  <c:v>188.006734395743</c:v>
                </c:pt>
                <c:pt idx="56">
                  <c:v>196.43652410466228</c:v>
                </c:pt>
                <c:pt idx="57">
                  <c:v>205.1328643441411</c:v>
                </c:pt>
                <c:pt idx="58">
                  <c:v>214.09143608044502</c:v>
                </c:pt>
                <c:pt idx="59">
                  <c:v>223.31539295065008</c:v>
                </c:pt>
                <c:pt idx="60">
                  <c:v>232.81838155023468</c:v>
                </c:pt>
              </c:numCache>
            </c:numRef>
          </c:val>
          <c:smooth val="0"/>
          <c:extLst>
            <c:ext xmlns:c16="http://schemas.microsoft.com/office/drawing/2014/chart" uri="{C3380CC4-5D6E-409C-BE32-E72D297353CC}">
              <c16:uniqueId val="{00000001-8462-4CBE-AF85-831A90B62E94}"/>
            </c:ext>
          </c:extLst>
        </c:ser>
        <c:ser>
          <c:idx val="2"/>
          <c:order val="2"/>
          <c:tx>
            <c:strRef>
              <c:f>'Fig 24 data'!$E$6</c:f>
              <c:strCache>
                <c:ptCount val="1"/>
                <c:pt idx="0">
                  <c:v>1%</c:v>
                </c:pt>
              </c:strCache>
            </c:strRef>
          </c:tx>
          <c:spPr>
            <a:ln w="38100" cap="rnd">
              <a:solidFill>
                <a:srgbClr val="3F403A"/>
              </a:solidFill>
              <a:round/>
            </a:ln>
            <a:effectLst/>
          </c:spPr>
          <c:marker>
            <c:symbol val="none"/>
          </c:marker>
          <c:cat>
            <c:numRef>
              <c:f>'Fig 24 data'!$B$8:$B$68</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24 data'!$E$8:$E$68</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45.933174386311386</c:v>
                </c:pt>
                <c:pt idx="26">
                  <c:v>46.418514740218889</c:v>
                </c:pt>
                <c:pt idx="27">
                  <c:v>47.104209442556346</c:v>
                </c:pt>
                <c:pt idx="28">
                  <c:v>47.999684097433367</c:v>
                </c:pt>
                <c:pt idx="29">
                  <c:v>49.051191262519097</c:v>
                </c:pt>
                <c:pt idx="30">
                  <c:v>50.249860423354633</c:v>
                </c:pt>
                <c:pt idx="31">
                  <c:v>51.367500605000295</c:v>
                </c:pt>
                <c:pt idx="32">
                  <c:v>52.576022151270948</c:v>
                </c:pt>
                <c:pt idx="33">
                  <c:v>53.984387454416094</c:v>
                </c:pt>
                <c:pt idx="34">
                  <c:v>55.604207161564709</c:v>
                </c:pt>
                <c:pt idx="35">
                  <c:v>57.36990811960613</c:v>
                </c:pt>
                <c:pt idx="36">
                  <c:v>59.288947702914477</c:v>
                </c:pt>
                <c:pt idx="37">
                  <c:v>61.361772700379511</c:v>
                </c:pt>
                <c:pt idx="38">
                  <c:v>63.590078313956241</c:v>
                </c:pt>
                <c:pt idx="39">
                  <c:v>65.975526374837159</c:v>
                </c:pt>
                <c:pt idx="40">
                  <c:v>68.52158675705931</c:v>
                </c:pt>
                <c:pt idx="41">
                  <c:v>71.232018495797817</c:v>
                </c:pt>
                <c:pt idx="42">
                  <c:v>74.110622621417249</c:v>
                </c:pt>
                <c:pt idx="43">
                  <c:v>77.163750047978127</c:v>
                </c:pt>
                <c:pt idx="44">
                  <c:v>80.396203157125271</c:v>
                </c:pt>
                <c:pt idx="45">
                  <c:v>83.811376975618685</c:v>
                </c:pt>
                <c:pt idx="46">
                  <c:v>87.413239599930208</c:v>
                </c:pt>
                <c:pt idx="47">
                  <c:v>91.212184007219591</c:v>
                </c:pt>
                <c:pt idx="48">
                  <c:v>95.213940140200648</c:v>
                </c:pt>
                <c:pt idx="49">
                  <c:v>99.423615958973173</c:v>
                </c:pt>
                <c:pt idx="50">
                  <c:v>103.84867170387957</c:v>
                </c:pt>
                <c:pt idx="51">
                  <c:v>108.5029364116115</c:v>
                </c:pt>
                <c:pt idx="52">
                  <c:v>113.38699152311365</c:v>
                </c:pt>
                <c:pt idx="53">
                  <c:v>118.50081341472993</c:v>
                </c:pt>
                <c:pt idx="54">
                  <c:v>123.84261298764643</c:v>
                </c:pt>
                <c:pt idx="55">
                  <c:v>129.41780151596402</c:v>
                </c:pt>
                <c:pt idx="56">
                  <c:v>135.22135311025053</c:v>
                </c:pt>
                <c:pt idx="57">
                  <c:v>141.26198166225171</c:v>
                </c:pt>
                <c:pt idx="58">
                  <c:v>147.53865035224837</c:v>
                </c:pt>
                <c:pt idx="59">
                  <c:v>154.05379711186117</c:v>
                </c:pt>
                <c:pt idx="60">
                  <c:v>160.81747998204051</c:v>
                </c:pt>
              </c:numCache>
            </c:numRef>
          </c:val>
          <c:smooth val="0"/>
          <c:extLst>
            <c:ext xmlns:c16="http://schemas.microsoft.com/office/drawing/2014/chart" uri="{C3380CC4-5D6E-409C-BE32-E72D297353CC}">
              <c16:uniqueId val="{00000002-8462-4CBE-AF85-831A90B62E94}"/>
            </c:ext>
          </c:extLst>
        </c:ser>
        <c:dLbls>
          <c:showLegendKey val="0"/>
          <c:showVal val="0"/>
          <c:showCatName val="0"/>
          <c:showSerName val="0"/>
          <c:showPercent val="0"/>
          <c:showBubbleSize val="0"/>
        </c:dLbls>
        <c:marker val="1"/>
        <c:smooth val="0"/>
        <c:axId val="21280896"/>
        <c:axId val="21260736"/>
      </c:lineChart>
      <c:scatterChart>
        <c:scatterStyle val="lineMarker"/>
        <c:varyColors val="0"/>
        <c:ser>
          <c:idx val="3"/>
          <c:order val="3"/>
          <c:tx>
            <c:strRef>
              <c:f>'Fig 24 data'!$F$6</c:f>
              <c:strCache>
                <c:ptCount val="1"/>
                <c:pt idx="0">
                  <c:v>Line</c:v>
                </c:pt>
              </c:strCache>
            </c:strRef>
          </c:tx>
          <c:spPr>
            <a:ln w="25400" cap="rnd">
              <a:noFill/>
              <a:round/>
            </a:ln>
            <a:effectLst/>
          </c:spPr>
          <c:marker>
            <c:symbol val="circle"/>
            <c:size val="5"/>
            <c:spPr>
              <a:solidFill>
                <a:schemeClr val="accent4"/>
              </a:solidFill>
              <a:ln w="9525">
                <a:solidFill>
                  <a:schemeClr val="accent4"/>
                </a:solidFill>
              </a:ln>
              <a:effectLst/>
            </c:spPr>
          </c:marker>
          <c:dPt>
            <c:idx val="24"/>
            <c:marker>
              <c:symbol val="circle"/>
              <c:size val="5"/>
              <c:spPr>
                <a:noFill/>
                <a:ln w="9525">
                  <a:noFill/>
                </a:ln>
                <a:effectLst/>
              </c:spPr>
            </c:marker>
            <c:bubble3D val="0"/>
            <c:extLst>
              <c:ext xmlns:c16="http://schemas.microsoft.com/office/drawing/2014/chart" uri="{C3380CC4-5D6E-409C-BE32-E72D297353CC}">
                <c16:uniqueId val="{00000004-8462-4CBE-AF85-831A90B62E94}"/>
              </c:ext>
            </c:extLst>
          </c:dPt>
          <c:errBars>
            <c:errDir val="y"/>
            <c:errBarType val="both"/>
            <c:errValType val="fixedVal"/>
            <c:noEndCap val="0"/>
            <c:val val="1"/>
            <c:spPr>
              <a:noFill/>
              <a:ln w="9525" cap="flat" cmpd="sng" algn="ctr">
                <a:solidFill>
                  <a:schemeClr val="tx1">
                    <a:lumMod val="65000"/>
                    <a:lumOff val="35000"/>
                  </a:schemeClr>
                </a:solidFill>
                <a:round/>
              </a:ln>
              <a:effectLst/>
            </c:spPr>
          </c:errBars>
          <c:yVal>
            <c:numRef>
              <c:f>'Fig 24 data'!$F$8:$F$68</c:f>
              <c:numCache>
                <c:formatCode>General</c:formatCode>
                <c:ptCount val="61"/>
                <c:pt idx="24">
                  <c:v>1</c:v>
                </c:pt>
              </c:numCache>
            </c:numRef>
          </c:yVal>
          <c:smooth val="0"/>
          <c:extLst>
            <c:ext xmlns:c16="http://schemas.microsoft.com/office/drawing/2014/chart" uri="{C3380CC4-5D6E-409C-BE32-E72D297353CC}">
              <c16:uniqueId val="{00000003-8462-4CBE-AF85-831A90B62E94}"/>
            </c:ext>
          </c:extLst>
        </c:ser>
        <c:dLbls>
          <c:showLegendKey val="0"/>
          <c:showVal val="0"/>
          <c:showCatName val="0"/>
          <c:showSerName val="0"/>
          <c:showPercent val="0"/>
          <c:showBubbleSize val="0"/>
        </c:dLbls>
        <c:axId val="21268416"/>
        <c:axId val="21272736"/>
      </c:scatterChart>
      <c:catAx>
        <c:axId val="21280896"/>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mn-cs"/>
                  </a:defRPr>
                </a:pPr>
                <a:r>
                  <a:rPr lang="en-NZ" b="1"/>
                  <a:t>Year ending 30 June</a:t>
                </a:r>
              </a:p>
            </c:rich>
          </c:tx>
          <c:layout>
            <c:manualLayout>
              <c:xMode val="edge"/>
              <c:yMode val="edge"/>
              <c:x val="0.37382752782818146"/>
              <c:y val="0.8793017577712817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mn-cs"/>
                </a:defRPr>
              </a:pPr>
              <a:endParaRPr lang="en-NZ"/>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21260736"/>
        <c:crosses val="autoZero"/>
        <c:auto val="1"/>
        <c:lblAlgn val="ctr"/>
        <c:lblOffset val="100"/>
        <c:tickLblSkip val="5"/>
        <c:tickMarkSkip val="5"/>
        <c:noMultiLvlLbl val="0"/>
      </c:catAx>
      <c:valAx>
        <c:axId val="21260736"/>
        <c:scaling>
          <c:orientation val="minMax"/>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mn-cs"/>
                  </a:defRPr>
                </a:pPr>
                <a:r>
                  <a:rPr lang="en-NZ" b="1"/>
                  <a:t>% of GDP</a:t>
                </a:r>
              </a:p>
            </c:rich>
          </c:tx>
          <c:layout>
            <c:manualLayout>
              <c:xMode val="edge"/>
              <c:yMode val="edge"/>
              <c:x val="4.5613875152463801E-4"/>
              <c:y val="5.7253320369817667E-4"/>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21280896"/>
        <c:crosses val="autoZero"/>
        <c:crossBetween val="between"/>
      </c:valAx>
      <c:valAx>
        <c:axId val="21272736"/>
        <c:scaling>
          <c:orientation val="minMax"/>
          <c:max val="1"/>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21268416"/>
        <c:crosses val="max"/>
        <c:crossBetween val="midCat"/>
      </c:valAx>
      <c:valAx>
        <c:axId val="21268416"/>
        <c:scaling>
          <c:orientation val="minMax"/>
        </c:scaling>
        <c:delete val="1"/>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r>
                  <a:rPr lang="en-NZ"/>
                  <a:t>Projection</a:t>
                </a:r>
              </a:p>
            </c:rich>
          </c:tx>
          <c:layout>
            <c:manualLayout>
              <c:xMode val="edge"/>
              <c:yMode val="edge"/>
              <c:x val="0.65872319295832971"/>
              <c:y val="0.12496286148089626"/>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title>
        <c:majorTickMark val="out"/>
        <c:minorTickMark val="none"/>
        <c:tickLblPos val="nextTo"/>
        <c:crossAx val="21272736"/>
        <c:crosses val="autoZero"/>
        <c:crossBetween val="midCat"/>
      </c:valAx>
      <c:spPr>
        <a:noFill/>
        <a:ln>
          <a:noFill/>
        </a:ln>
        <a:effectLst/>
      </c:spPr>
    </c:plotArea>
    <c:legend>
      <c:legendPos val="b"/>
      <c:legendEntry>
        <c:idx val="3"/>
        <c:delete val="1"/>
      </c:legendEntry>
      <c:layout>
        <c:manualLayout>
          <c:xMode val="edge"/>
          <c:yMode val="edge"/>
          <c:x val="0.26498461057032863"/>
          <c:y val="0.93515031106975333"/>
          <c:w val="0.4649985537371486"/>
          <c:h val="6.3510964283958596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800" baseline="0">
          <a:solidFill>
            <a:sysClr val="windowText" lastClr="000000"/>
          </a:solidFill>
          <a:latin typeface="Arial" panose="020B0604020202020204" pitchFamily="34" charset="0"/>
        </a:defRPr>
      </a:pPr>
      <a:endParaRPr lang="en-US"/>
    </a:p>
  </c:txPr>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347258190627277E-2"/>
          <c:y val="9.6060170783332052E-2"/>
          <c:w val="0.89744888504938936"/>
          <c:h val="0.72070453743206275"/>
        </c:manualLayout>
      </c:layout>
      <c:lineChart>
        <c:grouping val="standard"/>
        <c:varyColors val="0"/>
        <c:ser>
          <c:idx val="0"/>
          <c:order val="0"/>
          <c:tx>
            <c:strRef>
              <c:f>'Fig 25 data'!$C$6</c:f>
              <c:strCache>
                <c:ptCount val="1"/>
                <c:pt idx="0">
                  <c:v>Baseline</c:v>
                </c:pt>
              </c:strCache>
            </c:strRef>
          </c:tx>
          <c:spPr>
            <a:ln w="38100" cap="rnd">
              <a:solidFill>
                <a:srgbClr val="0083AC"/>
              </a:solidFill>
              <a:round/>
            </a:ln>
            <a:effectLst/>
          </c:spPr>
          <c:marker>
            <c:symbol val="none"/>
          </c:marker>
          <c:cat>
            <c:numRef>
              <c:f>'Fig 25 data'!$B$8:$B$68</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25 data'!$C$8:$C$68</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45.994639863852179</c:v>
                </c:pt>
                <c:pt idx="26">
                  <c:v>46.745755798944231</c:v>
                </c:pt>
                <c:pt idx="27">
                  <c:v>47.902018331619956</c:v>
                </c:pt>
                <c:pt idx="28">
                  <c:v>49.474451588221683</c:v>
                </c:pt>
                <c:pt idx="29">
                  <c:v>51.410059238652636</c:v>
                </c:pt>
                <c:pt idx="30">
                  <c:v>53.639633556887688</c:v>
                </c:pt>
                <c:pt idx="31">
                  <c:v>55.792886503026232</c:v>
                </c:pt>
                <c:pt idx="32">
                  <c:v>58.042324639763123</c:v>
                </c:pt>
                <c:pt idx="33">
                  <c:v>60.498660534783376</c:v>
                </c:pt>
                <c:pt idx="34">
                  <c:v>63.174159719252209</c:v>
                </c:pt>
                <c:pt idx="35">
                  <c:v>66.002794014467909</c:v>
                </c:pt>
                <c:pt idx="36">
                  <c:v>68.992727316958778</c:v>
                </c:pt>
                <c:pt idx="37">
                  <c:v>72.143805681006384</c:v>
                </c:pt>
                <c:pt idx="38">
                  <c:v>75.45883598356383</c:v>
                </c:pt>
                <c:pt idx="39">
                  <c:v>78.940304126756189</c:v>
                </c:pt>
                <c:pt idx="40">
                  <c:v>82.592221057046871</c:v>
                </c:pt>
                <c:pt idx="41">
                  <c:v>86.419370432243412</c:v>
                </c:pt>
                <c:pt idx="42">
                  <c:v>90.426369443103468</c:v>
                </c:pt>
                <c:pt idx="43">
                  <c:v>94.620476617891711</c:v>
                </c:pt>
                <c:pt idx="44">
                  <c:v>99.00777145746747</c:v>
                </c:pt>
                <c:pt idx="45">
                  <c:v>103.59208253345477</c:v>
                </c:pt>
                <c:pt idx="46">
                  <c:v>108.37763071072106</c:v>
                </c:pt>
                <c:pt idx="47">
                  <c:v>113.37678136034725</c:v>
                </c:pt>
                <c:pt idx="48">
                  <c:v>118.595341758323</c:v>
                </c:pt>
                <c:pt idx="49">
                  <c:v>124.03839608169436</c:v>
                </c:pt>
                <c:pt idx="50">
                  <c:v>129.71358707590875</c:v>
                </c:pt>
                <c:pt idx="51">
                  <c:v>135.63550650685855</c:v>
                </c:pt>
                <c:pt idx="52">
                  <c:v>141.80317962623471</c:v>
                </c:pt>
                <c:pt idx="53">
                  <c:v>148.21684127458337</c:v>
                </c:pt>
                <c:pt idx="54">
                  <c:v>154.87340162203637</c:v>
                </c:pt>
                <c:pt idx="55">
                  <c:v>161.77874586949704</c:v>
                </c:pt>
                <c:pt idx="56">
                  <c:v>168.92589308825092</c:v>
                </c:pt>
                <c:pt idx="57">
                  <c:v>176.32532755945135</c:v>
                </c:pt>
                <c:pt idx="58">
                  <c:v>183.97419005984332</c:v>
                </c:pt>
                <c:pt idx="59">
                  <c:v>191.87530189258945</c:v>
                </c:pt>
                <c:pt idx="60">
                  <c:v>200.04067114934801</c:v>
                </c:pt>
              </c:numCache>
            </c:numRef>
          </c:val>
          <c:smooth val="0"/>
          <c:extLst>
            <c:ext xmlns:c16="http://schemas.microsoft.com/office/drawing/2014/chart" uri="{C3380CC4-5D6E-409C-BE32-E72D297353CC}">
              <c16:uniqueId val="{00000000-CA07-4F04-AA66-CD9DE039ABB1}"/>
            </c:ext>
          </c:extLst>
        </c:ser>
        <c:ser>
          <c:idx val="1"/>
          <c:order val="1"/>
          <c:tx>
            <c:strRef>
              <c:f>'Fig 25 data'!$D$6</c:f>
              <c:strCache>
                <c:ptCount val="1"/>
                <c:pt idx="0">
                  <c:v>High</c:v>
                </c:pt>
              </c:strCache>
            </c:strRef>
          </c:tx>
          <c:spPr>
            <a:ln w="38100" cap="rnd">
              <a:solidFill>
                <a:srgbClr val="67A854"/>
              </a:solidFill>
              <a:round/>
            </a:ln>
            <a:effectLst/>
          </c:spPr>
          <c:marker>
            <c:symbol val="none"/>
          </c:marker>
          <c:cat>
            <c:numRef>
              <c:f>'Fig 25 data'!$B$8:$B$68</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25 data'!$D$8:$D$68</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46.563893645725138</c:v>
                </c:pt>
                <c:pt idx="26">
                  <c:v>47.938317576430009</c:v>
                </c:pt>
                <c:pt idx="27">
                  <c:v>49.749523864663132</c:v>
                </c:pt>
                <c:pt idx="28">
                  <c:v>52.015499131142384</c:v>
                </c:pt>
                <c:pt idx="29">
                  <c:v>54.633485646867705</c:v>
                </c:pt>
                <c:pt idx="30">
                  <c:v>57.537986952988405</c:v>
                </c:pt>
                <c:pt idx="31">
                  <c:v>60.557531931970388</c:v>
                </c:pt>
                <c:pt idx="32">
                  <c:v>63.671619863510124</c:v>
                </c:pt>
                <c:pt idx="33">
                  <c:v>66.899894049429804</c:v>
                </c:pt>
                <c:pt idx="34">
                  <c:v>70.249547000628027</c:v>
                </c:pt>
                <c:pt idx="35">
                  <c:v>73.745885815045185</c:v>
                </c:pt>
                <c:pt idx="36">
                  <c:v>77.399036183084348</c:v>
                </c:pt>
                <c:pt idx="37">
                  <c:v>81.204130173611048</c:v>
                </c:pt>
                <c:pt idx="38">
                  <c:v>85.168123236985153</c:v>
                </c:pt>
                <c:pt idx="39">
                  <c:v>89.295746602426277</c:v>
                </c:pt>
                <c:pt idx="40">
                  <c:v>93.591894439479177</c:v>
                </c:pt>
                <c:pt idx="41">
                  <c:v>98.063916789585164</c:v>
                </c:pt>
                <c:pt idx="42">
                  <c:v>102.71802023313532</c:v>
                </c:pt>
                <c:pt idx="43">
                  <c:v>107.56321809931559</c:v>
                </c:pt>
                <c:pt idx="44">
                  <c:v>112.6083092146563</c:v>
                </c:pt>
                <c:pt idx="45">
                  <c:v>117.85722883744596</c:v>
                </c:pt>
                <c:pt idx="46">
                  <c:v>123.31388490223496</c:v>
                </c:pt>
                <c:pt idx="47">
                  <c:v>128.99484019253845</c:v>
                </c:pt>
                <c:pt idx="48">
                  <c:v>134.90510760268526</c:v>
                </c:pt>
                <c:pt idx="49">
                  <c:v>141.04886742186929</c:v>
                </c:pt>
                <c:pt idx="50">
                  <c:v>147.43344937521076</c:v>
                </c:pt>
                <c:pt idx="51">
                  <c:v>154.07446463086606</c:v>
                </c:pt>
                <c:pt idx="52">
                  <c:v>160.96702425826115</c:v>
                </c:pt>
                <c:pt idx="53">
                  <c:v>168.11144915437933</c:v>
                </c:pt>
                <c:pt idx="54">
                  <c:v>175.50166892289286</c:v>
                </c:pt>
                <c:pt idx="55">
                  <c:v>183.14418491273761</c:v>
                </c:pt>
                <c:pt idx="56">
                  <c:v>191.02809029012295</c:v>
                </c:pt>
                <c:pt idx="57">
                  <c:v>199.16689757580028</c:v>
                </c:pt>
                <c:pt idx="58">
                  <c:v>207.5543044856706</c:v>
                </c:pt>
                <c:pt idx="59">
                  <c:v>216.1936411495725</c:v>
                </c:pt>
                <c:pt idx="60">
                  <c:v>225.10001247804135</c:v>
                </c:pt>
              </c:numCache>
            </c:numRef>
          </c:val>
          <c:smooth val="0"/>
          <c:extLst>
            <c:ext xmlns:c16="http://schemas.microsoft.com/office/drawing/2014/chart" uri="{C3380CC4-5D6E-409C-BE32-E72D297353CC}">
              <c16:uniqueId val="{00000001-CA07-4F04-AA66-CD9DE039ABB1}"/>
            </c:ext>
          </c:extLst>
        </c:ser>
        <c:ser>
          <c:idx val="2"/>
          <c:order val="2"/>
          <c:tx>
            <c:strRef>
              <c:f>'Fig 25 data'!$E$6</c:f>
              <c:strCache>
                <c:ptCount val="1"/>
                <c:pt idx="0">
                  <c:v>Low</c:v>
                </c:pt>
              </c:strCache>
            </c:strRef>
          </c:tx>
          <c:spPr>
            <a:ln w="38100" cap="rnd">
              <a:solidFill>
                <a:srgbClr val="3E403A"/>
              </a:solidFill>
              <a:round/>
            </a:ln>
            <a:effectLst/>
          </c:spPr>
          <c:marker>
            <c:symbol val="none"/>
          </c:marker>
          <c:cat>
            <c:numRef>
              <c:f>'Fig 25 data'!$B$8:$B$68</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25 data'!$E$8:$E$68</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45.423415013653781</c:v>
                </c:pt>
                <c:pt idx="26">
                  <c:v>45.673563321401382</c:v>
                </c:pt>
                <c:pt idx="27">
                  <c:v>46.370542259306617</c:v>
                </c:pt>
                <c:pt idx="28">
                  <c:v>47.526286118167612</c:v>
                </c:pt>
                <c:pt idx="29">
                  <c:v>49.039531111762493</c:v>
                </c:pt>
                <c:pt idx="30">
                  <c:v>50.843925697739593</c:v>
                </c:pt>
                <c:pt idx="31">
                  <c:v>52.767739348832976</c:v>
                </c:pt>
                <c:pt idx="32">
                  <c:v>54.789448723064993</c:v>
                </c:pt>
                <c:pt idx="33">
                  <c:v>56.925623326498595</c:v>
                </c:pt>
                <c:pt idx="34">
                  <c:v>59.182474773313132</c:v>
                </c:pt>
                <c:pt idx="35">
                  <c:v>61.5860879685345</c:v>
                </c:pt>
                <c:pt idx="36">
                  <c:v>64.145510432808948</c:v>
                </c:pt>
                <c:pt idx="37">
                  <c:v>66.856740086103272</c:v>
                </c:pt>
                <c:pt idx="38">
                  <c:v>69.725132426349973</c:v>
                </c:pt>
                <c:pt idx="39">
                  <c:v>72.754242733853275</c:v>
                </c:pt>
                <c:pt idx="40">
                  <c:v>75.948187442121522</c:v>
                </c:pt>
                <c:pt idx="41">
                  <c:v>79.312909938371462</c:v>
                </c:pt>
                <c:pt idx="42">
                  <c:v>82.853494048034648</c:v>
                </c:pt>
                <c:pt idx="43">
                  <c:v>86.577725583831921</c:v>
                </c:pt>
                <c:pt idx="44">
                  <c:v>90.492722761461778</c:v>
                </c:pt>
                <c:pt idx="45">
                  <c:v>94.60179633977252</c:v>
                </c:pt>
                <c:pt idx="46">
                  <c:v>98.90846437772376</c:v>
                </c:pt>
                <c:pt idx="47">
                  <c:v>103.4268333230609</c:v>
                </c:pt>
                <c:pt idx="48">
                  <c:v>108.16172899445202</c:v>
                </c:pt>
                <c:pt idx="49">
                  <c:v>113.1172796773634</c:v>
                </c:pt>
                <c:pt idx="50">
                  <c:v>118.30053541647823</c:v>
                </c:pt>
                <c:pt idx="51">
                  <c:v>123.72616446696247</c:v>
                </c:pt>
                <c:pt idx="52">
                  <c:v>129.39101386924332</c:v>
                </c:pt>
                <c:pt idx="53">
                  <c:v>135.29508752574736</c:v>
                </c:pt>
                <c:pt idx="54">
                  <c:v>141.43377386442091</c:v>
                </c:pt>
                <c:pt idx="55">
                  <c:v>147.81304896134594</c:v>
                </c:pt>
                <c:pt idx="56">
                  <c:v>154.42420222248722</c:v>
                </c:pt>
                <c:pt idx="57">
                  <c:v>161.27881486658785</c:v>
                </c:pt>
                <c:pt idx="58">
                  <c:v>168.37261741229605</c:v>
                </c:pt>
                <c:pt idx="59">
                  <c:v>175.70856268316325</c:v>
                </c:pt>
                <c:pt idx="60">
                  <c:v>183.29966250061474</c:v>
                </c:pt>
              </c:numCache>
            </c:numRef>
          </c:val>
          <c:smooth val="0"/>
          <c:extLst>
            <c:ext xmlns:c16="http://schemas.microsoft.com/office/drawing/2014/chart" uri="{C3380CC4-5D6E-409C-BE32-E72D297353CC}">
              <c16:uniqueId val="{00000002-CA07-4F04-AA66-CD9DE039ABB1}"/>
            </c:ext>
          </c:extLst>
        </c:ser>
        <c:dLbls>
          <c:showLegendKey val="0"/>
          <c:showVal val="0"/>
          <c:showCatName val="0"/>
          <c:showSerName val="0"/>
          <c:showPercent val="0"/>
          <c:showBubbleSize val="0"/>
        </c:dLbls>
        <c:marker val="1"/>
        <c:smooth val="0"/>
        <c:axId val="557060847"/>
        <c:axId val="557031567"/>
      </c:lineChart>
      <c:scatterChart>
        <c:scatterStyle val="lineMarker"/>
        <c:varyColors val="0"/>
        <c:ser>
          <c:idx val="3"/>
          <c:order val="3"/>
          <c:tx>
            <c:strRef>
              <c:f>'Fig 25 data'!$F$6</c:f>
              <c:strCache>
                <c:ptCount val="1"/>
                <c:pt idx="0">
                  <c:v>line</c:v>
                </c:pt>
              </c:strCache>
            </c:strRef>
          </c:tx>
          <c:spPr>
            <a:ln w="25400" cap="rnd">
              <a:noFill/>
              <a:round/>
            </a:ln>
            <a:effectLst/>
          </c:spPr>
          <c:marker>
            <c:symbol val="circle"/>
            <c:size val="5"/>
            <c:spPr>
              <a:solidFill>
                <a:schemeClr val="accent4"/>
              </a:solidFill>
              <a:ln w="9525">
                <a:solidFill>
                  <a:schemeClr val="accent4"/>
                </a:solidFill>
              </a:ln>
              <a:effectLst/>
            </c:spPr>
          </c:marker>
          <c:dPt>
            <c:idx val="24"/>
            <c:marker>
              <c:symbol val="circle"/>
              <c:size val="5"/>
              <c:spPr>
                <a:noFill/>
                <a:ln w="9525">
                  <a:noFill/>
                </a:ln>
                <a:effectLst/>
              </c:spPr>
            </c:marker>
            <c:bubble3D val="0"/>
            <c:extLst>
              <c:ext xmlns:c16="http://schemas.microsoft.com/office/drawing/2014/chart" uri="{C3380CC4-5D6E-409C-BE32-E72D297353CC}">
                <c16:uniqueId val="{00000004-CA07-4F04-AA66-CD9DE039ABB1}"/>
              </c:ext>
            </c:extLst>
          </c:dPt>
          <c:errBars>
            <c:errDir val="y"/>
            <c:errBarType val="both"/>
            <c:errValType val="fixedVal"/>
            <c:noEndCap val="0"/>
            <c:val val="1"/>
            <c:spPr>
              <a:noFill/>
              <a:ln w="9525" cap="flat" cmpd="sng" algn="ctr">
                <a:solidFill>
                  <a:schemeClr val="tx1">
                    <a:lumMod val="65000"/>
                    <a:lumOff val="35000"/>
                  </a:schemeClr>
                </a:solidFill>
                <a:round/>
              </a:ln>
              <a:effectLst/>
            </c:spPr>
          </c:errBars>
          <c:yVal>
            <c:numRef>
              <c:f>'Fig 25 data'!$F$8:$F$68</c:f>
              <c:numCache>
                <c:formatCode>General</c:formatCode>
                <c:ptCount val="61"/>
                <c:pt idx="24" formatCode="0.0">
                  <c:v>1</c:v>
                </c:pt>
              </c:numCache>
            </c:numRef>
          </c:yVal>
          <c:smooth val="0"/>
          <c:extLst>
            <c:ext xmlns:c16="http://schemas.microsoft.com/office/drawing/2014/chart" uri="{C3380CC4-5D6E-409C-BE32-E72D297353CC}">
              <c16:uniqueId val="{00000003-CA07-4F04-AA66-CD9DE039ABB1}"/>
            </c:ext>
          </c:extLst>
        </c:ser>
        <c:dLbls>
          <c:showLegendKey val="0"/>
          <c:showVal val="0"/>
          <c:showCatName val="0"/>
          <c:showSerName val="0"/>
          <c:showPercent val="0"/>
          <c:showBubbleSize val="0"/>
        </c:dLbls>
        <c:axId val="557008527"/>
        <c:axId val="557008047"/>
      </c:scatterChart>
      <c:catAx>
        <c:axId val="557060847"/>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9254297753613038"/>
              <c:y val="0.88791583652499939"/>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7031567"/>
        <c:crosses val="autoZero"/>
        <c:auto val="1"/>
        <c:lblAlgn val="ctr"/>
        <c:lblOffset val="100"/>
        <c:tickLblSkip val="5"/>
        <c:tickMarkSkip val="5"/>
        <c:noMultiLvlLbl val="0"/>
      </c:catAx>
      <c:valAx>
        <c:axId val="557031567"/>
        <c:scaling>
          <c:orientation val="minMax"/>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7.2946236756775851E-3"/>
              <c:y val="1.5626898640253292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7060847"/>
        <c:crosses val="autoZero"/>
        <c:crossBetween val="between"/>
      </c:valAx>
      <c:valAx>
        <c:axId val="557008047"/>
        <c:scaling>
          <c:orientation val="minMax"/>
          <c:max val="1"/>
        </c:scaling>
        <c:delete val="0"/>
        <c:axPos val="r"/>
        <c:title>
          <c:tx>
            <c:rich>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0">
                    <a:solidFill>
                      <a:sysClr val="windowText" lastClr="000000"/>
                    </a:solidFill>
                    <a:latin typeface="Arial" panose="020B0604020202020204" pitchFamily="34" charset="0"/>
                    <a:cs typeface="Arial" panose="020B0604020202020204" pitchFamily="34" charset="0"/>
                  </a:rPr>
                  <a:t>Projection</a:t>
                </a:r>
              </a:p>
            </c:rich>
          </c:tx>
          <c:layout>
            <c:manualLayout>
              <c:xMode val="edge"/>
              <c:yMode val="edge"/>
              <c:x val="0.62980069253034421"/>
              <c:y val="0.18335576423491898"/>
            </c:manualLayout>
          </c:layout>
          <c:overlay val="0"/>
          <c:spPr>
            <a:noFill/>
            <a:ln>
              <a:noFill/>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08527"/>
        <c:crosses val="max"/>
        <c:crossBetween val="midCat"/>
      </c:valAx>
      <c:valAx>
        <c:axId val="557008527"/>
        <c:scaling>
          <c:orientation val="minMax"/>
        </c:scaling>
        <c:delete val="1"/>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0">
                    <a:solidFill>
                      <a:sysClr val="windowText" lastClr="000000"/>
                    </a:solidFill>
                    <a:latin typeface="Arial" panose="020B0604020202020204" pitchFamily="34" charset="0"/>
                    <a:cs typeface="Arial" panose="020B0604020202020204" pitchFamily="34" charset="0"/>
                  </a:rPr>
                  <a:t>Outturn and</a:t>
                </a:r>
                <a:r>
                  <a:rPr lang="en-NZ" sz="1800" b="0" baseline="0">
                    <a:solidFill>
                      <a:sysClr val="windowText" lastClr="000000"/>
                    </a:solidFill>
                    <a:latin typeface="Arial" panose="020B0604020202020204" pitchFamily="34" charset="0"/>
                    <a:cs typeface="Arial" panose="020B0604020202020204" pitchFamily="34" charset="0"/>
                  </a:rPr>
                  <a:t> forecast</a:t>
                </a:r>
                <a:endParaRPr lang="en-NZ" sz="1800" b="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1150572513703505"/>
              <c:y val="0.18555533668166321"/>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Z"/>
            </a:p>
          </c:txPr>
        </c:title>
        <c:majorTickMark val="out"/>
        <c:minorTickMark val="none"/>
        <c:tickLblPos val="nextTo"/>
        <c:crossAx val="557008047"/>
        <c:crosses val="autoZero"/>
        <c:crossBetween val="midCat"/>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241131757029418E-2"/>
          <c:y val="9.48481749663206E-2"/>
          <c:w val="0.90019894805462852"/>
          <c:h val="0.7182225703504157"/>
        </c:manualLayout>
      </c:layout>
      <c:lineChart>
        <c:grouping val="standard"/>
        <c:varyColors val="0"/>
        <c:ser>
          <c:idx val="0"/>
          <c:order val="0"/>
          <c:tx>
            <c:strRef>
              <c:f>'Fig 26 data'!$C$5</c:f>
              <c:strCache>
                <c:ptCount val="1"/>
                <c:pt idx="0">
                  <c:v>Baseline</c:v>
                </c:pt>
              </c:strCache>
            </c:strRef>
          </c:tx>
          <c:spPr>
            <a:ln w="38100">
              <a:solidFill>
                <a:srgbClr val="0083AC"/>
              </a:solidFill>
            </a:ln>
          </c:spPr>
          <c:marker>
            <c:symbol val="none"/>
          </c:marker>
          <c:cat>
            <c:numRef>
              <c:f>'Fig 26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26 data'!$C$7:$C$47</c:f>
              <c:numCache>
                <c:formatCode>0.0</c:formatCode>
                <c:ptCount val="41"/>
                <c:pt idx="0">
                  <c:v>29.676416944380101</c:v>
                </c:pt>
                <c:pt idx="1">
                  <c:v>29.928874046000601</c:v>
                </c:pt>
                <c:pt idx="2">
                  <c:v>30.189998400743999</c:v>
                </c:pt>
                <c:pt idx="3">
                  <c:v>30.4281416226092</c:v>
                </c:pt>
                <c:pt idx="4">
                  <c:v>30.6427259021557</c:v>
                </c:pt>
                <c:pt idx="5">
                  <c:v>30.835036097865501</c:v>
                </c:pt>
                <c:pt idx="6">
                  <c:v>31.007685578400402</c:v>
                </c:pt>
                <c:pt idx="7">
                  <c:v>31.184813352474201</c:v>
                </c:pt>
                <c:pt idx="8">
                  <c:v>31.354120603122901</c:v>
                </c:pt>
                <c:pt idx="9">
                  <c:v>31.523842885270501</c:v>
                </c:pt>
                <c:pt idx="10">
                  <c:v>31.6869981832678</c:v>
                </c:pt>
                <c:pt idx="11">
                  <c:v>31.8590914660899</c:v>
                </c:pt>
                <c:pt idx="12">
                  <c:v>32.023098996903997</c:v>
                </c:pt>
                <c:pt idx="13">
                  <c:v>32.162156665916299</c:v>
                </c:pt>
                <c:pt idx="14">
                  <c:v>32.284610051144298</c:v>
                </c:pt>
                <c:pt idx="15">
                  <c:v>32.380436692449202</c:v>
                </c:pt>
                <c:pt idx="16">
                  <c:v>32.463091351956201</c:v>
                </c:pt>
                <c:pt idx="17">
                  <c:v>32.542591258502299</c:v>
                </c:pt>
                <c:pt idx="18">
                  <c:v>32.610737655057299</c:v>
                </c:pt>
                <c:pt idx="19">
                  <c:v>32.7050422790224</c:v>
                </c:pt>
                <c:pt idx="20">
                  <c:v>32.811507913238103</c:v>
                </c:pt>
                <c:pt idx="21">
                  <c:v>32.922527784016303</c:v>
                </c:pt>
                <c:pt idx="22">
                  <c:v>33.046957514219599</c:v>
                </c:pt>
                <c:pt idx="23">
                  <c:v>33.184922171926502</c:v>
                </c:pt>
                <c:pt idx="24">
                  <c:v>33.331339768809002</c:v>
                </c:pt>
                <c:pt idx="25">
                  <c:v>33.486651659364497</c:v>
                </c:pt>
                <c:pt idx="26">
                  <c:v>33.652530297584001</c:v>
                </c:pt>
                <c:pt idx="27">
                  <c:v>33.841671989104903</c:v>
                </c:pt>
                <c:pt idx="28">
                  <c:v>34.0529544570567</c:v>
                </c:pt>
                <c:pt idx="29">
                  <c:v>34.274829623806603</c:v>
                </c:pt>
                <c:pt idx="30">
                  <c:v>34.517453148028402</c:v>
                </c:pt>
                <c:pt idx="31">
                  <c:v>34.770975021068402</c:v>
                </c:pt>
                <c:pt idx="32">
                  <c:v>35.019370878839297</c:v>
                </c:pt>
                <c:pt idx="33">
                  <c:v>35.2558693562044</c:v>
                </c:pt>
                <c:pt idx="34">
                  <c:v>35.473547181345701</c:v>
                </c:pt>
                <c:pt idx="35">
                  <c:v>35.685030474086503</c:v>
                </c:pt>
                <c:pt idx="36">
                  <c:v>35.882418251360399</c:v>
                </c:pt>
                <c:pt idx="37">
                  <c:v>36.066672098440797</c:v>
                </c:pt>
                <c:pt idx="38">
                  <c:v>36.243258564924297</c:v>
                </c:pt>
                <c:pt idx="39">
                  <c:v>36.404628059099799</c:v>
                </c:pt>
                <c:pt idx="40">
                  <c:v>36.580829173014401</c:v>
                </c:pt>
              </c:numCache>
            </c:numRef>
          </c:val>
          <c:smooth val="0"/>
          <c:extLst>
            <c:ext xmlns:c16="http://schemas.microsoft.com/office/drawing/2014/chart" uri="{C3380CC4-5D6E-409C-BE32-E72D297353CC}">
              <c16:uniqueId val="{00000000-5EA5-4E2A-A778-937755D66FC7}"/>
            </c:ext>
          </c:extLst>
        </c:ser>
        <c:ser>
          <c:idx val="1"/>
          <c:order val="1"/>
          <c:tx>
            <c:strRef>
              <c:f>'Fig 26 data'!$D$5</c:f>
              <c:strCache>
                <c:ptCount val="1"/>
                <c:pt idx="0">
                  <c:v>High fertility</c:v>
                </c:pt>
              </c:strCache>
            </c:strRef>
          </c:tx>
          <c:spPr>
            <a:ln w="38100">
              <a:solidFill>
                <a:srgbClr val="67A854"/>
              </a:solidFill>
            </a:ln>
          </c:spPr>
          <c:marker>
            <c:symbol val="none"/>
          </c:marker>
          <c:cat>
            <c:numRef>
              <c:f>'Fig 26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26 data'!$D$7:$D$47</c:f>
              <c:numCache>
                <c:formatCode>0.0</c:formatCode>
                <c:ptCount val="41"/>
                <c:pt idx="0">
                  <c:v>29.665555109882799</c:v>
                </c:pt>
                <c:pt idx="1">
                  <c:v>29.916152790780799</c:v>
                </c:pt>
                <c:pt idx="2">
                  <c:v>30.210827510820401</c:v>
                </c:pt>
                <c:pt idx="3">
                  <c:v>30.481266307141301</c:v>
                </c:pt>
                <c:pt idx="4">
                  <c:v>30.726374107976401</c:v>
                </c:pt>
                <c:pt idx="5">
                  <c:v>30.948290368561398</c:v>
                </c:pt>
                <c:pt idx="6">
                  <c:v>31.149541316795201</c:v>
                </c:pt>
                <c:pt idx="7">
                  <c:v>31.3455104825963</c:v>
                </c:pt>
                <c:pt idx="8">
                  <c:v>31.532798916610599</c:v>
                </c:pt>
                <c:pt idx="9">
                  <c:v>31.719498993065098</c:v>
                </c:pt>
                <c:pt idx="10">
                  <c:v>31.8990562461317</c:v>
                </c:pt>
                <c:pt idx="11">
                  <c:v>32.0871086107108</c:v>
                </c:pt>
                <c:pt idx="12">
                  <c:v>32.270899890312698</c:v>
                </c:pt>
                <c:pt idx="13">
                  <c:v>32.4289321713254</c:v>
                </c:pt>
                <c:pt idx="14">
                  <c:v>32.569411387626097</c:v>
                </c:pt>
                <c:pt idx="15">
                  <c:v>32.682605695313796</c:v>
                </c:pt>
                <c:pt idx="16">
                  <c:v>32.781936813958502</c:v>
                </c:pt>
                <c:pt idx="17">
                  <c:v>32.886305443717298</c:v>
                </c:pt>
                <c:pt idx="18">
                  <c:v>32.978494052305599</c:v>
                </c:pt>
                <c:pt idx="19">
                  <c:v>33.096130783468801</c:v>
                </c:pt>
                <c:pt idx="20">
                  <c:v>33.225474469782398</c:v>
                </c:pt>
                <c:pt idx="21">
                  <c:v>33.359235242205699</c:v>
                </c:pt>
                <c:pt idx="22">
                  <c:v>33.514338876689699</c:v>
                </c:pt>
                <c:pt idx="23">
                  <c:v>33.608195275901103</c:v>
                </c:pt>
                <c:pt idx="24">
                  <c:v>33.706102953731097</c:v>
                </c:pt>
                <c:pt idx="25">
                  <c:v>33.809269751811797</c:v>
                </c:pt>
                <c:pt idx="26">
                  <c:v>33.919696570754702</c:v>
                </c:pt>
                <c:pt idx="27">
                  <c:v>34.055159300621902</c:v>
                </c:pt>
                <c:pt idx="28">
                  <c:v>34.2077684041098</c:v>
                </c:pt>
                <c:pt idx="29">
                  <c:v>34.366160407910598</c:v>
                </c:pt>
                <c:pt idx="30">
                  <c:v>34.539989693419002</c:v>
                </c:pt>
                <c:pt idx="31">
                  <c:v>34.719429475127697</c:v>
                </c:pt>
                <c:pt idx="32">
                  <c:v>34.895646031268903</c:v>
                </c:pt>
                <c:pt idx="33">
                  <c:v>35.055921960056402</c:v>
                </c:pt>
                <c:pt idx="34">
                  <c:v>35.194190263384698</c:v>
                </c:pt>
                <c:pt idx="35">
                  <c:v>35.322856186280802</c:v>
                </c:pt>
                <c:pt idx="36">
                  <c:v>35.434851113152803</c:v>
                </c:pt>
                <c:pt idx="37">
                  <c:v>35.535341071964197</c:v>
                </c:pt>
                <c:pt idx="38">
                  <c:v>35.625614994666797</c:v>
                </c:pt>
                <c:pt idx="39">
                  <c:v>35.698745868538197</c:v>
                </c:pt>
                <c:pt idx="40">
                  <c:v>35.782985205773301</c:v>
                </c:pt>
              </c:numCache>
            </c:numRef>
          </c:val>
          <c:smooth val="0"/>
          <c:extLst>
            <c:ext xmlns:c16="http://schemas.microsoft.com/office/drawing/2014/chart" uri="{C3380CC4-5D6E-409C-BE32-E72D297353CC}">
              <c16:uniqueId val="{00000001-5EA5-4E2A-A778-937755D66FC7}"/>
            </c:ext>
          </c:extLst>
        </c:ser>
        <c:ser>
          <c:idx val="3"/>
          <c:order val="2"/>
          <c:tx>
            <c:strRef>
              <c:f>'Fig 26 data'!$E$5</c:f>
              <c:strCache>
                <c:ptCount val="1"/>
                <c:pt idx="0">
                  <c:v>High-skilled migration</c:v>
                </c:pt>
              </c:strCache>
            </c:strRef>
          </c:tx>
          <c:spPr>
            <a:ln w="38100">
              <a:solidFill>
                <a:srgbClr val="3F403A"/>
              </a:solidFill>
            </a:ln>
          </c:spPr>
          <c:marker>
            <c:symbol val="none"/>
          </c:marker>
          <c:cat>
            <c:numRef>
              <c:f>'Fig 26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26 data'!$E$7:$E$47</c:f>
              <c:numCache>
                <c:formatCode>0.0</c:formatCode>
                <c:ptCount val="41"/>
                <c:pt idx="0">
                  <c:v>29.731920536568101</c:v>
                </c:pt>
                <c:pt idx="1">
                  <c:v>29.9718453480927</c:v>
                </c:pt>
                <c:pt idx="2">
                  <c:v>30.213883016094599</c:v>
                </c:pt>
                <c:pt idx="3">
                  <c:v>30.4289219455443</c:v>
                </c:pt>
                <c:pt idx="4">
                  <c:v>30.616408835000001</c:v>
                </c:pt>
                <c:pt idx="5">
                  <c:v>30.7785998124568</c:v>
                </c:pt>
                <c:pt idx="6">
                  <c:v>30.919365166104001</c:v>
                </c:pt>
                <c:pt idx="7">
                  <c:v>31.063455832552901</c:v>
                </c:pt>
                <c:pt idx="8">
                  <c:v>31.1990265035801</c:v>
                </c:pt>
                <c:pt idx="9">
                  <c:v>31.3345309037446</c:v>
                </c:pt>
                <c:pt idx="10">
                  <c:v>31.463030744744799</c:v>
                </c:pt>
                <c:pt idx="11">
                  <c:v>31.6003349035425</c:v>
                </c:pt>
                <c:pt idx="12">
                  <c:v>31.729326847705501</c:v>
                </c:pt>
                <c:pt idx="13">
                  <c:v>31.833866034911399</c:v>
                </c:pt>
                <c:pt idx="14">
                  <c:v>31.922265083749</c:v>
                </c:pt>
                <c:pt idx="15">
                  <c:v>31.9848638495777</c:v>
                </c:pt>
                <c:pt idx="16">
                  <c:v>32.034564893659798</c:v>
                </c:pt>
                <c:pt idx="17">
                  <c:v>32.081761932754503</c:v>
                </c:pt>
                <c:pt idx="18">
                  <c:v>32.1183900150913</c:v>
                </c:pt>
                <c:pt idx="19">
                  <c:v>32.180991146722597</c:v>
                </c:pt>
                <c:pt idx="20">
                  <c:v>32.256344885080701</c:v>
                </c:pt>
                <c:pt idx="21">
                  <c:v>32.337370177557197</c:v>
                </c:pt>
                <c:pt idx="22">
                  <c:v>32.432399501142697</c:v>
                </c:pt>
                <c:pt idx="23">
                  <c:v>32.5415464205172</c:v>
                </c:pt>
                <c:pt idx="24">
                  <c:v>32.659940989692998</c:v>
                </c:pt>
                <c:pt idx="25">
                  <c:v>32.787482007838904</c:v>
                </c:pt>
                <c:pt idx="26">
                  <c:v>32.926141671222098</c:v>
                </c:pt>
                <c:pt idx="27">
                  <c:v>33.087407471603399</c:v>
                </c:pt>
                <c:pt idx="28">
                  <c:v>33.270606852085898</c:v>
                </c:pt>
                <c:pt idx="29">
                  <c:v>33.464406316193902</c:v>
                </c:pt>
                <c:pt idx="30">
                  <c:v>33.679398644466801</c:v>
                </c:pt>
                <c:pt idx="31">
                  <c:v>33.905937805722303</c:v>
                </c:pt>
                <c:pt idx="32">
                  <c:v>34.128129625895099</c:v>
                </c:pt>
                <c:pt idx="33">
                  <c:v>34.339308671476303</c:v>
                </c:pt>
                <c:pt idx="34">
                  <c:v>34.532796794105998</c:v>
                </c:pt>
                <c:pt idx="35">
                  <c:v>34.721017238645999</c:v>
                </c:pt>
                <c:pt idx="36">
                  <c:v>34.896133898223503</c:v>
                </c:pt>
                <c:pt idx="37">
                  <c:v>35.059336275182702</c:v>
                </c:pt>
                <c:pt idx="38">
                  <c:v>35.2159685802282</c:v>
                </c:pt>
                <c:pt idx="39">
                  <c:v>35.3584625702293</c:v>
                </c:pt>
                <c:pt idx="40">
                  <c:v>35.516041596220703</c:v>
                </c:pt>
              </c:numCache>
            </c:numRef>
          </c:val>
          <c:smooth val="0"/>
          <c:extLst>
            <c:ext xmlns:c16="http://schemas.microsoft.com/office/drawing/2014/chart" uri="{C3380CC4-5D6E-409C-BE32-E72D297353CC}">
              <c16:uniqueId val="{00000003-5EA5-4E2A-A778-937755D66FC7}"/>
            </c:ext>
          </c:extLst>
        </c:ser>
        <c:dLbls>
          <c:showLegendKey val="0"/>
          <c:showVal val="0"/>
          <c:showCatName val="0"/>
          <c:showSerName val="0"/>
          <c:showPercent val="0"/>
          <c:showBubbleSize val="0"/>
        </c:dLbls>
        <c:smooth val="0"/>
        <c:axId val="1637878416"/>
        <c:axId val="1637891376"/>
      </c:lineChart>
      <c:catAx>
        <c:axId val="1637878416"/>
        <c:scaling>
          <c:orientation val="minMax"/>
        </c:scaling>
        <c:delete val="0"/>
        <c:axPos val="b"/>
        <c:title>
          <c:tx>
            <c:rich>
              <a:bodyPr/>
              <a:lstStyle/>
              <a:p>
                <a:pPr algn="ctr">
                  <a:defRPr sz="1800" b="1">
                    <a:solidFill>
                      <a:srgbClr val="000000"/>
                    </a:solidFill>
                    <a:latin typeface="Arial"/>
                    <a:ea typeface="Arial"/>
                    <a:cs typeface="Arial"/>
                  </a:defRPr>
                </a:pPr>
                <a:r>
                  <a:rPr lang="en-NZ"/>
                  <a:t>Year ending 30 June</a:t>
                </a:r>
              </a:p>
            </c:rich>
          </c:tx>
          <c:layout>
            <c:manualLayout>
              <c:xMode val="edge"/>
              <c:yMode val="edge"/>
              <c:x val="0.37308960960165555"/>
              <c:y val="0.88366248207169207"/>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637891376"/>
        <c:crosses val="autoZero"/>
        <c:auto val="1"/>
        <c:lblAlgn val="ctr"/>
        <c:lblOffset val="100"/>
        <c:tickLblSkip val="5"/>
        <c:tickMarkSkip val="5"/>
        <c:noMultiLvlLbl val="0"/>
      </c:catAx>
      <c:valAx>
        <c:axId val="1637891376"/>
        <c:scaling>
          <c:orientation val="minMax"/>
          <c:max val="38"/>
          <c:min val="28"/>
        </c:scaling>
        <c:delete val="0"/>
        <c:axPos val="l"/>
        <c:majorGridlines>
          <c:spPr>
            <a:ln w="9525">
              <a:solidFill>
                <a:schemeClr val="bg1">
                  <a:lumMod val="50000"/>
                </a:schemeClr>
              </a:solidFill>
            </a:ln>
          </c:spPr>
        </c:majorGridlines>
        <c:title>
          <c:tx>
            <c:rich>
              <a:bodyPr rot="0" vert="horz"/>
              <a:lstStyle/>
              <a:p>
                <a:pPr>
                  <a:defRPr sz="1800">
                    <a:solidFill>
                      <a:sysClr val="windowText" lastClr="000000"/>
                    </a:solidFill>
                    <a:latin typeface="Arial" panose="020B0604020202020204" pitchFamily="34" charset="0"/>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6.8340507644671549E-3"/>
              <c:y val="1.5254059706741301E-2"/>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ysClr val="windowText" lastClr="000000"/>
                </a:solidFill>
                <a:latin typeface="Arial"/>
                <a:ea typeface="Arial"/>
                <a:cs typeface="Arial"/>
              </a:defRPr>
            </a:pPr>
            <a:endParaRPr lang="en-US"/>
          </a:p>
        </c:txPr>
        <c:crossAx val="1637878416"/>
        <c:crosses val="autoZero"/>
        <c:crossBetween val="midCat"/>
        <c:majorUnit val="2"/>
      </c:valAx>
    </c:plotArea>
    <c:legend>
      <c:legendPos val="b"/>
      <c:layout>
        <c:manualLayout>
          <c:xMode val="edge"/>
          <c:yMode val="edge"/>
          <c:x val="0.1479432983779925"/>
          <c:y val="0.93338508946953358"/>
          <c:w val="0.6990010837070858"/>
          <c:h val="6.0275335146893046E-2"/>
        </c:manualLayout>
      </c:layout>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0141217822939241E-2"/>
          <c:y val="9.7645812979163055E-2"/>
          <c:w val="0.90429886198871889"/>
          <c:h val="0.71677181241830157"/>
        </c:manualLayout>
      </c:layout>
      <c:lineChart>
        <c:grouping val="standard"/>
        <c:varyColors val="0"/>
        <c:ser>
          <c:idx val="0"/>
          <c:order val="0"/>
          <c:tx>
            <c:strRef>
              <c:f>'Fig 27 data'!$C$5</c:f>
              <c:strCache>
                <c:ptCount val="1"/>
                <c:pt idx="0">
                  <c:v>Baseline</c:v>
                </c:pt>
              </c:strCache>
            </c:strRef>
          </c:tx>
          <c:spPr>
            <a:ln w="38100">
              <a:solidFill>
                <a:srgbClr val="0083AC"/>
              </a:solidFill>
            </a:ln>
          </c:spPr>
          <c:marker>
            <c:symbol val="none"/>
          </c:marker>
          <c:cat>
            <c:numRef>
              <c:f>'Fig 27 data'!$B$7:$B$47</c:f>
              <c:numCache>
                <c:formatCode>0</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27 data'!$C$7:$C$47</c:f>
              <c:numCache>
                <c:formatCode>0.0</c:formatCode>
                <c:ptCount val="41"/>
                <c:pt idx="0">
                  <c:v>6.93035268827518</c:v>
                </c:pt>
                <c:pt idx="1">
                  <c:v>7.0572301364629899</c:v>
                </c:pt>
                <c:pt idx="2">
                  <c:v>7.1813314038995699</c:v>
                </c:pt>
                <c:pt idx="3">
                  <c:v>7.2890444048016203</c:v>
                </c:pt>
                <c:pt idx="4">
                  <c:v>7.3926353779531402</c:v>
                </c:pt>
                <c:pt idx="5">
                  <c:v>7.49454378468677</c:v>
                </c:pt>
                <c:pt idx="6">
                  <c:v>7.5922724850593903</c:v>
                </c:pt>
                <c:pt idx="7">
                  <c:v>7.6994295611724199</c:v>
                </c:pt>
                <c:pt idx="8">
                  <c:v>7.7992209935864896</c:v>
                </c:pt>
                <c:pt idx="9">
                  <c:v>7.89798683965323</c:v>
                </c:pt>
                <c:pt idx="10">
                  <c:v>7.9965879523866299</c:v>
                </c:pt>
                <c:pt idx="11">
                  <c:v>8.0965199731822395</c:v>
                </c:pt>
                <c:pt idx="12">
                  <c:v>8.1992935339856192</c:v>
                </c:pt>
                <c:pt idx="13">
                  <c:v>8.29326495780575</c:v>
                </c:pt>
                <c:pt idx="14">
                  <c:v>8.3832007882542001</c:v>
                </c:pt>
                <c:pt idx="15">
                  <c:v>8.4671899951226095</c:v>
                </c:pt>
                <c:pt idx="16">
                  <c:v>8.5507327031224207</c:v>
                </c:pt>
                <c:pt idx="17">
                  <c:v>8.6327976708907705</c:v>
                </c:pt>
                <c:pt idx="18">
                  <c:v>8.7129712595600601</c:v>
                </c:pt>
                <c:pt idx="19">
                  <c:v>8.8037720579040606</c:v>
                </c:pt>
                <c:pt idx="20">
                  <c:v>8.8960859002455805</c:v>
                </c:pt>
                <c:pt idx="21">
                  <c:v>8.9874541059843196</c:v>
                </c:pt>
                <c:pt idx="22">
                  <c:v>9.0824819578884792</c:v>
                </c:pt>
                <c:pt idx="23">
                  <c:v>9.1806002960462703</c:v>
                </c:pt>
                <c:pt idx="24">
                  <c:v>9.2802364419226802</c:v>
                </c:pt>
                <c:pt idx="25">
                  <c:v>9.3816057922831</c:v>
                </c:pt>
                <c:pt idx="26">
                  <c:v>9.4863832502306504</c:v>
                </c:pt>
                <c:pt idx="27">
                  <c:v>9.5977588225832005</c:v>
                </c:pt>
                <c:pt idx="28">
                  <c:v>9.7148334984642695</c:v>
                </c:pt>
                <c:pt idx="29">
                  <c:v>9.8350004715770396</c:v>
                </c:pt>
                <c:pt idx="30">
                  <c:v>9.9611679596601999</c:v>
                </c:pt>
                <c:pt idx="31">
                  <c:v>10.0912383758556</c:v>
                </c:pt>
                <c:pt idx="32">
                  <c:v>10.221379582268501</c:v>
                </c:pt>
                <c:pt idx="33">
                  <c:v>10.3491030267204</c:v>
                </c:pt>
                <c:pt idx="34">
                  <c:v>10.4722190265951</c:v>
                </c:pt>
                <c:pt idx="35">
                  <c:v>10.5947083656632</c:v>
                </c:pt>
                <c:pt idx="36">
                  <c:v>10.712748407020801</c:v>
                </c:pt>
                <c:pt idx="37">
                  <c:v>10.829335077866</c:v>
                </c:pt>
                <c:pt idx="38">
                  <c:v>10.9465882037338</c:v>
                </c:pt>
                <c:pt idx="39">
                  <c:v>11.062025794014501</c:v>
                </c:pt>
                <c:pt idx="40">
                  <c:v>11.186237423478801</c:v>
                </c:pt>
              </c:numCache>
            </c:numRef>
          </c:val>
          <c:smooth val="0"/>
          <c:extLst>
            <c:ext xmlns:c16="http://schemas.microsoft.com/office/drawing/2014/chart" uri="{C3380CC4-5D6E-409C-BE32-E72D297353CC}">
              <c16:uniqueId val="{00000000-46A6-4615-AAE3-6CFD792E3883}"/>
            </c:ext>
          </c:extLst>
        </c:ser>
        <c:ser>
          <c:idx val="1"/>
          <c:order val="1"/>
          <c:tx>
            <c:strRef>
              <c:f>'Fig 27 data'!$D$5</c:f>
              <c:strCache>
                <c:ptCount val="1"/>
                <c:pt idx="0">
                  <c:v>High fertility</c:v>
                </c:pt>
              </c:strCache>
            </c:strRef>
          </c:tx>
          <c:spPr>
            <a:ln w="38100">
              <a:solidFill>
                <a:srgbClr val="67A854"/>
              </a:solidFill>
            </a:ln>
          </c:spPr>
          <c:marker>
            <c:symbol val="none"/>
          </c:marker>
          <c:cat>
            <c:numRef>
              <c:f>'Fig 27 data'!$B$7:$B$47</c:f>
              <c:numCache>
                <c:formatCode>0</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27 data'!$D$7:$D$47</c:f>
              <c:numCache>
                <c:formatCode>0.0</c:formatCode>
                <c:ptCount val="41"/>
                <c:pt idx="0">
                  <c:v>6.9219387489030302</c:v>
                </c:pt>
                <c:pt idx="1">
                  <c:v>7.0494511047325403</c:v>
                </c:pt>
                <c:pt idx="2">
                  <c:v>7.2112746561410797</c:v>
                </c:pt>
                <c:pt idx="3">
                  <c:v>7.3549360099857202</c:v>
                </c:pt>
                <c:pt idx="4">
                  <c:v>7.4923639806691602</c:v>
                </c:pt>
                <c:pt idx="5">
                  <c:v>7.6269513600170704</c:v>
                </c:pt>
                <c:pt idx="6">
                  <c:v>7.7561083809311597</c:v>
                </c:pt>
                <c:pt idx="7">
                  <c:v>7.8839514271295599</c:v>
                </c:pt>
                <c:pt idx="8">
                  <c:v>8.0034275465306504</c:v>
                </c:pt>
                <c:pt idx="9">
                  <c:v>8.1207378029009796</c:v>
                </c:pt>
                <c:pt idx="10">
                  <c:v>8.2371889562702396</c:v>
                </c:pt>
                <c:pt idx="11">
                  <c:v>8.3544606159649</c:v>
                </c:pt>
                <c:pt idx="12">
                  <c:v>8.4786821723654704</c:v>
                </c:pt>
                <c:pt idx="13">
                  <c:v>8.5930406298932507</c:v>
                </c:pt>
                <c:pt idx="14">
                  <c:v>8.7021862415497893</c:v>
                </c:pt>
                <c:pt idx="15">
                  <c:v>8.8044851345292692</c:v>
                </c:pt>
                <c:pt idx="16">
                  <c:v>8.9055016740398596</c:v>
                </c:pt>
                <c:pt idx="17">
                  <c:v>9.0139121391682302</c:v>
                </c:pt>
                <c:pt idx="18">
                  <c:v>9.1193221395252895</c:v>
                </c:pt>
                <c:pt idx="19">
                  <c:v>9.2346162966913301</c:v>
                </c:pt>
                <c:pt idx="20">
                  <c:v>9.3508969295360291</c:v>
                </c:pt>
                <c:pt idx="21">
                  <c:v>9.4659411847543797</c:v>
                </c:pt>
                <c:pt idx="22">
                  <c:v>9.5933171754850601</c:v>
                </c:pt>
                <c:pt idx="23">
                  <c:v>9.6691984635137</c:v>
                </c:pt>
                <c:pt idx="24">
                  <c:v>9.7496799988178307</c:v>
                </c:pt>
                <c:pt idx="25">
                  <c:v>9.8301052656814392</c:v>
                </c:pt>
                <c:pt idx="26">
                  <c:v>9.91154110567253</c:v>
                </c:pt>
                <c:pt idx="27">
                  <c:v>10.003275607424101</c:v>
                </c:pt>
                <c:pt idx="28">
                  <c:v>10.0972431168573</c:v>
                </c:pt>
                <c:pt idx="29">
                  <c:v>10.190863984633699</c:v>
                </c:pt>
                <c:pt idx="30">
                  <c:v>10.2871680124899</c:v>
                </c:pt>
                <c:pt idx="31">
                  <c:v>10.383970200240899</c:v>
                </c:pt>
                <c:pt idx="32">
                  <c:v>10.484842273166599</c:v>
                </c:pt>
                <c:pt idx="33">
                  <c:v>10.5801497686499</c:v>
                </c:pt>
                <c:pt idx="34">
                  <c:v>10.667963758104101</c:v>
                </c:pt>
                <c:pt idx="35">
                  <c:v>10.752467251298</c:v>
                </c:pt>
                <c:pt idx="36">
                  <c:v>10.830245790782801</c:v>
                </c:pt>
                <c:pt idx="37">
                  <c:v>10.908494558868499</c:v>
                </c:pt>
                <c:pt idx="38">
                  <c:v>10.984727511376599</c:v>
                </c:pt>
                <c:pt idx="39">
                  <c:v>11.0563951269593</c:v>
                </c:pt>
                <c:pt idx="40">
                  <c:v>11.133929790125899</c:v>
                </c:pt>
              </c:numCache>
            </c:numRef>
          </c:val>
          <c:smooth val="0"/>
          <c:extLst>
            <c:ext xmlns:c16="http://schemas.microsoft.com/office/drawing/2014/chart" uri="{C3380CC4-5D6E-409C-BE32-E72D297353CC}">
              <c16:uniqueId val="{00000001-46A6-4615-AAE3-6CFD792E3883}"/>
            </c:ext>
          </c:extLst>
        </c:ser>
        <c:ser>
          <c:idx val="3"/>
          <c:order val="2"/>
          <c:tx>
            <c:strRef>
              <c:f>'Fig 27 data'!$E$5</c:f>
              <c:strCache>
                <c:ptCount val="1"/>
                <c:pt idx="0">
                  <c:v>High-skilled migration</c:v>
                </c:pt>
              </c:strCache>
            </c:strRef>
          </c:tx>
          <c:spPr>
            <a:ln w="38100">
              <a:solidFill>
                <a:srgbClr val="3F403A"/>
              </a:solidFill>
            </a:ln>
          </c:spPr>
          <c:marker>
            <c:symbol val="none"/>
          </c:marker>
          <c:cat>
            <c:numRef>
              <c:f>'Fig 27 data'!$B$7:$B$47</c:f>
              <c:numCache>
                <c:formatCode>0</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27 data'!$E$7:$E$47</c:f>
              <c:numCache>
                <c:formatCode>0.0</c:formatCode>
                <c:ptCount val="41"/>
                <c:pt idx="0">
                  <c:v>6.9704419729206801</c:v>
                </c:pt>
                <c:pt idx="1">
                  <c:v>7.0802192744330501</c:v>
                </c:pt>
                <c:pt idx="2">
                  <c:v>7.1853341827947697</c:v>
                </c:pt>
                <c:pt idx="3">
                  <c:v>7.2720101058511402</c:v>
                </c:pt>
                <c:pt idx="4">
                  <c:v>7.3518694214257296</c:v>
                </c:pt>
                <c:pt idx="5">
                  <c:v>7.4279832816120601</c:v>
                </c:pt>
                <c:pt idx="6">
                  <c:v>7.4988420192807901</c:v>
                </c:pt>
                <c:pt idx="7">
                  <c:v>7.5783539568434897</c:v>
                </c:pt>
                <c:pt idx="8">
                  <c:v>7.6501236307787002</c:v>
                </c:pt>
                <c:pt idx="9">
                  <c:v>7.7206047102823199</c:v>
                </c:pt>
                <c:pt idx="10">
                  <c:v>7.7906941731440398</c:v>
                </c:pt>
                <c:pt idx="11">
                  <c:v>7.8620043530212698</c:v>
                </c:pt>
                <c:pt idx="12">
                  <c:v>7.93611631268947</c:v>
                </c:pt>
                <c:pt idx="13">
                  <c:v>8.0021110967696796</c:v>
                </c:pt>
                <c:pt idx="14">
                  <c:v>8.0646123417709994</c:v>
                </c:pt>
                <c:pt idx="15">
                  <c:v>8.1221418430867001</c:v>
                </c:pt>
                <c:pt idx="16">
                  <c:v>8.1795390648554207</c:v>
                </c:pt>
                <c:pt idx="17">
                  <c:v>8.2360943287796893</c:v>
                </c:pt>
                <c:pt idx="18">
                  <c:v>8.2915562005538703</c:v>
                </c:pt>
                <c:pt idx="19">
                  <c:v>8.3570316199714707</c:v>
                </c:pt>
                <c:pt idx="20">
                  <c:v>8.4246062301182398</c:v>
                </c:pt>
                <c:pt idx="21">
                  <c:v>8.49228163324333</c:v>
                </c:pt>
                <c:pt idx="22">
                  <c:v>8.5639311164301404</c:v>
                </c:pt>
                <c:pt idx="23">
                  <c:v>8.6390188983243199</c:v>
                </c:pt>
                <c:pt idx="24">
                  <c:v>8.7162744861000601</c:v>
                </c:pt>
                <c:pt idx="25">
                  <c:v>8.7953501554443392</c:v>
                </c:pt>
                <c:pt idx="26">
                  <c:v>8.8782107095091796</c:v>
                </c:pt>
                <c:pt idx="27">
                  <c:v>8.9667206286036407</c:v>
                </c:pt>
                <c:pt idx="28">
                  <c:v>9.0605075838100007</c:v>
                </c:pt>
                <c:pt idx="29">
                  <c:v>9.1573386659320501</c:v>
                </c:pt>
                <c:pt idx="30">
                  <c:v>9.2601855234055304</c:v>
                </c:pt>
                <c:pt idx="31">
                  <c:v>9.3674233971358891</c:v>
                </c:pt>
                <c:pt idx="32">
                  <c:v>9.4755314616543505</c:v>
                </c:pt>
                <c:pt idx="33">
                  <c:v>9.5821108444676195</c:v>
                </c:pt>
                <c:pt idx="34">
                  <c:v>9.6853283287634699</c:v>
                </c:pt>
                <c:pt idx="35">
                  <c:v>9.7886689402391394</c:v>
                </c:pt>
                <c:pt idx="36">
                  <c:v>9.8885924820265902</c:v>
                </c:pt>
                <c:pt idx="37">
                  <c:v>9.9881902165674497</c:v>
                </c:pt>
                <c:pt idx="38">
                  <c:v>10.0892422904203</c:v>
                </c:pt>
                <c:pt idx="39">
                  <c:v>10.1894355453245</c:v>
                </c:pt>
                <c:pt idx="40">
                  <c:v>10.297872175447401</c:v>
                </c:pt>
              </c:numCache>
            </c:numRef>
          </c:val>
          <c:smooth val="0"/>
          <c:extLst>
            <c:ext xmlns:c16="http://schemas.microsoft.com/office/drawing/2014/chart" uri="{C3380CC4-5D6E-409C-BE32-E72D297353CC}">
              <c16:uniqueId val="{00000003-46A6-4615-AAE3-6CFD792E3883}"/>
            </c:ext>
          </c:extLst>
        </c:ser>
        <c:dLbls>
          <c:showLegendKey val="0"/>
          <c:showVal val="0"/>
          <c:showCatName val="0"/>
          <c:showSerName val="0"/>
          <c:showPercent val="0"/>
          <c:showBubbleSize val="0"/>
        </c:dLbls>
        <c:smooth val="0"/>
        <c:axId val="1634770896"/>
        <c:axId val="1634762736"/>
      </c:lineChart>
      <c:catAx>
        <c:axId val="1634770896"/>
        <c:scaling>
          <c:orientation val="minMax"/>
        </c:scaling>
        <c:delete val="0"/>
        <c:axPos val="b"/>
        <c:title>
          <c:tx>
            <c:rich>
              <a:bodyPr/>
              <a:lstStyle/>
              <a:p>
                <a:pPr algn="ctr">
                  <a:defRPr sz="1800" b="1">
                    <a:solidFill>
                      <a:srgbClr val="000000"/>
                    </a:solidFill>
                    <a:latin typeface="Arial"/>
                    <a:ea typeface="Arial"/>
                    <a:cs typeface="Arial"/>
                  </a:defRPr>
                </a:pPr>
                <a:r>
                  <a:rPr lang="en-NZ"/>
                  <a:t>Year ending</a:t>
                </a:r>
                <a:r>
                  <a:rPr lang="en-NZ" baseline="0"/>
                  <a:t> 30 June</a:t>
                </a:r>
                <a:endParaRPr lang="en-NZ"/>
              </a:p>
            </c:rich>
          </c:tx>
          <c:layout>
            <c:manualLayout>
              <c:xMode val="edge"/>
              <c:yMode val="edge"/>
              <c:x val="0.38358493709492864"/>
              <c:y val="0.88360789099717507"/>
            </c:manualLayout>
          </c:layout>
          <c:overlay val="0"/>
        </c:title>
        <c:numFmt formatCode="0"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634762736"/>
        <c:crosses val="autoZero"/>
        <c:auto val="1"/>
        <c:lblAlgn val="ctr"/>
        <c:lblOffset val="100"/>
        <c:tickLblSkip val="5"/>
        <c:tickMarkSkip val="5"/>
        <c:noMultiLvlLbl val="0"/>
      </c:catAx>
      <c:valAx>
        <c:axId val="1634762736"/>
        <c:scaling>
          <c:orientation val="minMax"/>
          <c:min val="6"/>
        </c:scaling>
        <c:delete val="0"/>
        <c:axPos val="l"/>
        <c:majorGridlines>
          <c:spPr>
            <a:ln w="9525">
              <a:solidFill>
                <a:schemeClr val="bg1">
                  <a:lumMod val="50000"/>
                </a:schemeClr>
              </a:solidFill>
            </a:ln>
          </c:spPr>
        </c:majorGridlines>
        <c:title>
          <c:tx>
            <c:rich>
              <a:bodyPr rot="0" vert="horz"/>
              <a:lstStyle/>
              <a:p>
                <a:pPr>
                  <a:defRPr sz="1800">
                    <a:solidFill>
                      <a:sysClr val="windowText" lastClr="000000"/>
                    </a:solidFill>
                    <a:latin typeface="Arial" panose="020B0604020202020204" pitchFamily="34" charset="0"/>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a:t>
                </a:r>
                <a:r>
                  <a:rPr lang="en-NZ" sz="1800" baseline="0">
                    <a:solidFill>
                      <a:sysClr val="windowText" lastClr="000000"/>
                    </a:solidFill>
                    <a:latin typeface="Arial" panose="020B0604020202020204" pitchFamily="34" charset="0"/>
                    <a:cs typeface="Arial" panose="020B0604020202020204" pitchFamily="34" charset="0"/>
                  </a:rPr>
                  <a:t> of GDP</a:t>
                </a:r>
                <a:endParaRPr lang="en-NZ" sz="1800">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5.0122254913924401E-3"/>
              <c:y val="1.5373044842853689E-2"/>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rgbClr val="000000"/>
                </a:solidFill>
                <a:latin typeface="Arial"/>
                <a:ea typeface="Arial"/>
                <a:cs typeface="Arial"/>
              </a:defRPr>
            </a:pPr>
            <a:endParaRPr lang="en-US"/>
          </a:p>
        </c:txPr>
        <c:crossAx val="1634770896"/>
        <c:crosses val="autoZero"/>
        <c:crossBetween val="midCat"/>
      </c:valAx>
    </c:plotArea>
    <c:legend>
      <c:legendPos val="b"/>
      <c:layout>
        <c:manualLayout>
          <c:xMode val="edge"/>
          <c:yMode val="edge"/>
          <c:x val="0.16456799896718999"/>
          <c:y val="0.92855761704652462"/>
          <c:w val="0.66809543750992773"/>
          <c:h val="7.1442382953475395E-2"/>
        </c:manualLayout>
      </c:layout>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36364966805768E-2"/>
          <c:y val="0.10276795783166776"/>
          <c:w val="0.90018216100544957"/>
          <c:h val="0.70322082848028222"/>
        </c:manualLayout>
      </c:layout>
      <c:lineChart>
        <c:grouping val="standard"/>
        <c:varyColors val="0"/>
        <c:ser>
          <c:idx val="0"/>
          <c:order val="0"/>
          <c:tx>
            <c:strRef>
              <c:f>'Fig 28 data'!$C$5</c:f>
              <c:strCache>
                <c:ptCount val="1"/>
                <c:pt idx="0">
                  <c:v>Baseline</c:v>
                </c:pt>
              </c:strCache>
            </c:strRef>
          </c:tx>
          <c:spPr>
            <a:ln w="38100" cap="rnd">
              <a:solidFill>
                <a:srgbClr val="0083AC"/>
              </a:solidFill>
              <a:round/>
            </a:ln>
            <a:effectLst/>
          </c:spPr>
          <c:marker>
            <c:symbol val="none"/>
          </c:marker>
          <c:cat>
            <c:numRef>
              <c:f>'Fig 28 data'!$B$7:$B$67</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28 data'!$C$7:$C$67</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45.994639863852179</c:v>
                </c:pt>
                <c:pt idx="26">
                  <c:v>46.745755798944231</c:v>
                </c:pt>
                <c:pt idx="27">
                  <c:v>47.902018331619956</c:v>
                </c:pt>
                <c:pt idx="28">
                  <c:v>49.474451588221683</c:v>
                </c:pt>
                <c:pt idx="29">
                  <c:v>51.410059238652636</c:v>
                </c:pt>
                <c:pt idx="30">
                  <c:v>53.639633556887688</c:v>
                </c:pt>
                <c:pt idx="31">
                  <c:v>55.792886503026232</c:v>
                </c:pt>
                <c:pt idx="32">
                  <c:v>58.042324639763123</c:v>
                </c:pt>
                <c:pt idx="33">
                  <c:v>60.498660534783376</c:v>
                </c:pt>
                <c:pt idx="34">
                  <c:v>63.174159719252209</c:v>
                </c:pt>
                <c:pt idx="35">
                  <c:v>66.002794014467909</c:v>
                </c:pt>
                <c:pt idx="36">
                  <c:v>68.992727316958778</c:v>
                </c:pt>
                <c:pt idx="37">
                  <c:v>72.143805681006384</c:v>
                </c:pt>
                <c:pt idx="38">
                  <c:v>75.45883598356383</c:v>
                </c:pt>
                <c:pt idx="39">
                  <c:v>78.940304126756189</c:v>
                </c:pt>
                <c:pt idx="40">
                  <c:v>82.592221057046871</c:v>
                </c:pt>
                <c:pt idx="41">
                  <c:v>86.419370432243412</c:v>
                </c:pt>
                <c:pt idx="42">
                  <c:v>90.426369443103468</c:v>
                </c:pt>
                <c:pt idx="43">
                  <c:v>94.620476617891711</c:v>
                </c:pt>
                <c:pt idx="44">
                  <c:v>99.00777145746747</c:v>
                </c:pt>
                <c:pt idx="45">
                  <c:v>103.59208253345477</c:v>
                </c:pt>
                <c:pt idx="46">
                  <c:v>108.37763071072106</c:v>
                </c:pt>
                <c:pt idx="47">
                  <c:v>113.37678136034725</c:v>
                </c:pt>
                <c:pt idx="48">
                  <c:v>118.595341758323</c:v>
                </c:pt>
                <c:pt idx="49">
                  <c:v>124.03839608169436</c:v>
                </c:pt>
                <c:pt idx="50">
                  <c:v>129.71358707590875</c:v>
                </c:pt>
                <c:pt idx="51">
                  <c:v>135.63550650685855</c:v>
                </c:pt>
                <c:pt idx="52">
                  <c:v>141.80317962623471</c:v>
                </c:pt>
                <c:pt idx="53">
                  <c:v>148.21684127458337</c:v>
                </c:pt>
                <c:pt idx="54">
                  <c:v>154.87340162203637</c:v>
                </c:pt>
                <c:pt idx="55">
                  <c:v>161.77874586949704</c:v>
                </c:pt>
                <c:pt idx="56">
                  <c:v>168.92589308825092</c:v>
                </c:pt>
                <c:pt idx="57">
                  <c:v>176.32532755945135</c:v>
                </c:pt>
                <c:pt idx="58">
                  <c:v>183.97419005984332</c:v>
                </c:pt>
                <c:pt idx="59">
                  <c:v>191.87530189258945</c:v>
                </c:pt>
                <c:pt idx="60">
                  <c:v>200.04067114934801</c:v>
                </c:pt>
              </c:numCache>
            </c:numRef>
          </c:val>
          <c:smooth val="0"/>
          <c:extLst>
            <c:ext xmlns:c16="http://schemas.microsoft.com/office/drawing/2014/chart" uri="{C3380CC4-5D6E-409C-BE32-E72D297353CC}">
              <c16:uniqueId val="{00000000-5254-4EFD-8DAD-A0B98BC8DC8F}"/>
            </c:ext>
          </c:extLst>
        </c:ser>
        <c:ser>
          <c:idx val="1"/>
          <c:order val="1"/>
          <c:tx>
            <c:strRef>
              <c:f>'Fig 28 data'!$D$5</c:f>
              <c:strCache>
                <c:ptCount val="1"/>
                <c:pt idx="0">
                  <c:v>Unfavourable</c:v>
                </c:pt>
              </c:strCache>
            </c:strRef>
          </c:tx>
          <c:spPr>
            <a:ln w="38100" cap="rnd">
              <a:solidFill>
                <a:srgbClr val="67A854"/>
              </a:solidFill>
              <a:round/>
            </a:ln>
            <a:effectLst/>
          </c:spPr>
          <c:marker>
            <c:symbol val="none"/>
          </c:marker>
          <c:cat>
            <c:numRef>
              <c:f>'Fig 28 data'!$B$7:$B$67</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28 data'!$D$7:$D$67</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44.90808167025704</c:v>
                </c:pt>
                <c:pt idx="26">
                  <c:v>44.635672348519712</c:v>
                </c:pt>
                <c:pt idx="27">
                  <c:v>44.849861542154265</c:v>
                </c:pt>
                <c:pt idx="28">
                  <c:v>45.634400460940249</c:v>
                </c:pt>
                <c:pt idx="29">
                  <c:v>46.911181894064633</c:v>
                </c:pt>
                <c:pt idx="30">
                  <c:v>48.496892830365226</c:v>
                </c:pt>
                <c:pt idx="31">
                  <c:v>50.405531123640877</c:v>
                </c:pt>
                <c:pt idx="32">
                  <c:v>52.653303264770749</c:v>
                </c:pt>
                <c:pt idx="33">
                  <c:v>55.272436147338475</c:v>
                </c:pt>
                <c:pt idx="34">
                  <c:v>58.289226467936381</c:v>
                </c:pt>
                <c:pt idx="35">
                  <c:v>61.737888627809426</c:v>
                </c:pt>
                <c:pt idx="36">
                  <c:v>65.64272445926305</c:v>
                </c:pt>
                <c:pt idx="37">
                  <c:v>70.019339069046055</c:v>
                </c:pt>
                <c:pt idx="38">
                  <c:v>74.900533259889528</c:v>
                </c:pt>
                <c:pt idx="39">
                  <c:v>80.321668312816584</c:v>
                </c:pt>
                <c:pt idx="40">
                  <c:v>86.312723460823847</c:v>
                </c:pt>
                <c:pt idx="41">
                  <c:v>92.916656615436267</c:v>
                </c:pt>
                <c:pt idx="42">
                  <c:v>100.16915441025134</c:v>
                </c:pt>
                <c:pt idx="43">
                  <c:v>108.11070198771139</c:v>
                </c:pt>
                <c:pt idx="44">
                  <c:v>116.78553892304055</c:v>
                </c:pt>
                <c:pt idx="45">
                  <c:v>126.24324933163753</c:v>
                </c:pt>
                <c:pt idx="46">
                  <c:v>136.52023743810349</c:v>
                </c:pt>
                <c:pt idx="47">
                  <c:v>147.67989272031636</c:v>
                </c:pt>
                <c:pt idx="48">
                  <c:v>159.77036880591805</c:v>
                </c:pt>
                <c:pt idx="49">
                  <c:v>172.83375802016724</c:v>
                </c:pt>
                <c:pt idx="50">
                  <c:v>186.9233793170923</c:v>
                </c:pt>
                <c:pt idx="51">
                  <c:v>202.10369274369336</c:v>
                </c:pt>
                <c:pt idx="52">
                  <c:v>218.40457689076084</c:v>
                </c:pt>
                <c:pt idx="53">
                  <c:v>235.87345346168789</c:v>
                </c:pt>
                <c:pt idx="54">
                  <c:v>254.54035058201808</c:v>
                </c:pt>
                <c:pt idx="55">
                  <c:v>274.44933369501928</c:v>
                </c:pt>
                <c:pt idx="56">
                  <c:v>295.62574942822067</c:v>
                </c:pt>
                <c:pt idx="57">
                  <c:v>318.15081401416052</c:v>
                </c:pt>
                <c:pt idx="58">
                  <c:v>342.02599934132593</c:v>
                </c:pt>
                <c:pt idx="59">
                  <c:v>367.3363682629801</c:v>
                </c:pt>
                <c:pt idx="60">
                  <c:v>394.14396695767789</c:v>
                </c:pt>
              </c:numCache>
            </c:numRef>
          </c:val>
          <c:smooth val="0"/>
          <c:extLst>
            <c:ext xmlns:c16="http://schemas.microsoft.com/office/drawing/2014/chart" uri="{C3380CC4-5D6E-409C-BE32-E72D297353CC}">
              <c16:uniqueId val="{00000001-5254-4EFD-8DAD-A0B98BC8DC8F}"/>
            </c:ext>
          </c:extLst>
        </c:ser>
        <c:ser>
          <c:idx val="2"/>
          <c:order val="2"/>
          <c:tx>
            <c:strRef>
              <c:f>'Fig 28 data'!$E$5</c:f>
              <c:strCache>
                <c:ptCount val="1"/>
                <c:pt idx="0">
                  <c:v>Favourable</c:v>
                </c:pt>
              </c:strCache>
            </c:strRef>
          </c:tx>
          <c:spPr>
            <a:ln w="38100" cap="rnd">
              <a:solidFill>
                <a:srgbClr val="3F403A"/>
              </a:solidFill>
              <a:round/>
            </a:ln>
            <a:effectLst/>
          </c:spPr>
          <c:marker>
            <c:symbol val="none"/>
          </c:marker>
          <c:cat>
            <c:numRef>
              <c:f>'Fig 28 data'!$B$7:$B$67</c:f>
              <c:numCache>
                <c:formatCode>General</c:formatCode>
                <c:ptCount val="61"/>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numCache>
            </c:numRef>
          </c:cat>
          <c:val>
            <c:numRef>
              <c:f>'Fig 28 data'!$E$7:$E$67</c:f>
              <c:numCache>
                <c:formatCode>0.0</c:formatCode>
                <c:ptCount val="61"/>
                <c:pt idx="0">
                  <c:v>12.6771251833429</c:v>
                </c:pt>
                <c:pt idx="1">
                  <c:v>9.8280412020090235</c:v>
                </c:pt>
                <c:pt idx="2">
                  <c:v>7.5249625063439831</c:v>
                </c:pt>
                <c:pt idx="3">
                  <c:v>5.4305301887291879</c:v>
                </c:pt>
                <c:pt idx="4">
                  <c:v>9.0178787783010428</c:v>
                </c:pt>
                <c:pt idx="5">
                  <c:v>13.54831190810375</c:v>
                </c:pt>
                <c:pt idx="6">
                  <c:v>19.470349057244611</c:v>
                </c:pt>
                <c:pt idx="7">
                  <c:v>23.546331965594316</c:v>
                </c:pt>
                <c:pt idx="8">
                  <c:v>25.474147173822789</c:v>
                </c:pt>
                <c:pt idx="9">
                  <c:v>25.281901362997836</c:v>
                </c:pt>
                <c:pt idx="10">
                  <c:v>24.659578967918268</c:v>
                </c:pt>
                <c:pt idx="11">
                  <c:v>23.898443202576772</c:v>
                </c:pt>
                <c:pt idx="12">
                  <c:v>21.560411199234441</c:v>
                </c:pt>
                <c:pt idx="13">
                  <c:v>19.436002663809045</c:v>
                </c:pt>
                <c:pt idx="14">
                  <c:v>18.593806358530429</c:v>
                </c:pt>
                <c:pt idx="15">
                  <c:v>26.249012218580681</c:v>
                </c:pt>
                <c:pt idx="16">
                  <c:v>29.726872708529303</c:v>
                </c:pt>
                <c:pt idx="17">
                  <c:v>35.238545756816755</c:v>
                </c:pt>
                <c:pt idx="18">
                  <c:v>38.668698807362532</c:v>
                </c:pt>
                <c:pt idx="19">
                  <c:v>41.715364388928769</c:v>
                </c:pt>
                <c:pt idx="20">
                  <c:v>42.662266631123217</c:v>
                </c:pt>
                <c:pt idx="21">
                  <c:v>43.856251533527278</c:v>
                </c:pt>
                <c:pt idx="22">
                  <c:v>45.720325679720375</c:v>
                </c:pt>
                <c:pt idx="23">
                  <c:v>45.96997999464925</c:v>
                </c:pt>
                <c:pt idx="24">
                  <c:v>45.507534505325083</c:v>
                </c:pt>
                <c:pt idx="25">
                  <c:v>45.804992337329885</c:v>
                </c:pt>
                <c:pt idx="26">
                  <c:v>46.173425979863666</c:v>
                </c:pt>
                <c:pt idx="27">
                  <c:v>46.735648551535817</c:v>
                </c:pt>
                <c:pt idx="28">
                  <c:v>47.465286934836016</c:v>
                </c:pt>
                <c:pt idx="29">
                  <c:v>48.261682150316652</c:v>
                </c:pt>
                <c:pt idx="30">
                  <c:v>49.271835750037766</c:v>
                </c:pt>
                <c:pt idx="31">
                  <c:v>50.120245520384479</c:v>
                </c:pt>
                <c:pt idx="32">
                  <c:v>50.988546469272933</c:v>
                </c:pt>
                <c:pt idx="33">
                  <c:v>52.015836558980922</c:v>
                </c:pt>
                <c:pt idx="34">
                  <c:v>53.188080234909052</c:v>
                </c:pt>
                <c:pt idx="35">
                  <c:v>54.434602875636585</c:v>
                </c:pt>
                <c:pt idx="36">
                  <c:v>55.763944333898344</c:v>
                </c:pt>
                <c:pt idx="37">
                  <c:v>57.17820966335475</c:v>
                </c:pt>
                <c:pt idx="38">
                  <c:v>58.671600949151646</c:v>
                </c:pt>
                <c:pt idx="39">
                  <c:v>60.241199611115704</c:v>
                </c:pt>
                <c:pt idx="40">
                  <c:v>61.882808720225214</c:v>
                </c:pt>
                <c:pt idx="41">
                  <c:v>63.593344711032351</c:v>
                </c:pt>
                <c:pt idx="42">
                  <c:v>65.366023360538378</c:v>
                </c:pt>
                <c:pt idx="43">
                  <c:v>67.197541102368888</c:v>
                </c:pt>
                <c:pt idx="44">
                  <c:v>69.079816867146675</c:v>
                </c:pt>
                <c:pt idx="45">
                  <c:v>71.001969015024216</c:v>
                </c:pt>
                <c:pt idx="46">
                  <c:v>72.964656165258234</c:v>
                </c:pt>
                <c:pt idx="47">
                  <c:v>74.956326931226812</c:v>
                </c:pt>
                <c:pt idx="48">
                  <c:v>76.97083104202008</c:v>
                </c:pt>
                <c:pt idx="49">
                  <c:v>79.006405634461558</c:v>
                </c:pt>
                <c:pt idx="50">
                  <c:v>81.061969036025729</c:v>
                </c:pt>
                <c:pt idx="51">
                  <c:v>83.13569627673597</c:v>
                </c:pt>
                <c:pt idx="52">
                  <c:v>85.22921794522172</c:v>
                </c:pt>
                <c:pt idx="53">
                  <c:v>87.337059880894799</c:v>
                </c:pt>
                <c:pt idx="54">
                  <c:v>89.456073977046287</c:v>
                </c:pt>
                <c:pt idx="55">
                  <c:v>91.596247967881339</c:v>
                </c:pt>
                <c:pt idx="56">
                  <c:v>93.754608152690011</c:v>
                </c:pt>
                <c:pt idx="57">
                  <c:v>95.934229895541961</c:v>
                </c:pt>
                <c:pt idx="58">
                  <c:v>98.1396180361902</c:v>
                </c:pt>
                <c:pt idx="59">
                  <c:v>100.37542719521493</c:v>
                </c:pt>
                <c:pt idx="60">
                  <c:v>102.64643119027485</c:v>
                </c:pt>
              </c:numCache>
            </c:numRef>
          </c:val>
          <c:smooth val="0"/>
          <c:extLst>
            <c:ext xmlns:c16="http://schemas.microsoft.com/office/drawing/2014/chart" uri="{C3380CC4-5D6E-409C-BE32-E72D297353CC}">
              <c16:uniqueId val="{00000002-5254-4EFD-8DAD-A0B98BC8DC8F}"/>
            </c:ext>
          </c:extLst>
        </c:ser>
        <c:dLbls>
          <c:showLegendKey val="0"/>
          <c:showVal val="0"/>
          <c:showCatName val="0"/>
          <c:showSerName val="0"/>
          <c:showPercent val="0"/>
          <c:showBubbleSize val="0"/>
        </c:dLbls>
        <c:marker val="1"/>
        <c:smooth val="0"/>
        <c:axId val="949416064"/>
        <c:axId val="949432864"/>
      </c:lineChart>
      <c:scatterChart>
        <c:scatterStyle val="lineMarker"/>
        <c:varyColors val="0"/>
        <c:ser>
          <c:idx val="3"/>
          <c:order val="3"/>
          <c:tx>
            <c:strRef>
              <c:f>'Fig 28 data'!$F$5</c:f>
              <c:strCache>
                <c:ptCount val="1"/>
                <c:pt idx="0">
                  <c:v>Line</c:v>
                </c:pt>
              </c:strCache>
            </c:strRef>
          </c:tx>
          <c:spPr>
            <a:ln w="25400" cap="rnd">
              <a:noFill/>
              <a:round/>
            </a:ln>
            <a:effectLst/>
          </c:spPr>
          <c:marker>
            <c:symbol val="circle"/>
            <c:size val="5"/>
            <c:spPr>
              <a:solidFill>
                <a:schemeClr val="accent4"/>
              </a:solidFill>
              <a:ln w="9525">
                <a:solidFill>
                  <a:schemeClr val="accent4"/>
                </a:solidFill>
              </a:ln>
              <a:effectLst/>
            </c:spPr>
          </c:marker>
          <c:dPt>
            <c:idx val="24"/>
            <c:marker>
              <c:symbol val="circle"/>
              <c:size val="5"/>
              <c:spPr>
                <a:noFill/>
                <a:ln w="9525">
                  <a:noFill/>
                </a:ln>
                <a:effectLst/>
              </c:spPr>
            </c:marker>
            <c:bubble3D val="0"/>
            <c:extLst>
              <c:ext xmlns:c16="http://schemas.microsoft.com/office/drawing/2014/chart" uri="{C3380CC4-5D6E-409C-BE32-E72D297353CC}">
                <c16:uniqueId val="{00000003-5254-4EFD-8DAD-A0B98BC8DC8F}"/>
              </c:ext>
            </c:extLst>
          </c:dPt>
          <c:errBars>
            <c:errDir val="y"/>
            <c:errBarType val="both"/>
            <c:errValType val="fixedVal"/>
            <c:noEndCap val="1"/>
            <c:val val="1"/>
            <c:spPr>
              <a:noFill/>
              <a:ln w="9525" cap="flat" cmpd="sng" algn="ctr">
                <a:solidFill>
                  <a:schemeClr val="tx1">
                    <a:lumMod val="65000"/>
                    <a:lumOff val="35000"/>
                  </a:schemeClr>
                </a:solidFill>
                <a:round/>
              </a:ln>
              <a:effectLst/>
            </c:spPr>
          </c:errBars>
          <c:yVal>
            <c:numRef>
              <c:f>'Fig 28 data'!$F$7:$F$67</c:f>
              <c:numCache>
                <c:formatCode>General</c:formatCode>
                <c:ptCount val="61"/>
                <c:pt idx="24">
                  <c:v>1</c:v>
                </c:pt>
              </c:numCache>
            </c:numRef>
          </c:yVal>
          <c:smooth val="0"/>
          <c:extLst>
            <c:ext xmlns:c16="http://schemas.microsoft.com/office/drawing/2014/chart" uri="{C3380CC4-5D6E-409C-BE32-E72D297353CC}">
              <c16:uniqueId val="{00000004-5254-4EFD-8DAD-A0B98BC8DC8F}"/>
            </c:ext>
          </c:extLst>
        </c:ser>
        <c:dLbls>
          <c:showLegendKey val="0"/>
          <c:showVal val="0"/>
          <c:showCatName val="0"/>
          <c:showSerName val="0"/>
          <c:showPercent val="0"/>
          <c:showBubbleSize val="0"/>
        </c:dLbls>
        <c:axId val="949462624"/>
        <c:axId val="949468384"/>
      </c:scatterChart>
      <c:catAx>
        <c:axId val="949416064"/>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685201721146022"/>
              <c:y val="0.87929437187085613"/>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432864"/>
        <c:crosses val="autoZero"/>
        <c:auto val="1"/>
        <c:lblAlgn val="ctr"/>
        <c:lblOffset val="100"/>
        <c:tickLblSkip val="5"/>
        <c:tickMarkSkip val="5"/>
        <c:noMultiLvlLbl val="0"/>
      </c:catAx>
      <c:valAx>
        <c:axId val="949432864"/>
        <c:scaling>
          <c:orientation val="minMax"/>
          <c:max val="450"/>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9.118279594596981E-3"/>
              <c:y val="2.1305018573890722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949416064"/>
        <c:crosses val="autoZero"/>
        <c:crossBetween val="between"/>
      </c:valAx>
      <c:valAx>
        <c:axId val="949468384"/>
        <c:scaling>
          <c:orientation val="minMax"/>
          <c:max val="1"/>
        </c:scaling>
        <c:delete val="0"/>
        <c:axPos val="r"/>
        <c:title>
          <c:tx>
            <c:rich>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Projection</a:t>
                </a:r>
              </a:p>
            </c:rich>
          </c:tx>
          <c:layout>
            <c:manualLayout>
              <c:xMode val="edge"/>
              <c:yMode val="edge"/>
              <c:x val="0.65065860113519192"/>
              <c:y val="0.12614721502068357"/>
            </c:manualLayout>
          </c:layout>
          <c:overlay val="0"/>
          <c:spPr>
            <a:noFill/>
            <a:ln>
              <a:noFill/>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62624"/>
        <c:crosses val="max"/>
        <c:crossBetween val="midCat"/>
      </c:valAx>
      <c:valAx>
        <c:axId val="949462624"/>
        <c:scaling>
          <c:orientation val="minMax"/>
        </c:scaling>
        <c:delete val="1"/>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Outturn and forecast</a:t>
                </a:r>
              </a:p>
            </c:rich>
          </c:tx>
          <c:layout>
            <c:manualLayout>
              <c:xMode val="edge"/>
              <c:yMode val="edge"/>
              <c:x val="0.13989907109509025"/>
              <c:y val="0.12698225931620563"/>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majorTickMark val="out"/>
        <c:minorTickMark val="none"/>
        <c:tickLblPos val="nextTo"/>
        <c:crossAx val="949468384"/>
        <c:crosses val="autoZero"/>
        <c:crossBetween val="midCat"/>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8774579844909185E-2"/>
          <c:y val="8.6412128815952463E-2"/>
          <c:w val="0.90566549996674872"/>
          <c:h val="0.68016861515844196"/>
        </c:manualLayout>
      </c:layout>
      <c:lineChart>
        <c:grouping val="standard"/>
        <c:varyColors val="0"/>
        <c:ser>
          <c:idx val="0"/>
          <c:order val="0"/>
          <c:tx>
            <c:strRef>
              <c:f>'Fig 29 data'!$C$5</c:f>
              <c:strCache>
                <c:ptCount val="1"/>
                <c:pt idx="0">
                  <c:v>Baseline OLG scenario (Income taxes increase to keep net debt constant)</c:v>
                </c:pt>
              </c:strCache>
            </c:strRef>
          </c:tx>
          <c:spPr>
            <a:ln w="38100">
              <a:solidFill>
                <a:srgbClr val="0083AC"/>
              </a:solidFill>
            </a:ln>
          </c:spPr>
          <c:marker>
            <c:symbol val="none"/>
          </c:marker>
          <c:cat>
            <c:numRef>
              <c:f>'Fig 29 data'!$B$7:$B$82</c:f>
              <c:numCache>
                <c:formatCode>General</c:formatCode>
                <c:ptCount val="7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pt idx="50">
                  <c:v>2075</c:v>
                </c:pt>
                <c:pt idx="51">
                  <c:v>2076</c:v>
                </c:pt>
                <c:pt idx="52">
                  <c:v>2077</c:v>
                </c:pt>
                <c:pt idx="53">
                  <c:v>2078</c:v>
                </c:pt>
                <c:pt idx="54">
                  <c:v>2079</c:v>
                </c:pt>
                <c:pt idx="55">
                  <c:v>2080</c:v>
                </c:pt>
                <c:pt idx="56">
                  <c:v>2081</c:v>
                </c:pt>
                <c:pt idx="57">
                  <c:v>2082</c:v>
                </c:pt>
                <c:pt idx="58">
                  <c:v>2083</c:v>
                </c:pt>
                <c:pt idx="59">
                  <c:v>2084</c:v>
                </c:pt>
                <c:pt idx="60">
                  <c:v>2085</c:v>
                </c:pt>
                <c:pt idx="61">
                  <c:v>2086</c:v>
                </c:pt>
                <c:pt idx="62">
                  <c:v>2087</c:v>
                </c:pt>
                <c:pt idx="63">
                  <c:v>2088</c:v>
                </c:pt>
                <c:pt idx="64">
                  <c:v>2089</c:v>
                </c:pt>
                <c:pt idx="65">
                  <c:v>2090</c:v>
                </c:pt>
                <c:pt idx="66">
                  <c:v>2091</c:v>
                </c:pt>
                <c:pt idx="67">
                  <c:v>2092</c:v>
                </c:pt>
                <c:pt idx="68">
                  <c:v>2093</c:v>
                </c:pt>
                <c:pt idx="69">
                  <c:v>2094</c:v>
                </c:pt>
                <c:pt idx="70">
                  <c:v>2095</c:v>
                </c:pt>
                <c:pt idx="71">
                  <c:v>2096</c:v>
                </c:pt>
                <c:pt idx="72">
                  <c:v>2097</c:v>
                </c:pt>
                <c:pt idx="73">
                  <c:v>2098</c:v>
                </c:pt>
                <c:pt idx="74">
                  <c:v>2099</c:v>
                </c:pt>
                <c:pt idx="75">
                  <c:v>2100</c:v>
                </c:pt>
              </c:numCache>
            </c:numRef>
          </c:cat>
          <c:val>
            <c:numRef>
              <c:f>'Fig 29 data'!$C$7:$C$82</c:f>
              <c:numCache>
                <c:formatCode>0.0</c:formatCode>
                <c:ptCount val="76"/>
                <c:pt idx="0">
                  <c:v>20.974358039955199</c:v>
                </c:pt>
                <c:pt idx="1">
                  <c:v>21.646005440082099</c:v>
                </c:pt>
                <c:pt idx="2">
                  <c:v>22.083559230898999</c:v>
                </c:pt>
                <c:pt idx="3">
                  <c:v>22.4142812385249</c:v>
                </c:pt>
                <c:pt idx="4">
                  <c:v>22.705514311807999</c:v>
                </c:pt>
                <c:pt idx="5">
                  <c:v>22.985075972732002</c:v>
                </c:pt>
                <c:pt idx="6">
                  <c:v>23.238539827820201</c:v>
                </c:pt>
                <c:pt idx="7">
                  <c:v>23.515455981901201</c:v>
                </c:pt>
                <c:pt idx="8">
                  <c:v>23.786903308227799</c:v>
                </c:pt>
                <c:pt idx="9">
                  <c:v>24.060368745632601</c:v>
                </c:pt>
                <c:pt idx="10">
                  <c:v>24.327461418000599</c:v>
                </c:pt>
                <c:pt idx="11">
                  <c:v>24.60747005156</c:v>
                </c:pt>
                <c:pt idx="12">
                  <c:v>24.873262628022001</c:v>
                </c:pt>
                <c:pt idx="13">
                  <c:v>25.098733796099999</c:v>
                </c:pt>
                <c:pt idx="14">
                  <c:v>25.309309013617501</c:v>
                </c:pt>
                <c:pt idx="15">
                  <c:v>25.484254475383501</c:v>
                </c:pt>
                <c:pt idx="16">
                  <c:v>25.655762539786299</c:v>
                </c:pt>
                <c:pt idx="17">
                  <c:v>25.8243005839965</c:v>
                </c:pt>
                <c:pt idx="18">
                  <c:v>25.9842948833268</c:v>
                </c:pt>
                <c:pt idx="19">
                  <c:v>26.206841653870999</c:v>
                </c:pt>
                <c:pt idx="20">
                  <c:v>26.4313489580191</c:v>
                </c:pt>
                <c:pt idx="21">
                  <c:v>26.645093570713499</c:v>
                </c:pt>
                <c:pt idx="22">
                  <c:v>26.8813977171449</c:v>
                </c:pt>
                <c:pt idx="23">
                  <c:v>27.137023960583399</c:v>
                </c:pt>
                <c:pt idx="24">
                  <c:v>27.400093196072699</c:v>
                </c:pt>
                <c:pt idx="25">
                  <c:v>27.673520363505801</c:v>
                </c:pt>
                <c:pt idx="26">
                  <c:v>27.9585908463526</c:v>
                </c:pt>
                <c:pt idx="27">
                  <c:v>28.275721942155698</c:v>
                </c:pt>
                <c:pt idx="28">
                  <c:v>28.616447658561299</c:v>
                </c:pt>
                <c:pt idx="29">
                  <c:v>28.960246641836999</c:v>
                </c:pt>
                <c:pt idx="30">
                  <c:v>29.327731034014199</c:v>
                </c:pt>
                <c:pt idx="31">
                  <c:v>29.698372303525499</c:v>
                </c:pt>
                <c:pt idx="32">
                  <c:v>30.0497628080557</c:v>
                </c:pt>
                <c:pt idx="33">
                  <c:v>30.378380586193099</c:v>
                </c:pt>
                <c:pt idx="34">
                  <c:v>30.676717274560001</c:v>
                </c:pt>
                <c:pt idx="35">
                  <c:v>30.968459169887499</c:v>
                </c:pt>
                <c:pt idx="36">
                  <c:v>31.237926977435698</c:v>
                </c:pt>
                <c:pt idx="37">
                  <c:v>31.488679898220699</c:v>
                </c:pt>
                <c:pt idx="38">
                  <c:v>31.732165414725898</c:v>
                </c:pt>
                <c:pt idx="39">
                  <c:v>31.953087858867299</c:v>
                </c:pt>
                <c:pt idx="40">
                  <c:v>32.202437004526999</c:v>
                </c:pt>
                <c:pt idx="41">
                  <c:v>32.434892014949497</c:v>
                </c:pt>
                <c:pt idx="42">
                  <c:v>32.647976976412302</c:v>
                </c:pt>
                <c:pt idx="43">
                  <c:v>32.874196915528302</c:v>
                </c:pt>
                <c:pt idx="44">
                  <c:v>33.120463554957702</c:v>
                </c:pt>
                <c:pt idx="45">
                  <c:v>33.368214893474097</c:v>
                </c:pt>
                <c:pt idx="46">
                  <c:v>33.626776159917299</c:v>
                </c:pt>
                <c:pt idx="47">
                  <c:v>33.932583215786003</c:v>
                </c:pt>
                <c:pt idx="48">
                  <c:v>34.251060203056198</c:v>
                </c:pt>
                <c:pt idx="49">
                  <c:v>34.545281886456202</c:v>
                </c:pt>
                <c:pt idx="50">
                  <c:v>34.846944210425598</c:v>
                </c:pt>
                <c:pt idx="51">
                  <c:v>35.135879581651501</c:v>
                </c:pt>
                <c:pt idx="52">
                  <c:v>35.413098351629401</c:v>
                </c:pt>
                <c:pt idx="53">
                  <c:v>35.680282863787099</c:v>
                </c:pt>
                <c:pt idx="54">
                  <c:v>35.921090313377903</c:v>
                </c:pt>
                <c:pt idx="55">
                  <c:v>36.1591824937789</c:v>
                </c:pt>
                <c:pt idx="56">
                  <c:v>36.380816897538601</c:v>
                </c:pt>
                <c:pt idx="57">
                  <c:v>36.598749453551903</c:v>
                </c:pt>
                <c:pt idx="58">
                  <c:v>36.800537019634199</c:v>
                </c:pt>
                <c:pt idx="59">
                  <c:v>37.0004068269862</c:v>
                </c:pt>
                <c:pt idx="60">
                  <c:v>37.1854574209204</c:v>
                </c:pt>
                <c:pt idx="61">
                  <c:v>37.376167907854601</c:v>
                </c:pt>
                <c:pt idx="62">
                  <c:v>37.563152900400603</c:v>
                </c:pt>
                <c:pt idx="63">
                  <c:v>37.704777691932001</c:v>
                </c:pt>
                <c:pt idx="64">
                  <c:v>37.849313187326402</c:v>
                </c:pt>
                <c:pt idx="65">
                  <c:v>38.016742717091503</c:v>
                </c:pt>
                <c:pt idx="66">
                  <c:v>38.182426599087698</c:v>
                </c:pt>
                <c:pt idx="67">
                  <c:v>38.349975111909401</c:v>
                </c:pt>
                <c:pt idx="68">
                  <c:v>38.514967649304502</c:v>
                </c:pt>
                <c:pt idx="69">
                  <c:v>38.672616631945203</c:v>
                </c:pt>
                <c:pt idx="70">
                  <c:v>38.830215368732397</c:v>
                </c:pt>
                <c:pt idx="71">
                  <c:v>38.9796342695088</c:v>
                </c:pt>
                <c:pt idx="72">
                  <c:v>39.124629336728603</c:v>
                </c:pt>
                <c:pt idx="73">
                  <c:v>39.264836026515098</c:v>
                </c:pt>
                <c:pt idx="74">
                  <c:v>39.403288998437198</c:v>
                </c:pt>
                <c:pt idx="75">
                  <c:v>39.537985295241</c:v>
                </c:pt>
              </c:numCache>
            </c:numRef>
          </c:val>
          <c:smooth val="0"/>
          <c:extLst>
            <c:ext xmlns:c16="http://schemas.microsoft.com/office/drawing/2014/chart" uri="{C3380CC4-5D6E-409C-BE32-E72D297353CC}">
              <c16:uniqueId val="{00000000-B9AB-4170-822C-14B45751648A}"/>
            </c:ext>
          </c:extLst>
        </c:ser>
        <c:ser>
          <c:idx val="1"/>
          <c:order val="1"/>
          <c:tx>
            <c:strRef>
              <c:f>'Fig 29 data'!$D$5</c:f>
              <c:strCache>
                <c:ptCount val="1"/>
                <c:pt idx="0">
                  <c:v>Delay change scenario (Debt increase for 40 years before taxes are increased)</c:v>
                </c:pt>
              </c:strCache>
            </c:strRef>
          </c:tx>
          <c:spPr>
            <a:ln w="38100">
              <a:solidFill>
                <a:srgbClr val="3E403A"/>
              </a:solidFill>
            </a:ln>
          </c:spPr>
          <c:marker>
            <c:symbol val="none"/>
          </c:marker>
          <c:cat>
            <c:numRef>
              <c:f>'Fig 29 data'!$B$7:$B$82</c:f>
              <c:numCache>
                <c:formatCode>General</c:formatCode>
                <c:ptCount val="7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pt idx="46">
                  <c:v>2071</c:v>
                </c:pt>
                <c:pt idx="47">
                  <c:v>2072</c:v>
                </c:pt>
                <c:pt idx="48">
                  <c:v>2073</c:v>
                </c:pt>
                <c:pt idx="49">
                  <c:v>2074</c:v>
                </c:pt>
                <c:pt idx="50">
                  <c:v>2075</c:v>
                </c:pt>
                <c:pt idx="51">
                  <c:v>2076</c:v>
                </c:pt>
                <c:pt idx="52">
                  <c:v>2077</c:v>
                </c:pt>
                <c:pt idx="53">
                  <c:v>2078</c:v>
                </c:pt>
                <c:pt idx="54">
                  <c:v>2079</c:v>
                </c:pt>
                <c:pt idx="55">
                  <c:v>2080</c:v>
                </c:pt>
                <c:pt idx="56">
                  <c:v>2081</c:v>
                </c:pt>
                <c:pt idx="57">
                  <c:v>2082</c:v>
                </c:pt>
                <c:pt idx="58">
                  <c:v>2083</c:v>
                </c:pt>
                <c:pt idx="59">
                  <c:v>2084</c:v>
                </c:pt>
                <c:pt idx="60">
                  <c:v>2085</c:v>
                </c:pt>
                <c:pt idx="61">
                  <c:v>2086</c:v>
                </c:pt>
                <c:pt idx="62">
                  <c:v>2087</c:v>
                </c:pt>
                <c:pt idx="63">
                  <c:v>2088</c:v>
                </c:pt>
                <c:pt idx="64">
                  <c:v>2089</c:v>
                </c:pt>
                <c:pt idx="65">
                  <c:v>2090</c:v>
                </c:pt>
                <c:pt idx="66">
                  <c:v>2091</c:v>
                </c:pt>
                <c:pt idx="67">
                  <c:v>2092</c:v>
                </c:pt>
                <c:pt idx="68">
                  <c:v>2093</c:v>
                </c:pt>
                <c:pt idx="69">
                  <c:v>2094</c:v>
                </c:pt>
                <c:pt idx="70">
                  <c:v>2095</c:v>
                </c:pt>
                <c:pt idx="71">
                  <c:v>2096</c:v>
                </c:pt>
                <c:pt idx="72">
                  <c:v>2097</c:v>
                </c:pt>
                <c:pt idx="73">
                  <c:v>2098</c:v>
                </c:pt>
                <c:pt idx="74">
                  <c:v>2099</c:v>
                </c:pt>
                <c:pt idx="75">
                  <c:v>2100</c:v>
                </c:pt>
              </c:numCache>
            </c:numRef>
          </c:cat>
          <c:val>
            <c:numRef>
              <c:f>'Fig 29 data'!$D$7:$D$82</c:f>
              <c:numCache>
                <c:formatCode>0.0</c:formatCode>
                <c:ptCount val="76"/>
                <c:pt idx="0">
                  <c:v>21.039485816234802</c:v>
                </c:pt>
                <c:pt idx="1">
                  <c:v>21.091632888844298</c:v>
                </c:pt>
                <c:pt idx="2">
                  <c:v>21.139074375247102</c:v>
                </c:pt>
                <c:pt idx="3">
                  <c:v>21.174554507899199</c:v>
                </c:pt>
                <c:pt idx="4">
                  <c:v>21.200274588144001</c:v>
                </c:pt>
                <c:pt idx="5">
                  <c:v>21.221735030871798</c:v>
                </c:pt>
                <c:pt idx="6">
                  <c:v>21.236839002057899</c:v>
                </c:pt>
                <c:pt idx="7">
                  <c:v>21.250498474340102</c:v>
                </c:pt>
                <c:pt idx="8">
                  <c:v>21.263484986429901</c:v>
                </c:pt>
                <c:pt idx="9">
                  <c:v>21.276405161712201</c:v>
                </c:pt>
                <c:pt idx="10">
                  <c:v>21.289549072964899</c:v>
                </c:pt>
                <c:pt idx="11">
                  <c:v>21.303835658213298</c:v>
                </c:pt>
                <c:pt idx="12">
                  <c:v>21.317123120237198</c:v>
                </c:pt>
                <c:pt idx="13">
                  <c:v>21.326301048240801</c:v>
                </c:pt>
                <c:pt idx="14">
                  <c:v>21.3332516436441</c:v>
                </c:pt>
                <c:pt idx="15">
                  <c:v>21.335776293738299</c:v>
                </c:pt>
                <c:pt idx="16">
                  <c:v>21.337396221444401</c:v>
                </c:pt>
                <c:pt idx="17">
                  <c:v>21.337597846965799</c:v>
                </c:pt>
                <c:pt idx="18">
                  <c:v>21.337328766451002</c:v>
                </c:pt>
                <c:pt idx="19">
                  <c:v>21.345751607198999</c:v>
                </c:pt>
                <c:pt idx="20">
                  <c:v>21.356623140058201</c:v>
                </c:pt>
                <c:pt idx="21">
                  <c:v>21.365791976929099</c:v>
                </c:pt>
                <c:pt idx="22">
                  <c:v>21.376504060950602</c:v>
                </c:pt>
                <c:pt idx="23">
                  <c:v>21.389491013367898</c:v>
                </c:pt>
                <c:pt idx="24">
                  <c:v>21.404296554438499</c:v>
                </c:pt>
                <c:pt idx="25">
                  <c:v>21.420900136576702</c:v>
                </c:pt>
                <c:pt idx="26">
                  <c:v>21.439128808415902</c:v>
                </c:pt>
                <c:pt idx="27">
                  <c:v>21.4613596081482</c:v>
                </c:pt>
                <c:pt idx="28">
                  <c:v>21.487503565576699</c:v>
                </c:pt>
                <c:pt idx="29">
                  <c:v>21.515618122891802</c:v>
                </c:pt>
                <c:pt idx="30">
                  <c:v>21.547278030868402</c:v>
                </c:pt>
                <c:pt idx="31">
                  <c:v>21.580618627566199</c:v>
                </c:pt>
                <c:pt idx="32">
                  <c:v>21.6132689492811</c:v>
                </c:pt>
                <c:pt idx="33">
                  <c:v>21.6446867356862</c:v>
                </c:pt>
                <c:pt idx="34">
                  <c:v>21.672943760277299</c:v>
                </c:pt>
                <c:pt idx="35">
                  <c:v>21.700106124587599</c:v>
                </c:pt>
                <c:pt idx="36">
                  <c:v>21.725045779304399</c:v>
                </c:pt>
                <c:pt idx="37">
                  <c:v>21.747506812397901</c:v>
                </c:pt>
                <c:pt idx="38">
                  <c:v>21.769408821749298</c:v>
                </c:pt>
                <c:pt idx="39">
                  <c:v>21.7898619148949</c:v>
                </c:pt>
                <c:pt idx="40">
                  <c:v>21.813199418777799</c:v>
                </c:pt>
                <c:pt idx="41">
                  <c:v>35.789605673581001</c:v>
                </c:pt>
                <c:pt idx="42">
                  <c:v>36.097163614293699</c:v>
                </c:pt>
                <c:pt idx="43">
                  <c:v>36.479086099899099</c:v>
                </c:pt>
                <c:pt idx="44">
                  <c:v>36.868262080721003</c:v>
                </c:pt>
                <c:pt idx="45">
                  <c:v>37.278251857266703</c:v>
                </c:pt>
                <c:pt idx="46">
                  <c:v>37.704423488666698</c:v>
                </c:pt>
                <c:pt idx="47">
                  <c:v>38.113804467209803</c:v>
                </c:pt>
                <c:pt idx="48">
                  <c:v>38.502494477828698</c:v>
                </c:pt>
                <c:pt idx="49">
                  <c:v>38.884407992284302</c:v>
                </c:pt>
                <c:pt idx="50">
                  <c:v>39.2471334696573</c:v>
                </c:pt>
                <c:pt idx="51">
                  <c:v>39.592530611777903</c:v>
                </c:pt>
                <c:pt idx="52">
                  <c:v>39.921935875176302</c:v>
                </c:pt>
                <c:pt idx="53">
                  <c:v>40.230363178892397</c:v>
                </c:pt>
                <c:pt idx="54">
                  <c:v>40.527015214259301</c:v>
                </c:pt>
                <c:pt idx="55">
                  <c:v>40.808449901112901</c:v>
                </c:pt>
                <c:pt idx="56">
                  <c:v>41.079854840574001</c:v>
                </c:pt>
                <c:pt idx="57">
                  <c:v>41.341105825859202</c:v>
                </c:pt>
                <c:pt idx="58">
                  <c:v>41.597947368065498</c:v>
                </c:pt>
                <c:pt idx="59">
                  <c:v>41.841076167597599</c:v>
                </c:pt>
                <c:pt idx="60">
                  <c:v>42.086145056436898</c:v>
                </c:pt>
                <c:pt idx="61">
                  <c:v>42.320345039619099</c:v>
                </c:pt>
                <c:pt idx="62">
                  <c:v>42.548720843123697</c:v>
                </c:pt>
                <c:pt idx="63">
                  <c:v>42.804648838830403</c:v>
                </c:pt>
                <c:pt idx="64">
                  <c:v>43.078791325336503</c:v>
                </c:pt>
                <c:pt idx="65">
                  <c:v>43.355554265183798</c:v>
                </c:pt>
                <c:pt idx="66">
                  <c:v>43.636604645304203</c:v>
                </c:pt>
                <c:pt idx="67">
                  <c:v>43.923861186402299</c:v>
                </c:pt>
                <c:pt idx="68">
                  <c:v>44.2108197357582</c:v>
                </c:pt>
                <c:pt idx="69">
                  <c:v>44.4960369920829</c:v>
                </c:pt>
                <c:pt idx="70">
                  <c:v>44.778789804424399</c:v>
                </c:pt>
                <c:pt idx="71">
                  <c:v>45.053234171400597</c:v>
                </c:pt>
                <c:pt idx="72">
                  <c:v>45.314011553024798</c:v>
                </c:pt>
                <c:pt idx="73">
                  <c:v>45.5576383022564</c:v>
                </c:pt>
                <c:pt idx="74">
                  <c:v>45.772048420368101</c:v>
                </c:pt>
                <c:pt idx="75">
                  <c:v>45.947792859564998</c:v>
                </c:pt>
              </c:numCache>
            </c:numRef>
          </c:val>
          <c:smooth val="0"/>
          <c:extLst>
            <c:ext xmlns:c16="http://schemas.microsoft.com/office/drawing/2014/chart" uri="{C3380CC4-5D6E-409C-BE32-E72D297353CC}">
              <c16:uniqueId val="{00000001-B9AB-4170-822C-14B45751648A}"/>
            </c:ext>
          </c:extLst>
        </c:ser>
        <c:dLbls>
          <c:showLegendKey val="0"/>
          <c:showVal val="0"/>
          <c:showCatName val="0"/>
          <c:showSerName val="0"/>
          <c:showPercent val="0"/>
          <c:showBubbleSize val="0"/>
        </c:dLbls>
        <c:smooth val="0"/>
        <c:axId val="1315649056"/>
        <c:axId val="1315664896"/>
      </c:lineChart>
      <c:catAx>
        <c:axId val="1315649056"/>
        <c:scaling>
          <c:orientation val="minMax"/>
        </c:scaling>
        <c:delete val="0"/>
        <c:axPos val="b"/>
        <c:title>
          <c:tx>
            <c:rich>
              <a:bodyPr/>
              <a:lstStyle/>
              <a:p>
                <a:pPr algn="ctr">
                  <a:defRPr/>
                </a:pPr>
                <a:r>
                  <a:rPr lang="en-NZ"/>
                  <a:t>Year ending 30 June</a:t>
                </a:r>
              </a:p>
            </c:rich>
          </c:tx>
          <c:layout>
            <c:manualLayout>
              <c:xMode val="edge"/>
              <c:yMode val="edge"/>
              <c:x val="0.41410206827206808"/>
              <c:y val="0.83650797795337628"/>
            </c:manualLayout>
          </c:layout>
          <c:overlay val="0"/>
        </c:title>
        <c:numFmt formatCode="General" sourceLinked="1"/>
        <c:majorTickMark val="out"/>
        <c:minorTickMark val="none"/>
        <c:tickLblPos val="low"/>
        <c:spPr>
          <a:ln w="9525">
            <a:solidFill>
              <a:schemeClr val="bg1">
                <a:lumMod val="50000"/>
              </a:schemeClr>
            </a:solidFill>
          </a:ln>
        </c:spPr>
        <c:crossAx val="1315664896"/>
        <c:crosses val="autoZero"/>
        <c:auto val="1"/>
        <c:lblAlgn val="ctr"/>
        <c:lblOffset val="100"/>
        <c:tickLblSkip val="10"/>
        <c:tickMarkSkip val="10"/>
        <c:noMultiLvlLbl val="0"/>
      </c:catAx>
      <c:valAx>
        <c:axId val="1315664896"/>
        <c:scaling>
          <c:orientation val="minMax"/>
          <c:max val="50"/>
          <c:min val="20"/>
        </c:scaling>
        <c:delete val="0"/>
        <c:axPos val="l"/>
        <c:majorGridlines>
          <c:spPr>
            <a:ln w="9525">
              <a:solidFill>
                <a:schemeClr val="bg1">
                  <a:lumMod val="50000"/>
                </a:schemeClr>
              </a:solidFill>
            </a:ln>
          </c:spPr>
        </c:majorGridlines>
        <c:title>
          <c:tx>
            <c:rich>
              <a:bodyPr rot="0" vert="horz"/>
              <a:lstStyle/>
              <a:p>
                <a:pPr>
                  <a:defRPr/>
                </a:pPr>
                <a:r>
                  <a:rPr lang="en-NZ"/>
                  <a:t>%</a:t>
                </a:r>
              </a:p>
            </c:rich>
          </c:tx>
          <c:layout>
            <c:manualLayout>
              <c:xMode val="edge"/>
              <c:yMode val="edge"/>
              <c:x val="7.2894532780910281E-3"/>
              <c:y val="1.0103986398676885E-2"/>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a:solidFill>
                  <a:sysClr val="windowText" lastClr="000000"/>
                </a:solidFill>
              </a:defRPr>
            </a:pPr>
            <a:endParaRPr lang="en-US"/>
          </a:p>
        </c:txPr>
        <c:crossAx val="1315649056"/>
        <c:crosses val="autoZero"/>
        <c:crossBetween val="midCat"/>
      </c:valAx>
    </c:plotArea>
    <c:legend>
      <c:legendPos val="b"/>
      <c:layout>
        <c:manualLayout>
          <c:xMode val="edge"/>
          <c:yMode val="edge"/>
          <c:x val="3.0325746952863763E-3"/>
          <c:y val="0.88354857812357546"/>
          <c:w val="0.98297583863660876"/>
          <c:h val="0.1038198373556502"/>
        </c:manualLayout>
      </c:layout>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txPr>
    <a:bodyPr/>
    <a:lstStyle/>
    <a:p>
      <a:pPr>
        <a:defRPr sz="1800" baseline="0">
          <a:solidFill>
            <a:sysClr val="windowText" lastClr="000000"/>
          </a:solidFill>
          <a:latin typeface="Arial" panose="020B0604020202020204" pitchFamily="34" charset="0"/>
        </a:defRPr>
      </a:pPr>
      <a:endParaRPr lang="en-US"/>
    </a:p>
  </c:txPr>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186093296053438E-2"/>
          <c:y val="0.10536332354614389"/>
          <c:w val="0.89823073551915711"/>
          <c:h val="0.68944402043773056"/>
        </c:manualLayout>
      </c:layout>
      <c:lineChart>
        <c:grouping val="standard"/>
        <c:varyColors val="0"/>
        <c:ser>
          <c:idx val="0"/>
          <c:order val="0"/>
          <c:tx>
            <c:strRef>
              <c:f>'Fig 30 data'!$C$5</c:f>
              <c:strCache>
                <c:ptCount val="1"/>
                <c:pt idx="0">
                  <c:v>GDP (tax-financed)</c:v>
                </c:pt>
              </c:strCache>
            </c:strRef>
          </c:tx>
          <c:spPr>
            <a:ln w="38100">
              <a:solidFill>
                <a:srgbClr val="0083AC"/>
              </a:solidFill>
            </a:ln>
          </c:spPr>
          <c:marker>
            <c:symbol val="none"/>
          </c:marker>
          <c:cat>
            <c:numRef>
              <c:f>'Fig 30 data'!$B$7:$B$83</c:f>
              <c:numCache>
                <c:formatCode>General</c:formatCode>
                <c:ptCount val="7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pt idx="50">
                  <c:v>2074</c:v>
                </c:pt>
                <c:pt idx="51">
                  <c:v>2075</c:v>
                </c:pt>
                <c:pt idx="52">
                  <c:v>2076</c:v>
                </c:pt>
                <c:pt idx="53">
                  <c:v>2077</c:v>
                </c:pt>
                <c:pt idx="54">
                  <c:v>2078</c:v>
                </c:pt>
                <c:pt idx="55">
                  <c:v>2079</c:v>
                </c:pt>
                <c:pt idx="56">
                  <c:v>2080</c:v>
                </c:pt>
                <c:pt idx="57">
                  <c:v>2081</c:v>
                </c:pt>
                <c:pt idx="58">
                  <c:v>2082</c:v>
                </c:pt>
                <c:pt idx="59">
                  <c:v>2083</c:v>
                </c:pt>
                <c:pt idx="60">
                  <c:v>2084</c:v>
                </c:pt>
                <c:pt idx="61">
                  <c:v>2085</c:v>
                </c:pt>
                <c:pt idx="62">
                  <c:v>2086</c:v>
                </c:pt>
                <c:pt idx="63">
                  <c:v>2087</c:v>
                </c:pt>
                <c:pt idx="64">
                  <c:v>2088</c:v>
                </c:pt>
                <c:pt idx="65">
                  <c:v>2089</c:v>
                </c:pt>
                <c:pt idx="66">
                  <c:v>2090</c:v>
                </c:pt>
                <c:pt idx="67">
                  <c:v>2091</c:v>
                </c:pt>
                <c:pt idx="68">
                  <c:v>2092</c:v>
                </c:pt>
                <c:pt idx="69">
                  <c:v>2093</c:v>
                </c:pt>
                <c:pt idx="70">
                  <c:v>2094</c:v>
                </c:pt>
                <c:pt idx="71">
                  <c:v>2095</c:v>
                </c:pt>
                <c:pt idx="72">
                  <c:v>2096</c:v>
                </c:pt>
                <c:pt idx="73">
                  <c:v>2097</c:v>
                </c:pt>
                <c:pt idx="74">
                  <c:v>2098</c:v>
                </c:pt>
                <c:pt idx="75">
                  <c:v>2099</c:v>
                </c:pt>
                <c:pt idx="76">
                  <c:v>2100</c:v>
                </c:pt>
              </c:numCache>
            </c:numRef>
          </c:cat>
          <c:val>
            <c:numRef>
              <c:f>'Fig 30 data'!$C$7:$C$83</c:f>
              <c:numCache>
                <c:formatCode>0.0</c:formatCode>
                <c:ptCount val="77"/>
                <c:pt idx="0">
                  <c:v>100</c:v>
                </c:pt>
                <c:pt idx="1">
                  <c:v>102.554043831486</c:v>
                </c:pt>
                <c:pt idx="2">
                  <c:v>103.669950835498</c:v>
                </c:pt>
                <c:pt idx="3">
                  <c:v>104.848646621165</c:v>
                </c:pt>
                <c:pt idx="4">
                  <c:v>106.106142519947</c:v>
                </c:pt>
                <c:pt idx="5">
                  <c:v>107.404077897961</c:v>
                </c:pt>
                <c:pt idx="6">
                  <c:v>108.702555863988</c:v>
                </c:pt>
                <c:pt idx="7">
                  <c:v>110.03847494307701</c:v>
                </c:pt>
                <c:pt idx="8">
                  <c:v>111.3564430687</c:v>
                </c:pt>
                <c:pt idx="9">
                  <c:v>112.669962720811</c:v>
                </c:pt>
                <c:pt idx="10">
                  <c:v>113.972459079679</c:v>
                </c:pt>
                <c:pt idx="11">
                  <c:v>115.262848354935</c:v>
                </c:pt>
                <c:pt idx="12">
                  <c:v>116.532006362484</c:v>
                </c:pt>
                <c:pt idx="13">
                  <c:v>117.802340608677</c:v>
                </c:pt>
                <c:pt idx="14">
                  <c:v>119.114038286499</c:v>
                </c:pt>
                <c:pt idx="15">
                  <c:v>120.442684278885</c:v>
                </c:pt>
                <c:pt idx="16">
                  <c:v>121.818247975739</c:v>
                </c:pt>
                <c:pt idx="17">
                  <c:v>123.19968842105</c:v>
                </c:pt>
                <c:pt idx="18">
                  <c:v>124.595386268201</c:v>
                </c:pt>
                <c:pt idx="19">
                  <c:v>125.999623350359</c:v>
                </c:pt>
                <c:pt idx="20">
                  <c:v>127.296732938437</c:v>
                </c:pt>
                <c:pt idx="21">
                  <c:v>128.56429287218299</c:v>
                </c:pt>
                <c:pt idx="22">
                  <c:v>129.84824746105301</c:v>
                </c:pt>
                <c:pt idx="23">
                  <c:v>131.10174910997699</c:v>
                </c:pt>
                <c:pt idx="24">
                  <c:v>132.31864927093801</c:v>
                </c:pt>
                <c:pt idx="25">
                  <c:v>133.507939168852</c:v>
                </c:pt>
                <c:pt idx="26">
                  <c:v>134.665301509529</c:v>
                </c:pt>
                <c:pt idx="27">
                  <c:v>135.789858306453</c:v>
                </c:pt>
                <c:pt idx="28">
                  <c:v>136.84990771443699</c:v>
                </c:pt>
                <c:pt idx="29">
                  <c:v>137.849205520781</c:v>
                </c:pt>
                <c:pt idx="30">
                  <c:v>138.81368695217401</c:v>
                </c:pt>
                <c:pt idx="31">
                  <c:v>139.72056059698201</c:v>
                </c:pt>
                <c:pt idx="32">
                  <c:v>140.59286538616001</c:v>
                </c:pt>
                <c:pt idx="33">
                  <c:v>141.466362025801</c:v>
                </c:pt>
                <c:pt idx="34">
                  <c:v>142.35825989180799</c:v>
                </c:pt>
                <c:pt idx="35">
                  <c:v>143.28844608055101</c:v>
                </c:pt>
                <c:pt idx="36">
                  <c:v>144.233008998217</c:v>
                </c:pt>
                <c:pt idx="37">
                  <c:v>145.21106069292</c:v>
                </c:pt>
                <c:pt idx="38">
                  <c:v>146.22625497789099</c:v>
                </c:pt>
                <c:pt idx="39">
                  <c:v>147.26186042490099</c:v>
                </c:pt>
                <c:pt idx="40">
                  <c:v>148.33683338183701</c:v>
                </c:pt>
                <c:pt idx="41">
                  <c:v>149.378778395681</c:v>
                </c:pt>
                <c:pt idx="42">
                  <c:v>150.43923978516099</c:v>
                </c:pt>
                <c:pt idx="43">
                  <c:v>151.529383879741</c:v>
                </c:pt>
                <c:pt idx="44">
                  <c:v>152.605063115186</c:v>
                </c:pt>
                <c:pt idx="45">
                  <c:v>153.639020921129</c:v>
                </c:pt>
                <c:pt idx="46">
                  <c:v>154.65533618437999</c:v>
                </c:pt>
                <c:pt idx="47">
                  <c:v>155.64118727667099</c:v>
                </c:pt>
                <c:pt idx="48">
                  <c:v>156.533595186056</c:v>
                </c:pt>
                <c:pt idx="49">
                  <c:v>157.37038922619999</c:v>
                </c:pt>
                <c:pt idx="50">
                  <c:v>158.21759140179799</c:v>
                </c:pt>
                <c:pt idx="51">
                  <c:v>159.042017189246</c:v>
                </c:pt>
                <c:pt idx="52">
                  <c:v>159.871189234497</c:v>
                </c:pt>
                <c:pt idx="53">
                  <c:v>160.71226109655601</c:v>
                </c:pt>
                <c:pt idx="54">
                  <c:v>161.567842059611</c:v>
                </c:pt>
                <c:pt idx="55">
                  <c:v>162.46764995230799</c:v>
                </c:pt>
                <c:pt idx="56">
                  <c:v>163.38502670718501</c:v>
                </c:pt>
                <c:pt idx="57">
                  <c:v>164.33771638895001</c:v>
                </c:pt>
                <c:pt idx="58">
                  <c:v>165.312803547209</c:v>
                </c:pt>
                <c:pt idx="59">
                  <c:v>166.32832934378499</c:v>
                </c:pt>
                <c:pt idx="60">
                  <c:v>167.36403064292099</c:v>
                </c:pt>
                <c:pt idx="61">
                  <c:v>168.443010511881</c:v>
                </c:pt>
                <c:pt idx="62">
                  <c:v>169.52805397259999</c:v>
                </c:pt>
                <c:pt idx="63">
                  <c:v>170.632435885663</c:v>
                </c:pt>
                <c:pt idx="64">
                  <c:v>171.83479778101</c:v>
                </c:pt>
                <c:pt idx="65">
                  <c:v>173.06195881025101</c:v>
                </c:pt>
                <c:pt idx="66">
                  <c:v>174.25894133438899</c:v>
                </c:pt>
                <c:pt idx="67">
                  <c:v>175.457131669555</c:v>
                </c:pt>
                <c:pt idx="68">
                  <c:v>176.66121784709199</c:v>
                </c:pt>
                <c:pt idx="69">
                  <c:v>177.871466494136</c:v>
                </c:pt>
                <c:pt idx="70">
                  <c:v>179.09022452158899</c:v>
                </c:pt>
                <c:pt idx="71">
                  <c:v>180.31136156362001</c:v>
                </c:pt>
                <c:pt idx="72">
                  <c:v>181.54402162091799</c:v>
                </c:pt>
                <c:pt idx="73">
                  <c:v>182.786313921019</c:v>
                </c:pt>
                <c:pt idx="74">
                  <c:v>184.03685209397401</c:v>
                </c:pt>
                <c:pt idx="75">
                  <c:v>185.293969431557</c:v>
                </c:pt>
                <c:pt idx="76">
                  <c:v>186.558527302941</c:v>
                </c:pt>
              </c:numCache>
            </c:numRef>
          </c:val>
          <c:smooth val="0"/>
          <c:extLst>
            <c:ext xmlns:c16="http://schemas.microsoft.com/office/drawing/2014/chart" uri="{C3380CC4-5D6E-409C-BE32-E72D297353CC}">
              <c16:uniqueId val="{00000000-CC03-45CE-A161-18D44DC62ABA}"/>
            </c:ext>
          </c:extLst>
        </c:ser>
        <c:ser>
          <c:idx val="1"/>
          <c:order val="1"/>
          <c:tx>
            <c:strRef>
              <c:f>'Fig 30 data'!$D$5</c:f>
              <c:strCache>
                <c:ptCount val="1"/>
                <c:pt idx="0">
                  <c:v>GDP (debt-financed)</c:v>
                </c:pt>
              </c:strCache>
            </c:strRef>
          </c:tx>
          <c:spPr>
            <a:ln w="38100">
              <a:solidFill>
                <a:srgbClr val="3E403A"/>
              </a:solidFill>
            </a:ln>
          </c:spPr>
          <c:marker>
            <c:symbol val="none"/>
          </c:marker>
          <c:cat>
            <c:numRef>
              <c:f>'Fig 30 data'!$B$7:$B$83</c:f>
              <c:numCache>
                <c:formatCode>General</c:formatCode>
                <c:ptCount val="7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pt idx="50">
                  <c:v>2074</c:v>
                </c:pt>
                <c:pt idx="51">
                  <c:v>2075</c:v>
                </c:pt>
                <c:pt idx="52">
                  <c:v>2076</c:v>
                </c:pt>
                <c:pt idx="53">
                  <c:v>2077</c:v>
                </c:pt>
                <c:pt idx="54">
                  <c:v>2078</c:v>
                </c:pt>
                <c:pt idx="55">
                  <c:v>2079</c:v>
                </c:pt>
                <c:pt idx="56">
                  <c:v>2080</c:v>
                </c:pt>
                <c:pt idx="57">
                  <c:v>2081</c:v>
                </c:pt>
                <c:pt idx="58">
                  <c:v>2082</c:v>
                </c:pt>
                <c:pt idx="59">
                  <c:v>2083</c:v>
                </c:pt>
                <c:pt idx="60">
                  <c:v>2084</c:v>
                </c:pt>
                <c:pt idx="61">
                  <c:v>2085</c:v>
                </c:pt>
                <c:pt idx="62">
                  <c:v>2086</c:v>
                </c:pt>
                <c:pt idx="63">
                  <c:v>2087</c:v>
                </c:pt>
                <c:pt idx="64">
                  <c:v>2088</c:v>
                </c:pt>
                <c:pt idx="65">
                  <c:v>2089</c:v>
                </c:pt>
                <c:pt idx="66">
                  <c:v>2090</c:v>
                </c:pt>
                <c:pt idx="67">
                  <c:v>2091</c:v>
                </c:pt>
                <c:pt idx="68">
                  <c:v>2092</c:v>
                </c:pt>
                <c:pt idx="69">
                  <c:v>2093</c:v>
                </c:pt>
                <c:pt idx="70">
                  <c:v>2094</c:v>
                </c:pt>
                <c:pt idx="71">
                  <c:v>2095</c:v>
                </c:pt>
                <c:pt idx="72">
                  <c:v>2096</c:v>
                </c:pt>
                <c:pt idx="73">
                  <c:v>2097</c:v>
                </c:pt>
                <c:pt idx="74">
                  <c:v>2098</c:v>
                </c:pt>
                <c:pt idx="75">
                  <c:v>2099</c:v>
                </c:pt>
                <c:pt idx="76">
                  <c:v>2100</c:v>
                </c:pt>
              </c:numCache>
            </c:numRef>
          </c:cat>
          <c:val>
            <c:numRef>
              <c:f>'Fig 30 data'!$D$7:$D$83</c:f>
              <c:numCache>
                <c:formatCode>0.0</c:formatCode>
                <c:ptCount val="77"/>
                <c:pt idx="0">
                  <c:v>100</c:v>
                </c:pt>
                <c:pt idx="1">
                  <c:v>101.728469796242</c:v>
                </c:pt>
                <c:pt idx="2">
                  <c:v>102.88527584684699</c:v>
                </c:pt>
                <c:pt idx="3">
                  <c:v>104.025781051872</c:v>
                </c:pt>
                <c:pt idx="4">
                  <c:v>105.214889019623</c:v>
                </c:pt>
                <c:pt idx="5">
                  <c:v>106.44309432966099</c:v>
                </c:pt>
                <c:pt idx="6">
                  <c:v>107.674960296432</c:v>
                </c:pt>
                <c:pt idx="7">
                  <c:v>108.937555279222</c:v>
                </c:pt>
                <c:pt idx="8">
                  <c:v>110.196065098875</c:v>
                </c:pt>
                <c:pt idx="9">
                  <c:v>111.449586453694</c:v>
                </c:pt>
                <c:pt idx="10">
                  <c:v>112.69584173035101</c:v>
                </c:pt>
                <c:pt idx="11">
                  <c:v>113.929054307885</c:v>
                </c:pt>
                <c:pt idx="12">
                  <c:v>115.146891271508</c:v>
                </c:pt>
                <c:pt idx="13">
                  <c:v>116.360061992379</c:v>
                </c:pt>
                <c:pt idx="14">
                  <c:v>117.595496180651</c:v>
                </c:pt>
                <c:pt idx="15">
                  <c:v>118.84019202273301</c:v>
                </c:pt>
                <c:pt idx="16">
                  <c:v>120.114516660202</c:v>
                </c:pt>
                <c:pt idx="17">
                  <c:v>121.394270410064</c:v>
                </c:pt>
                <c:pt idx="18">
                  <c:v>122.68776674111599</c:v>
                </c:pt>
                <c:pt idx="19">
                  <c:v>123.98476924462599</c:v>
                </c:pt>
                <c:pt idx="20">
                  <c:v>125.205905404367</c:v>
                </c:pt>
                <c:pt idx="21">
                  <c:v>126.401719660035</c:v>
                </c:pt>
                <c:pt idx="22">
                  <c:v>127.61046343641399</c:v>
                </c:pt>
                <c:pt idx="23">
                  <c:v>128.80209679036099</c:v>
                </c:pt>
                <c:pt idx="24">
                  <c:v>129.97396583949001</c:v>
                </c:pt>
                <c:pt idx="25">
                  <c:v>131.13342196734399</c:v>
                </c:pt>
                <c:pt idx="26">
                  <c:v>132.27897864421499</c:v>
                </c:pt>
                <c:pt idx="27">
                  <c:v>133.408427453191</c:v>
                </c:pt>
                <c:pt idx="28">
                  <c:v>134.50767205487199</c:v>
                </c:pt>
                <c:pt idx="29">
                  <c:v>135.576747104227</c:v>
                </c:pt>
                <c:pt idx="30">
                  <c:v>136.631181120256</c:v>
                </c:pt>
                <c:pt idx="31">
                  <c:v>137.66175709476499</c:v>
                </c:pt>
                <c:pt idx="32">
                  <c:v>138.68184892977899</c:v>
                </c:pt>
                <c:pt idx="33">
                  <c:v>139.720881066939</c:v>
                </c:pt>
                <c:pt idx="34">
                  <c:v>140.79875975524399</c:v>
                </c:pt>
                <c:pt idx="35">
                  <c:v>141.926811232679</c:v>
                </c:pt>
                <c:pt idx="36">
                  <c:v>143.098080871566</c:v>
                </c:pt>
                <c:pt idx="37">
                  <c:v>144.32283321795799</c:v>
                </c:pt>
                <c:pt idx="38">
                  <c:v>145.60878639794001</c:v>
                </c:pt>
                <c:pt idx="39">
                  <c:v>146.95161471742099</c:v>
                </c:pt>
                <c:pt idx="40">
                  <c:v>148.365897117467</c:v>
                </c:pt>
                <c:pt idx="41">
                  <c:v>149.805718452653</c:v>
                </c:pt>
                <c:pt idx="42">
                  <c:v>141.91004865980699</c:v>
                </c:pt>
                <c:pt idx="43">
                  <c:v>142.59266998067099</c:v>
                </c:pt>
                <c:pt idx="44">
                  <c:v>143.21129760219301</c:v>
                </c:pt>
                <c:pt idx="45">
                  <c:v>143.799603692456</c:v>
                </c:pt>
                <c:pt idx="46">
                  <c:v>144.35997849715801</c:v>
                </c:pt>
                <c:pt idx="47">
                  <c:v>144.885294059345</c:v>
                </c:pt>
                <c:pt idx="48">
                  <c:v>145.371757623772</c:v>
                </c:pt>
                <c:pt idx="49">
                  <c:v>145.84314103816101</c:v>
                </c:pt>
                <c:pt idx="50">
                  <c:v>146.31708881710799</c:v>
                </c:pt>
                <c:pt idx="51">
                  <c:v>146.79514302247401</c:v>
                </c:pt>
                <c:pt idx="52">
                  <c:v>147.29121129322999</c:v>
                </c:pt>
                <c:pt idx="53">
                  <c:v>147.81057407277299</c:v>
                </c:pt>
                <c:pt idx="54">
                  <c:v>148.35910068694599</c:v>
                </c:pt>
                <c:pt idx="55">
                  <c:v>148.94420834995501</c:v>
                </c:pt>
                <c:pt idx="56">
                  <c:v>149.563524473287</c:v>
                </c:pt>
                <c:pt idx="57">
                  <c:v>150.221254179353</c:v>
                </c:pt>
                <c:pt idx="58">
                  <c:v>150.91601551923</c:v>
                </c:pt>
                <c:pt idx="59">
                  <c:v>151.64801106505001</c:v>
                </c:pt>
                <c:pt idx="60">
                  <c:v>152.41257877814201</c:v>
                </c:pt>
                <c:pt idx="61">
                  <c:v>153.21008465592999</c:v>
                </c:pt>
                <c:pt idx="62">
                  <c:v>154.03302647827499</c:v>
                </c:pt>
                <c:pt idx="63">
                  <c:v>154.88125113969701</c:v>
                </c:pt>
                <c:pt idx="64">
                  <c:v>155.75346570972999</c:v>
                </c:pt>
                <c:pt idx="65">
                  <c:v>156.62623444896099</c:v>
                </c:pt>
                <c:pt idx="66">
                  <c:v>157.48608591138</c:v>
                </c:pt>
                <c:pt idx="67">
                  <c:v>158.334296267751</c:v>
                </c:pt>
                <c:pt idx="68">
                  <c:v>159.168836276045</c:v>
                </c:pt>
                <c:pt idx="69">
                  <c:v>159.99068271292799</c:v>
                </c:pt>
                <c:pt idx="70">
                  <c:v>160.801840583477</c:v>
                </c:pt>
                <c:pt idx="71">
                  <c:v>161.60074191805199</c:v>
                </c:pt>
                <c:pt idx="72">
                  <c:v>162.39272593001201</c:v>
                </c:pt>
                <c:pt idx="73">
                  <c:v>163.18315744929899</c:v>
                </c:pt>
                <c:pt idx="74">
                  <c:v>163.98032627305099</c:v>
                </c:pt>
                <c:pt idx="75">
                  <c:v>164.79655526185999</c:v>
                </c:pt>
                <c:pt idx="76">
                  <c:v>165.64812792335599</c:v>
                </c:pt>
              </c:numCache>
            </c:numRef>
          </c:val>
          <c:smooth val="0"/>
          <c:extLst>
            <c:ext xmlns:c16="http://schemas.microsoft.com/office/drawing/2014/chart" uri="{C3380CC4-5D6E-409C-BE32-E72D297353CC}">
              <c16:uniqueId val="{00000001-CC03-45CE-A161-18D44DC62ABA}"/>
            </c:ext>
          </c:extLst>
        </c:ser>
        <c:dLbls>
          <c:showLegendKey val="0"/>
          <c:showVal val="0"/>
          <c:showCatName val="0"/>
          <c:showSerName val="0"/>
          <c:showPercent val="0"/>
          <c:showBubbleSize val="0"/>
        </c:dLbls>
        <c:marker val="1"/>
        <c:smooth val="0"/>
        <c:axId val="1537483408"/>
        <c:axId val="1537485328"/>
      </c:lineChart>
      <c:scatterChart>
        <c:scatterStyle val="lineMarker"/>
        <c:varyColors val="0"/>
        <c:ser>
          <c:idx val="2"/>
          <c:order val="2"/>
          <c:tx>
            <c:strRef>
              <c:f>'Fig 30 data'!$E$5</c:f>
              <c:strCache>
                <c:ptCount val="1"/>
              </c:strCache>
            </c:strRef>
          </c:tx>
          <c:spPr>
            <a:ln w="38100">
              <a:noFill/>
            </a:ln>
          </c:spPr>
          <c:marker>
            <c:spPr>
              <a:noFill/>
              <a:ln>
                <a:noFill/>
              </a:ln>
            </c:spPr>
          </c:marker>
          <c:errBars>
            <c:errDir val="y"/>
            <c:errBarType val="both"/>
            <c:errValType val="fixedVal"/>
            <c:noEndCap val="1"/>
            <c:val val="1"/>
          </c:errBars>
          <c:xVal>
            <c:numRef>
              <c:f>'Fig 30 data'!$B$7:$B$83</c:f>
              <c:numCache>
                <c:formatCode>General</c:formatCode>
                <c:ptCount val="7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pt idx="50">
                  <c:v>2074</c:v>
                </c:pt>
                <c:pt idx="51">
                  <c:v>2075</c:v>
                </c:pt>
                <c:pt idx="52">
                  <c:v>2076</c:v>
                </c:pt>
                <c:pt idx="53">
                  <c:v>2077</c:v>
                </c:pt>
                <c:pt idx="54">
                  <c:v>2078</c:v>
                </c:pt>
                <c:pt idx="55">
                  <c:v>2079</c:v>
                </c:pt>
                <c:pt idx="56">
                  <c:v>2080</c:v>
                </c:pt>
                <c:pt idx="57">
                  <c:v>2081</c:v>
                </c:pt>
                <c:pt idx="58">
                  <c:v>2082</c:v>
                </c:pt>
                <c:pt idx="59">
                  <c:v>2083</c:v>
                </c:pt>
                <c:pt idx="60">
                  <c:v>2084</c:v>
                </c:pt>
                <c:pt idx="61">
                  <c:v>2085</c:v>
                </c:pt>
                <c:pt idx="62">
                  <c:v>2086</c:v>
                </c:pt>
                <c:pt idx="63">
                  <c:v>2087</c:v>
                </c:pt>
                <c:pt idx="64">
                  <c:v>2088</c:v>
                </c:pt>
                <c:pt idx="65">
                  <c:v>2089</c:v>
                </c:pt>
                <c:pt idx="66">
                  <c:v>2090</c:v>
                </c:pt>
                <c:pt idx="67">
                  <c:v>2091</c:v>
                </c:pt>
                <c:pt idx="68">
                  <c:v>2092</c:v>
                </c:pt>
                <c:pt idx="69">
                  <c:v>2093</c:v>
                </c:pt>
                <c:pt idx="70">
                  <c:v>2094</c:v>
                </c:pt>
                <c:pt idx="71">
                  <c:v>2095</c:v>
                </c:pt>
                <c:pt idx="72">
                  <c:v>2096</c:v>
                </c:pt>
                <c:pt idx="73">
                  <c:v>2097</c:v>
                </c:pt>
                <c:pt idx="74">
                  <c:v>2098</c:v>
                </c:pt>
                <c:pt idx="75">
                  <c:v>2099</c:v>
                </c:pt>
                <c:pt idx="76">
                  <c:v>2100</c:v>
                </c:pt>
              </c:numCache>
            </c:numRef>
          </c:xVal>
          <c:yVal>
            <c:numRef>
              <c:f>'Fig 30 data'!$E$7:$E$83</c:f>
              <c:numCache>
                <c:formatCode>General</c:formatCode>
                <c:ptCount val="77"/>
                <c:pt idx="41">
                  <c:v>1</c:v>
                </c:pt>
              </c:numCache>
            </c:numRef>
          </c:yVal>
          <c:smooth val="0"/>
          <c:extLst>
            <c:ext xmlns:c16="http://schemas.microsoft.com/office/drawing/2014/chart" uri="{C3380CC4-5D6E-409C-BE32-E72D297353CC}">
              <c16:uniqueId val="{00000000-92CE-425F-8B28-0A7ADBC55D73}"/>
            </c:ext>
          </c:extLst>
        </c:ser>
        <c:dLbls>
          <c:showLegendKey val="0"/>
          <c:showVal val="0"/>
          <c:showCatName val="0"/>
          <c:showSerName val="0"/>
          <c:showPercent val="0"/>
          <c:showBubbleSize val="0"/>
        </c:dLbls>
        <c:axId val="2017652368"/>
        <c:axId val="2017675408"/>
      </c:scatterChart>
      <c:catAx>
        <c:axId val="1537483408"/>
        <c:scaling>
          <c:orientation val="minMax"/>
        </c:scaling>
        <c:delete val="0"/>
        <c:axPos val="b"/>
        <c:title>
          <c:tx>
            <c:rich>
              <a:bodyPr/>
              <a:lstStyle/>
              <a:p>
                <a:pPr algn="ctr">
                  <a:defRPr sz="1800" b="1">
                    <a:solidFill>
                      <a:srgbClr val="000000"/>
                    </a:solidFill>
                    <a:latin typeface="Arial"/>
                    <a:ea typeface="Arial"/>
                    <a:cs typeface="Arial"/>
                  </a:defRPr>
                </a:pPr>
                <a:r>
                  <a:rPr lang="en-NZ"/>
                  <a:t>Year ending 30 June</a:t>
                </a:r>
              </a:p>
            </c:rich>
          </c:tx>
          <c:layout>
            <c:manualLayout>
              <c:xMode val="edge"/>
              <c:yMode val="edge"/>
              <c:x val="0.3735332412866238"/>
              <c:y val="0.8717411415011096"/>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537485328"/>
        <c:crosses val="autoZero"/>
        <c:auto val="1"/>
        <c:lblAlgn val="ctr"/>
        <c:lblOffset val="100"/>
        <c:tickLblSkip val="10"/>
        <c:tickMarkSkip val="10"/>
        <c:noMultiLvlLbl val="0"/>
      </c:catAx>
      <c:valAx>
        <c:axId val="1537485328"/>
        <c:scaling>
          <c:orientation val="minMax"/>
          <c:min val="90"/>
        </c:scaling>
        <c:delete val="0"/>
        <c:axPos val="l"/>
        <c:majorGridlines>
          <c:spPr>
            <a:ln w="9525">
              <a:solidFill>
                <a:schemeClr val="bg1">
                  <a:lumMod val="50000"/>
                </a:schemeClr>
              </a:solidFill>
            </a:ln>
          </c:spPr>
        </c:majorGridlines>
        <c:title>
          <c:tx>
            <c:rich>
              <a:bodyPr rot="0" vert="horz"/>
              <a:lstStyle/>
              <a:p>
                <a:pPr>
                  <a:defRPr sz="1800">
                    <a:solidFill>
                      <a:sysClr val="windowText" lastClr="000000"/>
                    </a:solidFill>
                    <a:latin typeface="Arial" panose="020B0604020202020204" pitchFamily="34" charset="0"/>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Index </a:t>
                </a:r>
              </a:p>
            </c:rich>
          </c:tx>
          <c:layout>
            <c:manualLayout>
              <c:xMode val="edge"/>
              <c:yMode val="edge"/>
              <c:x val="5.4601952937644548E-3"/>
              <c:y val="2.0115959905130636E-2"/>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ysClr val="windowText" lastClr="000000"/>
                </a:solidFill>
                <a:latin typeface="Arial"/>
                <a:ea typeface="Arial"/>
                <a:cs typeface="Arial"/>
              </a:defRPr>
            </a:pPr>
            <a:endParaRPr lang="en-US"/>
          </a:p>
        </c:txPr>
        <c:crossAx val="1537483408"/>
        <c:crosses val="autoZero"/>
        <c:crossBetween val="between"/>
      </c:valAx>
      <c:valAx>
        <c:axId val="2017675408"/>
        <c:scaling>
          <c:orientation val="minMax"/>
          <c:max val="1"/>
        </c:scaling>
        <c:delete val="0"/>
        <c:axPos val="r"/>
        <c:numFmt formatCode="General" sourceLinked="1"/>
        <c:majorTickMark val="none"/>
        <c:minorTickMark val="none"/>
        <c:tickLblPos val="none"/>
        <c:spPr>
          <a:ln>
            <a:noFill/>
          </a:ln>
        </c:spPr>
        <c:crossAx val="2017652368"/>
        <c:crosses val="max"/>
        <c:crossBetween val="midCat"/>
      </c:valAx>
      <c:valAx>
        <c:axId val="2017652368"/>
        <c:scaling>
          <c:orientation val="minMax"/>
          <c:max val="2100"/>
          <c:min val="2024"/>
        </c:scaling>
        <c:delete val="0"/>
        <c:axPos val="t"/>
        <c:numFmt formatCode="General" sourceLinked="1"/>
        <c:majorTickMark val="none"/>
        <c:minorTickMark val="none"/>
        <c:tickLblPos val="none"/>
        <c:crossAx val="2017675408"/>
        <c:crosses val="max"/>
        <c:crossBetween val="midCat"/>
      </c:valAx>
    </c:plotArea>
    <c:legend>
      <c:legendPos val="b"/>
      <c:legendEntry>
        <c:idx val="2"/>
        <c:delete val="1"/>
      </c:legendEntry>
      <c:layout>
        <c:manualLayout>
          <c:xMode val="edge"/>
          <c:yMode val="edge"/>
          <c:x val="0.19436812498525066"/>
          <c:y val="0.92034704218488872"/>
          <c:w val="0.60669729789782856"/>
          <c:h val="6.1467787103718544E-2"/>
        </c:manualLayout>
      </c:layout>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1186811622568995E-2"/>
          <c:y val="6.6191997878155176E-2"/>
          <c:w val="0.93374307138376011"/>
          <c:h val="0.75301743000038335"/>
        </c:manualLayout>
      </c:layout>
      <c:barChart>
        <c:barDir val="col"/>
        <c:grouping val="clustered"/>
        <c:varyColors val="0"/>
        <c:ser>
          <c:idx val="0"/>
          <c:order val="0"/>
          <c:tx>
            <c:strRef>
              <c:f>'Fig 31 data'!$C$5</c:f>
              <c:strCache>
                <c:ptCount val="1"/>
                <c:pt idx="0">
                  <c:v>Low income people</c:v>
                </c:pt>
              </c:strCache>
            </c:strRef>
          </c:tx>
          <c:spPr>
            <a:solidFill>
              <a:srgbClr val="0083AC"/>
            </a:solidFill>
            <a:ln>
              <a:noFill/>
            </a:ln>
            <a:effectLst/>
          </c:spPr>
          <c:invertIfNegative val="0"/>
          <c:cat>
            <c:numRef>
              <c:f>'Fig 31 data'!$B$7:$B$11</c:f>
              <c:numCache>
                <c:formatCode>General</c:formatCode>
                <c:ptCount val="5"/>
                <c:pt idx="0">
                  <c:v>1950</c:v>
                </c:pt>
                <c:pt idx="1">
                  <c:v>1970</c:v>
                </c:pt>
                <c:pt idx="2">
                  <c:v>2010</c:v>
                </c:pt>
                <c:pt idx="3">
                  <c:v>2040</c:v>
                </c:pt>
                <c:pt idx="4">
                  <c:v>2065</c:v>
                </c:pt>
              </c:numCache>
            </c:numRef>
          </c:cat>
          <c:val>
            <c:numRef>
              <c:f>'Fig 31 data'!$C$7:$C$11</c:f>
              <c:numCache>
                <c:formatCode>0.0</c:formatCode>
                <c:ptCount val="5"/>
                <c:pt idx="0">
                  <c:v>5.07528468351068</c:v>
                </c:pt>
                <c:pt idx="1">
                  <c:v>7.37662044211429</c:v>
                </c:pt>
                <c:pt idx="2">
                  <c:v>3.1559694245873602</c:v>
                </c:pt>
                <c:pt idx="3">
                  <c:v>-4.3316780281136698</c:v>
                </c:pt>
                <c:pt idx="4">
                  <c:v>-10.3968063922638</c:v>
                </c:pt>
              </c:numCache>
            </c:numRef>
          </c:val>
          <c:extLst>
            <c:ext xmlns:c16="http://schemas.microsoft.com/office/drawing/2014/chart" uri="{C3380CC4-5D6E-409C-BE32-E72D297353CC}">
              <c16:uniqueId val="{00000000-84AF-4E36-B2FE-D983C14B1AD9}"/>
            </c:ext>
          </c:extLst>
        </c:ser>
        <c:ser>
          <c:idx val="1"/>
          <c:order val="1"/>
          <c:tx>
            <c:strRef>
              <c:f>'Fig 31 data'!$D$5</c:f>
              <c:strCache>
                <c:ptCount val="1"/>
                <c:pt idx="0">
                  <c:v>Median income people</c:v>
                </c:pt>
              </c:strCache>
            </c:strRef>
          </c:tx>
          <c:spPr>
            <a:solidFill>
              <a:srgbClr val="67A854"/>
            </a:solidFill>
            <a:ln>
              <a:noFill/>
            </a:ln>
            <a:effectLst/>
          </c:spPr>
          <c:invertIfNegative val="0"/>
          <c:cat>
            <c:numRef>
              <c:f>'Fig 31 data'!$B$7:$B$11</c:f>
              <c:numCache>
                <c:formatCode>General</c:formatCode>
                <c:ptCount val="5"/>
                <c:pt idx="0">
                  <c:v>1950</c:v>
                </c:pt>
                <c:pt idx="1">
                  <c:v>1970</c:v>
                </c:pt>
                <c:pt idx="2">
                  <c:v>2010</c:v>
                </c:pt>
                <c:pt idx="3">
                  <c:v>2040</c:v>
                </c:pt>
                <c:pt idx="4">
                  <c:v>2065</c:v>
                </c:pt>
              </c:numCache>
            </c:numRef>
          </c:cat>
          <c:val>
            <c:numRef>
              <c:f>'Fig 31 data'!$D$7:$D$11</c:f>
              <c:numCache>
                <c:formatCode>0.0</c:formatCode>
                <c:ptCount val="5"/>
                <c:pt idx="0">
                  <c:v>5.0966435238038299</c:v>
                </c:pt>
                <c:pt idx="1">
                  <c:v>7.3359932841204696</c:v>
                </c:pt>
                <c:pt idx="2">
                  <c:v>4.9699906345240601</c:v>
                </c:pt>
                <c:pt idx="3">
                  <c:v>-3.57980105018081</c:v>
                </c:pt>
                <c:pt idx="4">
                  <c:v>-9.5228322193602608</c:v>
                </c:pt>
              </c:numCache>
            </c:numRef>
          </c:val>
          <c:extLst>
            <c:ext xmlns:c16="http://schemas.microsoft.com/office/drawing/2014/chart" uri="{C3380CC4-5D6E-409C-BE32-E72D297353CC}">
              <c16:uniqueId val="{00000001-84AF-4E36-B2FE-D983C14B1AD9}"/>
            </c:ext>
          </c:extLst>
        </c:ser>
        <c:ser>
          <c:idx val="2"/>
          <c:order val="2"/>
          <c:tx>
            <c:strRef>
              <c:f>'Fig 31 data'!$E$5</c:f>
              <c:strCache>
                <c:ptCount val="1"/>
                <c:pt idx="0">
                  <c:v>High income people</c:v>
                </c:pt>
              </c:strCache>
            </c:strRef>
          </c:tx>
          <c:spPr>
            <a:solidFill>
              <a:srgbClr val="3E413A"/>
            </a:solidFill>
            <a:ln>
              <a:noFill/>
            </a:ln>
            <a:effectLst/>
          </c:spPr>
          <c:invertIfNegative val="0"/>
          <c:cat>
            <c:numRef>
              <c:f>'Fig 31 data'!$B$7:$B$11</c:f>
              <c:numCache>
                <c:formatCode>General</c:formatCode>
                <c:ptCount val="5"/>
                <c:pt idx="0">
                  <c:v>1950</c:v>
                </c:pt>
                <c:pt idx="1">
                  <c:v>1970</c:v>
                </c:pt>
                <c:pt idx="2">
                  <c:v>2010</c:v>
                </c:pt>
                <c:pt idx="3">
                  <c:v>2040</c:v>
                </c:pt>
                <c:pt idx="4">
                  <c:v>2065</c:v>
                </c:pt>
              </c:numCache>
            </c:numRef>
          </c:cat>
          <c:val>
            <c:numRef>
              <c:f>'Fig 31 data'!$E$7:$E$11</c:f>
              <c:numCache>
                <c:formatCode>0.0</c:formatCode>
                <c:ptCount val="5"/>
                <c:pt idx="0">
                  <c:v>4.0954823494399699</c:v>
                </c:pt>
                <c:pt idx="1">
                  <c:v>6.7218577242860196</c:v>
                </c:pt>
                <c:pt idx="2">
                  <c:v>7.2353896219700999</c:v>
                </c:pt>
                <c:pt idx="3">
                  <c:v>-4.6175229482915103</c:v>
                </c:pt>
                <c:pt idx="4">
                  <c:v>-12.0179077522545</c:v>
                </c:pt>
              </c:numCache>
            </c:numRef>
          </c:val>
          <c:extLst>
            <c:ext xmlns:c16="http://schemas.microsoft.com/office/drawing/2014/chart" uri="{C3380CC4-5D6E-409C-BE32-E72D297353CC}">
              <c16:uniqueId val="{00000002-84AF-4E36-B2FE-D983C14B1AD9}"/>
            </c:ext>
          </c:extLst>
        </c:ser>
        <c:dLbls>
          <c:showLegendKey val="0"/>
          <c:showVal val="0"/>
          <c:showCatName val="0"/>
          <c:showSerName val="0"/>
          <c:showPercent val="0"/>
          <c:showBubbleSize val="0"/>
        </c:dLbls>
        <c:gapWidth val="219"/>
        <c:overlap val="-27"/>
        <c:axId val="1938815007"/>
        <c:axId val="1938816927"/>
      </c:barChart>
      <c:catAx>
        <c:axId val="1938815007"/>
        <c:scaling>
          <c:orientation val="minMax"/>
        </c:scaling>
        <c:delete val="0"/>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r>
                  <a:rPr lang="en-NZ" b="1"/>
                  <a:t>Birth Year</a:t>
                </a:r>
              </a:p>
            </c:rich>
          </c:tx>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low"/>
        <c:spPr>
          <a:noFill/>
          <a:ln w="9525" cap="flat" cmpd="sng" algn="ctr">
            <a:solidFill>
              <a:sysClr val="window" lastClr="FFFFFF">
                <a:lumMod val="50000"/>
              </a:sys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1938816927"/>
        <c:crosses val="autoZero"/>
        <c:auto val="1"/>
        <c:lblAlgn val="ctr"/>
        <c:lblOffset val="100"/>
        <c:noMultiLvlLbl val="0"/>
      </c:catAx>
      <c:valAx>
        <c:axId val="1938816927"/>
        <c:scaling>
          <c:orientation val="minMax"/>
        </c:scaling>
        <c:delete val="0"/>
        <c:axPos val="l"/>
        <c:majorGridlines>
          <c:spPr>
            <a:ln w="9525" cap="flat" cmpd="sng" algn="ctr">
              <a:solidFill>
                <a:sysClr val="window" lastClr="FFFFFF">
                  <a:lumMod val="50000"/>
                </a:sys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193881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800" baseline="0">
          <a:solidFill>
            <a:sysClr val="windowText" lastClr="000000"/>
          </a:solidFill>
          <a:latin typeface="Arial" panose="020B0604020202020204" pitchFamily="34" charset="0"/>
        </a:defRPr>
      </a:pPr>
      <a:endParaRPr lang="en-US"/>
    </a:p>
  </c:txPr>
  <c:userShapes r:id="rId4"/>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2752192447499794E-2"/>
          <c:y val="0.12291643806096533"/>
          <c:w val="0.90173454323795188"/>
          <c:h val="0.53432902959689155"/>
        </c:manualLayout>
      </c:layout>
      <c:barChart>
        <c:barDir val="col"/>
        <c:grouping val="clustered"/>
        <c:varyColors val="0"/>
        <c:ser>
          <c:idx val="0"/>
          <c:order val="0"/>
          <c:tx>
            <c:strRef>
              <c:f>'Fig 32 data'!$C$5</c:f>
              <c:strCache>
                <c:ptCount val="1"/>
                <c:pt idx="0">
                  <c:v>Low income people</c:v>
                </c:pt>
              </c:strCache>
            </c:strRef>
          </c:tx>
          <c:spPr>
            <a:solidFill>
              <a:srgbClr val="0083AC"/>
            </a:solidFill>
            <a:ln>
              <a:noFill/>
            </a:ln>
            <a:effectLst/>
          </c:spPr>
          <c:invertIfNegative val="0"/>
          <c:cat>
            <c:numRef>
              <c:f>'Fig 32 data'!$B$7:$B$11</c:f>
              <c:numCache>
                <c:formatCode>General</c:formatCode>
                <c:ptCount val="5"/>
                <c:pt idx="0">
                  <c:v>1950</c:v>
                </c:pt>
                <c:pt idx="1">
                  <c:v>1970</c:v>
                </c:pt>
                <c:pt idx="2">
                  <c:v>2010</c:v>
                </c:pt>
                <c:pt idx="3">
                  <c:v>2040</c:v>
                </c:pt>
                <c:pt idx="4">
                  <c:v>2065</c:v>
                </c:pt>
              </c:numCache>
            </c:numRef>
          </c:cat>
          <c:val>
            <c:numRef>
              <c:f>'Fig 32 data'!$C$7:$C$11</c:f>
              <c:numCache>
                <c:formatCode>0.0</c:formatCode>
                <c:ptCount val="5"/>
                <c:pt idx="0">
                  <c:v>0.86905076575556395</c:v>
                </c:pt>
                <c:pt idx="1">
                  <c:v>-1.8150150389366699</c:v>
                </c:pt>
                <c:pt idx="2">
                  <c:v>-0.19155208425776199</c:v>
                </c:pt>
                <c:pt idx="3">
                  <c:v>9.24361342633961E-2</c:v>
                </c:pt>
                <c:pt idx="4">
                  <c:v>0.15729268641067101</c:v>
                </c:pt>
              </c:numCache>
            </c:numRef>
          </c:val>
          <c:extLst>
            <c:ext xmlns:c16="http://schemas.microsoft.com/office/drawing/2014/chart" uri="{C3380CC4-5D6E-409C-BE32-E72D297353CC}">
              <c16:uniqueId val="{00000000-60E6-4AFF-9787-89B001F55664}"/>
            </c:ext>
          </c:extLst>
        </c:ser>
        <c:ser>
          <c:idx val="1"/>
          <c:order val="1"/>
          <c:tx>
            <c:strRef>
              <c:f>'Fig 32 data'!$D$5</c:f>
              <c:strCache>
                <c:ptCount val="1"/>
                <c:pt idx="0">
                  <c:v>Median income people</c:v>
                </c:pt>
              </c:strCache>
            </c:strRef>
          </c:tx>
          <c:spPr>
            <a:solidFill>
              <a:srgbClr val="67A854"/>
            </a:solidFill>
            <a:ln>
              <a:noFill/>
            </a:ln>
            <a:effectLst/>
          </c:spPr>
          <c:invertIfNegative val="0"/>
          <c:cat>
            <c:numRef>
              <c:f>'Fig 32 data'!$B$7:$B$11</c:f>
              <c:numCache>
                <c:formatCode>General</c:formatCode>
                <c:ptCount val="5"/>
                <c:pt idx="0">
                  <c:v>1950</c:v>
                </c:pt>
                <c:pt idx="1">
                  <c:v>1970</c:v>
                </c:pt>
                <c:pt idx="2">
                  <c:v>2010</c:v>
                </c:pt>
                <c:pt idx="3">
                  <c:v>2040</c:v>
                </c:pt>
                <c:pt idx="4">
                  <c:v>2065</c:v>
                </c:pt>
              </c:numCache>
            </c:numRef>
          </c:cat>
          <c:val>
            <c:numRef>
              <c:f>'Fig 32 data'!$D$7:$D$11</c:f>
              <c:numCache>
                <c:formatCode>0.0</c:formatCode>
                <c:ptCount val="5"/>
                <c:pt idx="0">
                  <c:v>0.74028490111095502</c:v>
                </c:pt>
                <c:pt idx="1">
                  <c:v>-1.5318236694421099</c:v>
                </c:pt>
                <c:pt idx="2">
                  <c:v>4.3016270173290599E-2</c:v>
                </c:pt>
                <c:pt idx="3">
                  <c:v>0.32398855983275499</c:v>
                </c:pt>
                <c:pt idx="4">
                  <c:v>0.35034849718982303</c:v>
                </c:pt>
              </c:numCache>
            </c:numRef>
          </c:val>
          <c:extLst>
            <c:ext xmlns:c16="http://schemas.microsoft.com/office/drawing/2014/chart" uri="{C3380CC4-5D6E-409C-BE32-E72D297353CC}">
              <c16:uniqueId val="{00000001-60E6-4AFF-9787-89B001F55664}"/>
            </c:ext>
          </c:extLst>
        </c:ser>
        <c:ser>
          <c:idx val="2"/>
          <c:order val="2"/>
          <c:tx>
            <c:strRef>
              <c:f>'Fig 32 data'!$E$5</c:f>
              <c:strCache>
                <c:ptCount val="1"/>
                <c:pt idx="0">
                  <c:v>High income people</c:v>
                </c:pt>
              </c:strCache>
            </c:strRef>
          </c:tx>
          <c:spPr>
            <a:solidFill>
              <a:srgbClr val="3E413A"/>
            </a:solidFill>
            <a:ln>
              <a:noFill/>
            </a:ln>
            <a:effectLst/>
          </c:spPr>
          <c:invertIfNegative val="0"/>
          <c:cat>
            <c:numRef>
              <c:f>'Fig 32 data'!$B$7:$B$11</c:f>
              <c:numCache>
                <c:formatCode>General</c:formatCode>
                <c:ptCount val="5"/>
                <c:pt idx="0">
                  <c:v>1950</c:v>
                </c:pt>
                <c:pt idx="1">
                  <c:v>1970</c:v>
                </c:pt>
                <c:pt idx="2">
                  <c:v>2010</c:v>
                </c:pt>
                <c:pt idx="3">
                  <c:v>2040</c:v>
                </c:pt>
                <c:pt idx="4">
                  <c:v>2065</c:v>
                </c:pt>
              </c:numCache>
            </c:numRef>
          </c:cat>
          <c:val>
            <c:numRef>
              <c:f>'Fig 32 data'!$E$7:$E$11</c:f>
              <c:numCache>
                <c:formatCode>0.0</c:formatCode>
                <c:ptCount val="5"/>
                <c:pt idx="0">
                  <c:v>0.31507290428831602</c:v>
                </c:pt>
                <c:pt idx="1">
                  <c:v>-0.386505891265709</c:v>
                </c:pt>
                <c:pt idx="2">
                  <c:v>0.92430456818917195</c:v>
                </c:pt>
                <c:pt idx="3">
                  <c:v>1.27080132530899</c:v>
                </c:pt>
                <c:pt idx="4">
                  <c:v>1.3049355557423401</c:v>
                </c:pt>
              </c:numCache>
            </c:numRef>
          </c:val>
          <c:extLst>
            <c:ext xmlns:c16="http://schemas.microsoft.com/office/drawing/2014/chart" uri="{C3380CC4-5D6E-409C-BE32-E72D297353CC}">
              <c16:uniqueId val="{00000002-60E6-4AFF-9787-89B001F55664}"/>
            </c:ext>
          </c:extLst>
        </c:ser>
        <c:dLbls>
          <c:showLegendKey val="0"/>
          <c:showVal val="0"/>
          <c:showCatName val="0"/>
          <c:showSerName val="0"/>
          <c:showPercent val="0"/>
          <c:showBubbleSize val="0"/>
        </c:dLbls>
        <c:gapWidth val="219"/>
        <c:overlap val="-27"/>
        <c:axId val="1938815007"/>
        <c:axId val="1938816927"/>
      </c:barChart>
      <c:catAx>
        <c:axId val="1938815007"/>
        <c:scaling>
          <c:orientation val="minMax"/>
        </c:scaling>
        <c:delete val="0"/>
        <c:axPos val="b"/>
        <c:title>
          <c:tx>
            <c:rich>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r>
                  <a:rPr lang="en-NZ" sz="2800" b="1"/>
                  <a:t>Birth Year</a:t>
                </a:r>
              </a:p>
            </c:rich>
          </c:tx>
          <c:layout>
            <c:manualLayout>
              <c:xMode val="edge"/>
              <c:yMode val="edge"/>
              <c:x val="0.41135512593622769"/>
              <c:y val="0.76146124323602549"/>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low"/>
        <c:spPr>
          <a:noFill/>
          <a:ln w="9525" cap="flat" cmpd="sng" algn="ctr">
            <a:solidFill>
              <a:sysClr val="window" lastClr="FFFFFF">
                <a:lumMod val="50000"/>
              </a:sys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6927"/>
        <c:crosses val="autoZero"/>
        <c:auto val="1"/>
        <c:lblAlgn val="ctr"/>
        <c:lblOffset val="100"/>
        <c:noMultiLvlLbl val="0"/>
      </c:catAx>
      <c:valAx>
        <c:axId val="1938816927"/>
        <c:scaling>
          <c:orientation val="minMax"/>
        </c:scaling>
        <c:delete val="0"/>
        <c:axPos val="l"/>
        <c:majorGridlines>
          <c:spPr>
            <a:ln w="9525" cap="flat" cmpd="sng" algn="ctr">
              <a:solidFill>
                <a:srgbClr val="545454"/>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5007"/>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3600" baseline="0">
          <a:solidFill>
            <a:sysClr val="windowText" lastClr="000000"/>
          </a:solidFill>
          <a:latin typeface="Arial" panose="020B0604020202020204" pitchFamily="34" charset="0"/>
        </a:defRPr>
      </a:pPr>
      <a:endParaRPr lang="en-US"/>
    </a:p>
  </c:txPr>
  <c:userShapes r:id="rId4"/>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4346461519741E-2"/>
          <c:y val="0.1180122673675332"/>
          <c:w val="0.91351921760088073"/>
          <c:h val="0.53361311453715354"/>
        </c:manualLayout>
      </c:layout>
      <c:barChart>
        <c:barDir val="col"/>
        <c:grouping val="clustered"/>
        <c:varyColors val="0"/>
        <c:ser>
          <c:idx val="0"/>
          <c:order val="0"/>
          <c:tx>
            <c:strRef>
              <c:f>'Fig 33 data'!$C$5</c:f>
              <c:strCache>
                <c:ptCount val="1"/>
                <c:pt idx="0">
                  <c:v>Low income people</c:v>
                </c:pt>
              </c:strCache>
            </c:strRef>
          </c:tx>
          <c:spPr>
            <a:solidFill>
              <a:srgbClr val="0083AC"/>
            </a:solidFill>
            <a:ln>
              <a:noFill/>
            </a:ln>
            <a:effectLst/>
          </c:spPr>
          <c:invertIfNegative val="0"/>
          <c:cat>
            <c:numRef>
              <c:f>'Fig 33 data'!$B$7:$B$11</c:f>
              <c:numCache>
                <c:formatCode>General</c:formatCode>
                <c:ptCount val="5"/>
                <c:pt idx="0">
                  <c:v>1950</c:v>
                </c:pt>
                <c:pt idx="1">
                  <c:v>1970</c:v>
                </c:pt>
                <c:pt idx="2">
                  <c:v>2010</c:v>
                </c:pt>
                <c:pt idx="3">
                  <c:v>2040</c:v>
                </c:pt>
                <c:pt idx="4">
                  <c:v>2065</c:v>
                </c:pt>
              </c:numCache>
            </c:numRef>
          </c:cat>
          <c:val>
            <c:numRef>
              <c:f>'Fig 33 data'!$C$7:$C$11</c:f>
              <c:numCache>
                <c:formatCode>0.0</c:formatCode>
                <c:ptCount val="5"/>
                <c:pt idx="0">
                  <c:v>-4.0957507402092004</c:v>
                </c:pt>
                <c:pt idx="1">
                  <c:v>-5.1277069528462196</c:v>
                </c:pt>
                <c:pt idx="2">
                  <c:v>-2.1120617650267399</c:v>
                </c:pt>
                <c:pt idx="3">
                  <c:v>-0.57630366531199495</c:v>
                </c:pt>
                <c:pt idx="4">
                  <c:v>0.57660166946762503</c:v>
                </c:pt>
              </c:numCache>
            </c:numRef>
          </c:val>
          <c:extLst>
            <c:ext xmlns:c16="http://schemas.microsoft.com/office/drawing/2014/chart" uri="{C3380CC4-5D6E-409C-BE32-E72D297353CC}">
              <c16:uniqueId val="{00000000-9422-4AD2-AE94-13632ABBCF10}"/>
            </c:ext>
          </c:extLst>
        </c:ser>
        <c:ser>
          <c:idx val="1"/>
          <c:order val="1"/>
          <c:tx>
            <c:strRef>
              <c:f>'Fig 33 data'!$D$5</c:f>
              <c:strCache>
                <c:ptCount val="1"/>
                <c:pt idx="0">
                  <c:v>Median income people</c:v>
                </c:pt>
              </c:strCache>
            </c:strRef>
          </c:tx>
          <c:spPr>
            <a:solidFill>
              <a:srgbClr val="67A854"/>
            </a:solidFill>
            <a:ln>
              <a:noFill/>
            </a:ln>
            <a:effectLst/>
          </c:spPr>
          <c:invertIfNegative val="0"/>
          <c:cat>
            <c:numRef>
              <c:f>'Fig 33 data'!$B$7:$B$11</c:f>
              <c:numCache>
                <c:formatCode>General</c:formatCode>
                <c:ptCount val="5"/>
                <c:pt idx="0">
                  <c:v>1950</c:v>
                </c:pt>
                <c:pt idx="1">
                  <c:v>1970</c:v>
                </c:pt>
                <c:pt idx="2">
                  <c:v>2010</c:v>
                </c:pt>
                <c:pt idx="3">
                  <c:v>2040</c:v>
                </c:pt>
                <c:pt idx="4">
                  <c:v>2065</c:v>
                </c:pt>
              </c:numCache>
            </c:numRef>
          </c:cat>
          <c:val>
            <c:numRef>
              <c:f>'Fig 33 data'!$D$7:$D$11</c:f>
              <c:numCache>
                <c:formatCode>0.0</c:formatCode>
                <c:ptCount val="5"/>
                <c:pt idx="0">
                  <c:v>-3.5585434729018202</c:v>
                </c:pt>
                <c:pt idx="1">
                  <c:v>-4.6343817761886497</c:v>
                </c:pt>
                <c:pt idx="2">
                  <c:v>-1.5684065149856199</c:v>
                </c:pt>
                <c:pt idx="3">
                  <c:v>0.17964982536451399</c:v>
                </c:pt>
                <c:pt idx="4">
                  <c:v>1.2680120930126799</c:v>
                </c:pt>
              </c:numCache>
            </c:numRef>
          </c:val>
          <c:extLst>
            <c:ext xmlns:c16="http://schemas.microsoft.com/office/drawing/2014/chart" uri="{C3380CC4-5D6E-409C-BE32-E72D297353CC}">
              <c16:uniqueId val="{00000001-9422-4AD2-AE94-13632ABBCF10}"/>
            </c:ext>
          </c:extLst>
        </c:ser>
        <c:ser>
          <c:idx val="2"/>
          <c:order val="2"/>
          <c:tx>
            <c:strRef>
              <c:f>'Fig 33 data'!$E$5</c:f>
              <c:strCache>
                <c:ptCount val="1"/>
                <c:pt idx="0">
                  <c:v>High income people</c:v>
                </c:pt>
              </c:strCache>
            </c:strRef>
          </c:tx>
          <c:spPr>
            <a:solidFill>
              <a:srgbClr val="3E413A"/>
            </a:solidFill>
            <a:ln>
              <a:noFill/>
            </a:ln>
            <a:effectLst/>
          </c:spPr>
          <c:invertIfNegative val="0"/>
          <c:cat>
            <c:numRef>
              <c:f>'Fig 33 data'!$B$7:$B$11</c:f>
              <c:numCache>
                <c:formatCode>General</c:formatCode>
                <c:ptCount val="5"/>
                <c:pt idx="0">
                  <c:v>1950</c:v>
                </c:pt>
                <c:pt idx="1">
                  <c:v>1970</c:v>
                </c:pt>
                <c:pt idx="2">
                  <c:v>2010</c:v>
                </c:pt>
                <c:pt idx="3">
                  <c:v>2040</c:v>
                </c:pt>
                <c:pt idx="4">
                  <c:v>2065</c:v>
                </c:pt>
              </c:numCache>
            </c:numRef>
          </c:cat>
          <c:val>
            <c:numRef>
              <c:f>'Fig 33 data'!$E$7:$E$11</c:f>
              <c:numCache>
                <c:formatCode>0.0</c:formatCode>
                <c:ptCount val="5"/>
                <c:pt idx="0">
                  <c:v>-1.8627797195242199</c:v>
                </c:pt>
                <c:pt idx="1">
                  <c:v>-2.5663267969836099</c:v>
                </c:pt>
                <c:pt idx="2">
                  <c:v>0.77630397331682799</c:v>
                </c:pt>
                <c:pt idx="3">
                  <c:v>3.4283374461111502</c:v>
                </c:pt>
                <c:pt idx="4">
                  <c:v>4.8240881570685596</c:v>
                </c:pt>
              </c:numCache>
            </c:numRef>
          </c:val>
          <c:extLst>
            <c:ext xmlns:c16="http://schemas.microsoft.com/office/drawing/2014/chart" uri="{C3380CC4-5D6E-409C-BE32-E72D297353CC}">
              <c16:uniqueId val="{00000002-9422-4AD2-AE94-13632ABBCF10}"/>
            </c:ext>
          </c:extLst>
        </c:ser>
        <c:dLbls>
          <c:showLegendKey val="0"/>
          <c:showVal val="0"/>
          <c:showCatName val="0"/>
          <c:showSerName val="0"/>
          <c:showPercent val="0"/>
          <c:showBubbleSize val="0"/>
        </c:dLbls>
        <c:gapWidth val="219"/>
        <c:overlap val="-27"/>
        <c:axId val="1938815007"/>
        <c:axId val="1938816927"/>
      </c:barChart>
      <c:catAx>
        <c:axId val="1938815007"/>
        <c:scaling>
          <c:orientation val="minMax"/>
        </c:scaling>
        <c:delete val="0"/>
        <c:axPos val="b"/>
        <c:title>
          <c:tx>
            <c:rich>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r>
                  <a:rPr lang="en-NZ" sz="2800" b="1"/>
                  <a:t>Birth Year</a:t>
                </a:r>
              </a:p>
            </c:rich>
          </c:tx>
          <c:layout>
            <c:manualLayout>
              <c:xMode val="edge"/>
              <c:yMode val="edge"/>
              <c:x val="0.41639788015554147"/>
              <c:y val="0.76214351882485276"/>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low"/>
        <c:spPr>
          <a:noFill/>
          <a:ln w="9525" cap="flat" cmpd="sng" algn="ctr">
            <a:solidFill>
              <a:sysClr val="window" lastClr="FFFFFF">
                <a:lumMod val="50000"/>
              </a:sys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6927"/>
        <c:crosses val="autoZero"/>
        <c:auto val="1"/>
        <c:lblAlgn val="ctr"/>
        <c:lblOffset val="100"/>
        <c:noMultiLvlLbl val="0"/>
      </c:catAx>
      <c:valAx>
        <c:axId val="1938816927"/>
        <c:scaling>
          <c:orientation val="minMax"/>
          <c:max val="6"/>
          <c:min val="-6"/>
        </c:scaling>
        <c:delete val="0"/>
        <c:axPos val="l"/>
        <c:majorGridlines>
          <c:spPr>
            <a:ln w="9525" cap="flat" cmpd="sng" algn="ctr">
              <a:solidFill>
                <a:sysClr val="window" lastClr="FFFFFF">
                  <a:lumMod val="50000"/>
                </a:sys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5007"/>
        <c:crosses val="autoZero"/>
        <c:crossBetween val="between"/>
      </c:valAx>
      <c:spPr>
        <a:noFill/>
        <a:ln>
          <a:noFill/>
        </a:ln>
        <a:effectLst/>
      </c:spPr>
    </c:plotArea>
    <c:legend>
      <c:legendPos val="b"/>
      <c:layout>
        <c:manualLayout>
          <c:xMode val="edge"/>
          <c:yMode val="edge"/>
          <c:x val="6.5580641339121254E-2"/>
          <c:y val="0.8479439886190695"/>
          <c:w val="0.8688171737539222"/>
          <c:h val="0.12685831646608858"/>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3600" baseline="0">
          <a:solidFill>
            <a:sysClr val="windowText" lastClr="000000"/>
          </a:solidFill>
          <a:latin typeface="Arial" panose="020B0604020202020204" pitchFamily="34" charset="0"/>
        </a:defRPr>
      </a:pPr>
      <a:endParaRPr lang="en-US"/>
    </a:p>
  </c:txPr>
  <c:userShapes r:id="rId4"/>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77948446560761E-2"/>
          <c:y val="0.11865329978833866"/>
          <c:w val="0.9093520032647795"/>
          <c:h val="0.55647629485574368"/>
        </c:manualLayout>
      </c:layout>
      <c:barChart>
        <c:barDir val="col"/>
        <c:grouping val="clustered"/>
        <c:varyColors val="0"/>
        <c:ser>
          <c:idx val="0"/>
          <c:order val="0"/>
          <c:tx>
            <c:strRef>
              <c:f>'Fig 34 data'!$C$5</c:f>
              <c:strCache>
                <c:ptCount val="1"/>
                <c:pt idx="0">
                  <c:v>Low income people</c:v>
                </c:pt>
              </c:strCache>
            </c:strRef>
          </c:tx>
          <c:spPr>
            <a:solidFill>
              <a:srgbClr val="0083AC"/>
            </a:solidFill>
            <a:ln>
              <a:noFill/>
            </a:ln>
            <a:effectLst/>
          </c:spPr>
          <c:invertIfNegative val="0"/>
          <c:cat>
            <c:numRef>
              <c:f>'Fig 34 data'!$B$7:$B$11</c:f>
              <c:numCache>
                <c:formatCode>General</c:formatCode>
                <c:ptCount val="5"/>
                <c:pt idx="0">
                  <c:v>1950</c:v>
                </c:pt>
                <c:pt idx="1">
                  <c:v>1960</c:v>
                </c:pt>
                <c:pt idx="2">
                  <c:v>1970</c:v>
                </c:pt>
                <c:pt idx="3">
                  <c:v>2010</c:v>
                </c:pt>
                <c:pt idx="4">
                  <c:v>2065</c:v>
                </c:pt>
              </c:numCache>
            </c:numRef>
          </c:cat>
          <c:val>
            <c:numRef>
              <c:f>'Fig 34 data'!$C$7:$C$11</c:f>
              <c:numCache>
                <c:formatCode>0.0</c:formatCode>
                <c:ptCount val="5"/>
                <c:pt idx="0">
                  <c:v>1.7946290726463101</c:v>
                </c:pt>
                <c:pt idx="1">
                  <c:v>-5.7909302374923097</c:v>
                </c:pt>
                <c:pt idx="2">
                  <c:v>-2.8934923184282999</c:v>
                </c:pt>
                <c:pt idx="3">
                  <c:v>-4.3249194363792501E-2</c:v>
                </c:pt>
                <c:pt idx="4">
                  <c:v>0.158148189729856</c:v>
                </c:pt>
              </c:numCache>
            </c:numRef>
          </c:val>
          <c:extLst>
            <c:ext xmlns:c16="http://schemas.microsoft.com/office/drawing/2014/chart" uri="{C3380CC4-5D6E-409C-BE32-E72D297353CC}">
              <c16:uniqueId val="{00000000-1291-4549-9321-08F790C9535B}"/>
            </c:ext>
          </c:extLst>
        </c:ser>
        <c:ser>
          <c:idx val="1"/>
          <c:order val="1"/>
          <c:tx>
            <c:strRef>
              <c:f>'Fig 34 data'!$D$5</c:f>
              <c:strCache>
                <c:ptCount val="1"/>
                <c:pt idx="0">
                  <c:v>Median income people</c:v>
                </c:pt>
              </c:strCache>
            </c:strRef>
          </c:tx>
          <c:spPr>
            <a:solidFill>
              <a:srgbClr val="67A854"/>
            </a:solidFill>
            <a:ln>
              <a:noFill/>
            </a:ln>
            <a:effectLst/>
          </c:spPr>
          <c:invertIfNegative val="0"/>
          <c:cat>
            <c:numRef>
              <c:f>'Fig 34 data'!$B$7:$B$11</c:f>
              <c:numCache>
                <c:formatCode>General</c:formatCode>
                <c:ptCount val="5"/>
                <c:pt idx="0">
                  <c:v>1950</c:v>
                </c:pt>
                <c:pt idx="1">
                  <c:v>1960</c:v>
                </c:pt>
                <c:pt idx="2">
                  <c:v>1970</c:v>
                </c:pt>
                <c:pt idx="3">
                  <c:v>2010</c:v>
                </c:pt>
                <c:pt idx="4">
                  <c:v>2065</c:v>
                </c:pt>
              </c:numCache>
            </c:numRef>
          </c:cat>
          <c:val>
            <c:numRef>
              <c:f>'Fig 34 data'!$D$7:$D$11</c:f>
              <c:numCache>
                <c:formatCode>0.0</c:formatCode>
                <c:ptCount val="5"/>
                <c:pt idx="0">
                  <c:v>1.51344867035395</c:v>
                </c:pt>
                <c:pt idx="1">
                  <c:v>-4.7904401514260204</c:v>
                </c:pt>
                <c:pt idx="2">
                  <c:v>-2.4149961199802799</c:v>
                </c:pt>
                <c:pt idx="3">
                  <c:v>0.17515493459161499</c:v>
                </c:pt>
                <c:pt idx="4">
                  <c:v>0.35101464168052499</c:v>
                </c:pt>
              </c:numCache>
            </c:numRef>
          </c:val>
          <c:extLst>
            <c:ext xmlns:c16="http://schemas.microsoft.com/office/drawing/2014/chart" uri="{C3380CC4-5D6E-409C-BE32-E72D297353CC}">
              <c16:uniqueId val="{00000001-1291-4549-9321-08F790C9535B}"/>
            </c:ext>
          </c:extLst>
        </c:ser>
        <c:ser>
          <c:idx val="2"/>
          <c:order val="2"/>
          <c:tx>
            <c:strRef>
              <c:f>'Fig 34 data'!$E$5</c:f>
              <c:strCache>
                <c:ptCount val="1"/>
                <c:pt idx="0">
                  <c:v>High income people</c:v>
                </c:pt>
              </c:strCache>
            </c:strRef>
          </c:tx>
          <c:spPr>
            <a:solidFill>
              <a:srgbClr val="3E413A"/>
            </a:solidFill>
            <a:ln>
              <a:noFill/>
            </a:ln>
            <a:effectLst/>
          </c:spPr>
          <c:invertIfNegative val="0"/>
          <c:cat>
            <c:numRef>
              <c:f>'Fig 34 data'!$B$7:$B$11</c:f>
              <c:numCache>
                <c:formatCode>General</c:formatCode>
                <c:ptCount val="5"/>
                <c:pt idx="0">
                  <c:v>1950</c:v>
                </c:pt>
                <c:pt idx="1">
                  <c:v>1960</c:v>
                </c:pt>
                <c:pt idx="2">
                  <c:v>1970</c:v>
                </c:pt>
                <c:pt idx="3">
                  <c:v>2010</c:v>
                </c:pt>
                <c:pt idx="4">
                  <c:v>2065</c:v>
                </c:pt>
              </c:numCache>
            </c:numRef>
          </c:cat>
          <c:val>
            <c:numRef>
              <c:f>'Fig 34 data'!$E$7:$E$11</c:f>
              <c:numCache>
                <c:formatCode>0.0</c:formatCode>
                <c:ptCount val="5"/>
                <c:pt idx="0">
                  <c:v>0.67254217277399297</c:v>
                </c:pt>
                <c:pt idx="1">
                  <c:v>-1.3450599083103001</c:v>
                </c:pt>
                <c:pt idx="2">
                  <c:v>-0.359696494061501</c:v>
                </c:pt>
                <c:pt idx="3">
                  <c:v>1.1120501422396101</c:v>
                </c:pt>
                <c:pt idx="4">
                  <c:v>1.3060321210792001</c:v>
                </c:pt>
              </c:numCache>
            </c:numRef>
          </c:val>
          <c:extLst>
            <c:ext xmlns:c16="http://schemas.microsoft.com/office/drawing/2014/chart" uri="{C3380CC4-5D6E-409C-BE32-E72D297353CC}">
              <c16:uniqueId val="{00000002-1291-4549-9321-08F790C9535B}"/>
            </c:ext>
          </c:extLst>
        </c:ser>
        <c:dLbls>
          <c:showLegendKey val="0"/>
          <c:showVal val="0"/>
          <c:showCatName val="0"/>
          <c:showSerName val="0"/>
          <c:showPercent val="0"/>
          <c:showBubbleSize val="0"/>
        </c:dLbls>
        <c:gapWidth val="219"/>
        <c:overlap val="-27"/>
        <c:axId val="1938815007"/>
        <c:axId val="1938816927"/>
      </c:barChart>
      <c:catAx>
        <c:axId val="1938815007"/>
        <c:scaling>
          <c:orientation val="minMax"/>
        </c:scaling>
        <c:delete val="0"/>
        <c:axPos val="b"/>
        <c:title>
          <c:tx>
            <c:rich>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r>
                  <a:rPr lang="en-NZ" sz="2800" b="1"/>
                  <a:t>Birth Year</a:t>
                </a:r>
              </a:p>
            </c:rich>
          </c:tx>
          <c:layout>
            <c:manualLayout>
              <c:xMode val="edge"/>
              <c:yMode val="edge"/>
              <c:x val="0.4081655865922269"/>
              <c:y val="0.77375191202503457"/>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low"/>
        <c:spPr>
          <a:noFill/>
          <a:ln w="9525" cap="flat" cmpd="sng" algn="ctr">
            <a:solidFill>
              <a:sysClr val="window" lastClr="FFFFFF">
                <a:lumMod val="50000"/>
              </a:sys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6927"/>
        <c:crosses val="autoZero"/>
        <c:auto val="1"/>
        <c:lblAlgn val="ctr"/>
        <c:lblOffset val="100"/>
        <c:noMultiLvlLbl val="0"/>
      </c:catAx>
      <c:valAx>
        <c:axId val="1938816927"/>
        <c:scaling>
          <c:orientation val="minMax"/>
          <c:max val="2"/>
          <c:min val="-6"/>
        </c:scaling>
        <c:delete val="0"/>
        <c:axPos val="l"/>
        <c:majorGridlines>
          <c:spPr>
            <a:ln w="9525" cap="flat" cmpd="sng" algn="ctr">
              <a:solidFill>
                <a:sysClr val="window" lastClr="FFFFFF">
                  <a:lumMod val="50000"/>
                </a:sys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5007"/>
        <c:crosses val="autoZero"/>
        <c:crossBetween val="between"/>
        <c:majorUnit val="2"/>
      </c:valAx>
      <c:spPr>
        <a:noFill/>
        <a:ln>
          <a:noFill/>
        </a:ln>
        <a:effectLst/>
      </c:spPr>
    </c:plotArea>
    <c:legend>
      <c:legendPos val="b"/>
      <c:layout>
        <c:manualLayout>
          <c:xMode val="edge"/>
          <c:yMode val="edge"/>
          <c:x val="4.9209620528753314E-2"/>
          <c:y val="0.85012979295264279"/>
          <c:w val="0.8959933617981426"/>
          <c:h val="0.14287602938668453"/>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800" baseline="0">
          <a:solidFill>
            <a:sysClr val="windowText" lastClr="000000"/>
          </a:solidFill>
          <a:latin typeface="Arial" panose="020B0604020202020204" pitchFamily="34" charset="0"/>
        </a:defRPr>
      </a:pPr>
      <a:endParaRPr lang="en-US"/>
    </a:p>
  </c:txPr>
  <c:userShapes r:id="rId4"/>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7558423512047166E-2"/>
          <c:y val="0.14523639702431393"/>
          <c:w val="0.90413863175649134"/>
          <c:h val="0.52499679401161026"/>
        </c:manualLayout>
      </c:layout>
      <c:barChart>
        <c:barDir val="col"/>
        <c:grouping val="clustered"/>
        <c:varyColors val="0"/>
        <c:ser>
          <c:idx val="0"/>
          <c:order val="0"/>
          <c:tx>
            <c:strRef>
              <c:f>'Fig 35 data'!$C$5</c:f>
              <c:strCache>
                <c:ptCount val="1"/>
                <c:pt idx="0">
                  <c:v>Low income people</c:v>
                </c:pt>
              </c:strCache>
            </c:strRef>
          </c:tx>
          <c:spPr>
            <a:solidFill>
              <a:srgbClr val="0083AC"/>
            </a:solidFill>
            <a:ln>
              <a:noFill/>
            </a:ln>
            <a:effectLst/>
          </c:spPr>
          <c:invertIfNegative val="0"/>
          <c:cat>
            <c:numRef>
              <c:f>'Fig 35 data'!$B$7:$B$11</c:f>
              <c:numCache>
                <c:formatCode>General</c:formatCode>
                <c:ptCount val="5"/>
                <c:pt idx="0">
                  <c:v>1950</c:v>
                </c:pt>
                <c:pt idx="1">
                  <c:v>1970</c:v>
                </c:pt>
                <c:pt idx="2">
                  <c:v>1980</c:v>
                </c:pt>
                <c:pt idx="3">
                  <c:v>2010</c:v>
                </c:pt>
                <c:pt idx="4">
                  <c:v>2065</c:v>
                </c:pt>
              </c:numCache>
            </c:numRef>
          </c:cat>
          <c:val>
            <c:numRef>
              <c:f>'Fig 35 data'!$C$7:$C$11</c:f>
              <c:numCache>
                <c:formatCode>0.0</c:formatCode>
                <c:ptCount val="5"/>
                <c:pt idx="0">
                  <c:v>4.2081756636802602E-2</c:v>
                </c:pt>
                <c:pt idx="1">
                  <c:v>0.58833986161976903</c:v>
                </c:pt>
                <c:pt idx="2">
                  <c:v>-2.0955847791443798</c:v>
                </c:pt>
                <c:pt idx="3">
                  <c:v>-0.47576186827539302</c:v>
                </c:pt>
                <c:pt idx="4">
                  <c:v>0.153362737315965</c:v>
                </c:pt>
              </c:numCache>
            </c:numRef>
          </c:val>
          <c:extLst>
            <c:ext xmlns:c16="http://schemas.microsoft.com/office/drawing/2014/chart" uri="{C3380CC4-5D6E-409C-BE32-E72D297353CC}">
              <c16:uniqueId val="{00000000-2972-4E7E-B1B0-8B8C08727056}"/>
            </c:ext>
          </c:extLst>
        </c:ser>
        <c:ser>
          <c:idx val="1"/>
          <c:order val="1"/>
          <c:tx>
            <c:strRef>
              <c:f>'Fig 35 data'!$D$5</c:f>
              <c:strCache>
                <c:ptCount val="1"/>
                <c:pt idx="0">
                  <c:v>Median income people</c:v>
                </c:pt>
              </c:strCache>
            </c:strRef>
          </c:tx>
          <c:spPr>
            <a:solidFill>
              <a:srgbClr val="67A854"/>
            </a:solidFill>
            <a:ln>
              <a:noFill/>
            </a:ln>
            <a:effectLst/>
          </c:spPr>
          <c:invertIfNegative val="0"/>
          <c:cat>
            <c:numRef>
              <c:f>'Fig 35 data'!$B$7:$B$11</c:f>
              <c:numCache>
                <c:formatCode>General</c:formatCode>
                <c:ptCount val="5"/>
                <c:pt idx="0">
                  <c:v>1950</c:v>
                </c:pt>
                <c:pt idx="1">
                  <c:v>1970</c:v>
                </c:pt>
                <c:pt idx="2">
                  <c:v>1980</c:v>
                </c:pt>
                <c:pt idx="3">
                  <c:v>2010</c:v>
                </c:pt>
                <c:pt idx="4">
                  <c:v>2065</c:v>
                </c:pt>
              </c:numCache>
            </c:numRef>
          </c:cat>
          <c:val>
            <c:numRef>
              <c:f>'Fig 35 data'!$D$7:$D$11</c:f>
              <c:numCache>
                <c:formatCode>0.0</c:formatCode>
                <c:ptCount val="5"/>
                <c:pt idx="0">
                  <c:v>3.3567687903679498E-2</c:v>
                </c:pt>
                <c:pt idx="1">
                  <c:v>0.47473368203625499</c:v>
                </c:pt>
                <c:pt idx="2">
                  <c:v>-1.7883470747218899</c:v>
                </c:pt>
                <c:pt idx="3">
                  <c:v>-0.25287289592388401</c:v>
                </c:pt>
                <c:pt idx="4">
                  <c:v>0.34639822522206698</c:v>
                </c:pt>
              </c:numCache>
            </c:numRef>
          </c:val>
          <c:extLst>
            <c:ext xmlns:c16="http://schemas.microsoft.com/office/drawing/2014/chart" uri="{C3380CC4-5D6E-409C-BE32-E72D297353CC}">
              <c16:uniqueId val="{00000001-2972-4E7E-B1B0-8B8C08727056}"/>
            </c:ext>
          </c:extLst>
        </c:ser>
        <c:ser>
          <c:idx val="2"/>
          <c:order val="2"/>
          <c:tx>
            <c:strRef>
              <c:f>'Fig 35 data'!$E$5</c:f>
              <c:strCache>
                <c:ptCount val="1"/>
                <c:pt idx="0">
                  <c:v>High income people</c:v>
                </c:pt>
              </c:strCache>
            </c:strRef>
          </c:tx>
          <c:spPr>
            <a:solidFill>
              <a:srgbClr val="3E413A"/>
            </a:solidFill>
            <a:ln>
              <a:noFill/>
            </a:ln>
            <a:effectLst/>
          </c:spPr>
          <c:invertIfNegative val="0"/>
          <c:cat>
            <c:numRef>
              <c:f>'Fig 35 data'!$B$7:$B$11</c:f>
              <c:numCache>
                <c:formatCode>General</c:formatCode>
                <c:ptCount val="5"/>
                <c:pt idx="0">
                  <c:v>1950</c:v>
                </c:pt>
                <c:pt idx="1">
                  <c:v>1970</c:v>
                </c:pt>
                <c:pt idx="2">
                  <c:v>1980</c:v>
                </c:pt>
                <c:pt idx="3">
                  <c:v>2010</c:v>
                </c:pt>
                <c:pt idx="4">
                  <c:v>2065</c:v>
                </c:pt>
              </c:numCache>
            </c:numRef>
          </c:cat>
          <c:val>
            <c:numRef>
              <c:f>'Fig 35 data'!$E$7:$E$11</c:f>
              <c:numCache>
                <c:formatCode>0.0</c:formatCode>
                <c:ptCount val="5"/>
                <c:pt idx="0">
                  <c:v>-1.3168240819017E-2</c:v>
                </c:pt>
                <c:pt idx="1">
                  <c:v>0.13221369814324599</c:v>
                </c:pt>
                <c:pt idx="2">
                  <c:v>-0.53973658515771294</c:v>
                </c:pt>
                <c:pt idx="3">
                  <c:v>0.59999696124959401</c:v>
                </c:pt>
                <c:pt idx="4">
                  <c:v>1.2999813242792599</c:v>
                </c:pt>
              </c:numCache>
            </c:numRef>
          </c:val>
          <c:extLst>
            <c:ext xmlns:c16="http://schemas.microsoft.com/office/drawing/2014/chart" uri="{C3380CC4-5D6E-409C-BE32-E72D297353CC}">
              <c16:uniqueId val="{00000002-2972-4E7E-B1B0-8B8C08727056}"/>
            </c:ext>
          </c:extLst>
        </c:ser>
        <c:dLbls>
          <c:showLegendKey val="0"/>
          <c:showVal val="0"/>
          <c:showCatName val="0"/>
          <c:showSerName val="0"/>
          <c:showPercent val="0"/>
          <c:showBubbleSize val="0"/>
        </c:dLbls>
        <c:gapWidth val="219"/>
        <c:overlap val="-27"/>
        <c:axId val="1938815007"/>
        <c:axId val="1938816927"/>
      </c:barChart>
      <c:catAx>
        <c:axId val="1938815007"/>
        <c:scaling>
          <c:orientation val="minMax"/>
        </c:scaling>
        <c:delete val="0"/>
        <c:axPos val="b"/>
        <c:title>
          <c:tx>
            <c:rich>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r>
                  <a:rPr lang="en-NZ" sz="2800" b="1"/>
                  <a:t>Birth Year</a:t>
                </a:r>
              </a:p>
            </c:rich>
          </c:tx>
          <c:layout>
            <c:manualLayout>
              <c:xMode val="edge"/>
              <c:yMode val="edge"/>
              <c:x val="0.41463172119552205"/>
              <c:y val="0.77610880926286063"/>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low"/>
        <c:spPr>
          <a:noFill/>
          <a:ln w="9525" cap="flat" cmpd="sng" algn="ctr">
            <a:solidFill>
              <a:sysClr val="window" lastClr="FFFFFF">
                <a:lumMod val="50000"/>
              </a:sysClr>
            </a:solidFill>
            <a:round/>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6927"/>
        <c:crosses val="autoZero"/>
        <c:auto val="1"/>
        <c:lblAlgn val="ctr"/>
        <c:lblOffset val="100"/>
        <c:noMultiLvlLbl val="0"/>
      </c:catAx>
      <c:valAx>
        <c:axId val="1938816927"/>
        <c:scaling>
          <c:orientation val="minMax"/>
          <c:max val="2"/>
          <c:min val="-3"/>
        </c:scaling>
        <c:delete val="0"/>
        <c:axPos val="l"/>
        <c:majorGridlines>
          <c:spPr>
            <a:ln w="9525" cap="flat" cmpd="sng" algn="ctr">
              <a:solidFill>
                <a:srgbClr val="545454"/>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crossAx val="1938815007"/>
        <c:crosses val="autoZero"/>
        <c:crossBetween val="between"/>
        <c:majorUnit val="1"/>
      </c:valAx>
      <c:spPr>
        <a:noFill/>
        <a:ln>
          <a:noFill/>
        </a:ln>
        <a:effectLst/>
      </c:spPr>
    </c:plotArea>
    <c:legend>
      <c:legendPos val="b"/>
      <c:layout>
        <c:manualLayout>
          <c:xMode val="edge"/>
          <c:yMode val="edge"/>
          <c:x val="6.6958051101069019E-2"/>
          <c:y val="0.85635155877138591"/>
          <c:w val="0.8742837256660424"/>
          <c:h val="0.13105584765671996"/>
        </c:manualLayout>
      </c:layout>
      <c:overlay val="0"/>
      <c:spPr>
        <a:noFill/>
        <a:ln>
          <a:noFill/>
        </a:ln>
        <a:effectLst/>
      </c:spPr>
      <c:txPr>
        <a:bodyPr rot="0" spcFirstLastPara="1" vertOverflow="ellipsis" vert="horz" wrap="square" anchor="ctr" anchorCtr="1"/>
        <a:lstStyle/>
        <a:p>
          <a:pPr>
            <a:defRPr sz="2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800" baseline="0">
          <a:solidFill>
            <a:sysClr val="windowText" lastClr="000000"/>
          </a:solidFill>
          <a:latin typeface="Arial" panose="020B0604020202020204" pitchFamily="34" charset="0"/>
        </a:defRPr>
      </a:pPr>
      <a:endParaRPr lang="en-US"/>
    </a:p>
  </c:txPr>
  <c:userShapes r:id="rId4"/>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302439819695348E-2"/>
          <c:y val="9.858975422121169E-2"/>
          <c:w val="0.92430963082071249"/>
          <c:h val="0.610976973466552"/>
        </c:manualLayout>
      </c:layout>
      <c:lineChart>
        <c:grouping val="standard"/>
        <c:varyColors val="0"/>
        <c:ser>
          <c:idx val="0"/>
          <c:order val="0"/>
          <c:tx>
            <c:strRef>
              <c:f>'Fig 36 data'!$C$5</c:f>
              <c:strCache>
                <c:ptCount val="1"/>
                <c:pt idx="0">
                  <c:v>Net NZS expenditure</c:v>
                </c:pt>
              </c:strCache>
            </c:strRef>
          </c:tx>
          <c:spPr>
            <a:ln w="38100" cap="rnd">
              <a:solidFill>
                <a:srgbClr val="0083AC"/>
              </a:solidFill>
              <a:round/>
            </a:ln>
            <a:effectLst/>
          </c:spPr>
          <c:marker>
            <c:symbol val="none"/>
          </c:marker>
          <c:cat>
            <c:numRef>
              <c:f>'Fig 36 data'!$B$7:$B$70</c:f>
              <c:numCache>
                <c:formatCode>General</c:formatCode>
                <c:ptCount val="6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pt idx="25">
                  <c:v>2027</c:v>
                </c:pt>
                <c:pt idx="26">
                  <c:v>2028</c:v>
                </c:pt>
                <c:pt idx="27">
                  <c:v>2029</c:v>
                </c:pt>
                <c:pt idx="28">
                  <c:v>2030</c:v>
                </c:pt>
                <c:pt idx="29">
                  <c:v>2031</c:v>
                </c:pt>
                <c:pt idx="30">
                  <c:v>2032</c:v>
                </c:pt>
                <c:pt idx="31">
                  <c:v>2033</c:v>
                </c:pt>
                <c:pt idx="32">
                  <c:v>2034</c:v>
                </c:pt>
                <c:pt idx="33">
                  <c:v>2035</c:v>
                </c:pt>
                <c:pt idx="34">
                  <c:v>2036</c:v>
                </c:pt>
                <c:pt idx="35">
                  <c:v>2037</c:v>
                </c:pt>
                <c:pt idx="36">
                  <c:v>2038</c:v>
                </c:pt>
                <c:pt idx="37">
                  <c:v>2039</c:v>
                </c:pt>
                <c:pt idx="38">
                  <c:v>2040</c:v>
                </c:pt>
                <c:pt idx="39">
                  <c:v>2041</c:v>
                </c:pt>
                <c:pt idx="40">
                  <c:v>2042</c:v>
                </c:pt>
                <c:pt idx="41">
                  <c:v>2043</c:v>
                </c:pt>
                <c:pt idx="42">
                  <c:v>2044</c:v>
                </c:pt>
                <c:pt idx="43">
                  <c:v>2045</c:v>
                </c:pt>
                <c:pt idx="44">
                  <c:v>2046</c:v>
                </c:pt>
                <c:pt idx="45">
                  <c:v>2047</c:v>
                </c:pt>
                <c:pt idx="46">
                  <c:v>2048</c:v>
                </c:pt>
                <c:pt idx="47">
                  <c:v>2049</c:v>
                </c:pt>
                <c:pt idx="48">
                  <c:v>2050</c:v>
                </c:pt>
                <c:pt idx="49">
                  <c:v>2051</c:v>
                </c:pt>
                <c:pt idx="50">
                  <c:v>2052</c:v>
                </c:pt>
                <c:pt idx="51">
                  <c:v>2053</c:v>
                </c:pt>
                <c:pt idx="52">
                  <c:v>2054</c:v>
                </c:pt>
                <c:pt idx="53">
                  <c:v>2055</c:v>
                </c:pt>
                <c:pt idx="54">
                  <c:v>2056</c:v>
                </c:pt>
                <c:pt idx="55">
                  <c:v>2057</c:v>
                </c:pt>
                <c:pt idx="56">
                  <c:v>2058</c:v>
                </c:pt>
                <c:pt idx="57">
                  <c:v>2059</c:v>
                </c:pt>
                <c:pt idx="58">
                  <c:v>2060</c:v>
                </c:pt>
                <c:pt idx="59">
                  <c:v>2061</c:v>
                </c:pt>
                <c:pt idx="60">
                  <c:v>2062</c:v>
                </c:pt>
                <c:pt idx="61">
                  <c:v>2063</c:v>
                </c:pt>
                <c:pt idx="62">
                  <c:v>2064</c:v>
                </c:pt>
                <c:pt idx="63">
                  <c:v>2065</c:v>
                </c:pt>
              </c:numCache>
            </c:numRef>
          </c:cat>
          <c:val>
            <c:numRef>
              <c:f>'Fig 36 data'!$C$7:$C$70</c:f>
              <c:numCache>
                <c:formatCode>0.0</c:formatCode>
                <c:ptCount val="64"/>
                <c:pt idx="0">
                  <c:v>3.4569535404529748</c:v>
                </c:pt>
                <c:pt idx="1">
                  <c:v>3.3844449626865671</c:v>
                </c:pt>
                <c:pt idx="2">
                  <c:v>3.2777886954577182</c:v>
                </c:pt>
                <c:pt idx="3">
                  <c:v>3.1783687264842801</c:v>
                </c:pt>
                <c:pt idx="4">
                  <c:v>3.1856157803208114</c:v>
                </c:pt>
                <c:pt idx="5">
                  <c:v>3.1603017740344312</c:v>
                </c:pt>
                <c:pt idx="6">
                  <c:v>3.1583684057280501</c:v>
                </c:pt>
                <c:pt idx="7">
                  <c:v>3.4003392437603379</c:v>
                </c:pt>
                <c:pt idx="8">
                  <c:v>3.5281956696883245</c:v>
                </c:pt>
                <c:pt idx="9">
                  <c:v>3.6686430727129813</c:v>
                </c:pt>
                <c:pt idx="10">
                  <c:v>3.8281202804871812</c:v>
                </c:pt>
                <c:pt idx="11">
                  <c:v>4.0035039213807639</c:v>
                </c:pt>
                <c:pt idx="12">
                  <c:v>3.9371274535859375</c:v>
                </c:pt>
                <c:pt idx="13">
                  <c:v>4.0216047374243509</c:v>
                </c:pt>
                <c:pt idx="14">
                  <c:v>4.0323795326131879</c:v>
                </c:pt>
                <c:pt idx="15">
                  <c:v>4.0195595122446326</c:v>
                </c:pt>
                <c:pt idx="16">
                  <c:v>3.9297944337208475</c:v>
                </c:pt>
                <c:pt idx="17">
                  <c:v>3.971827175761323</c:v>
                </c:pt>
                <c:pt idx="18">
                  <c:v>4.1293198711712646</c:v>
                </c:pt>
                <c:pt idx="19">
                  <c:v>4.0705547288383865</c:v>
                </c:pt>
                <c:pt idx="20">
                  <c:v>4.0840433560467684</c:v>
                </c:pt>
                <c:pt idx="21">
                  <c:v>4.0667717602173585</c:v>
                </c:pt>
                <c:pt idx="22">
                  <c:v>4.2712934653917296</c:v>
                </c:pt>
                <c:pt idx="23">
                  <c:v>4.4391793137047619</c:v>
                </c:pt>
                <c:pt idx="24">
                  <c:v>4.5002453643660845</c:v>
                </c:pt>
                <c:pt idx="25">
                  <c:v>4.5394227347887055</c:v>
                </c:pt>
                <c:pt idx="26">
                  <c:v>4.573478734831272</c:v>
                </c:pt>
                <c:pt idx="27">
                  <c:v>4.5819484776445183</c:v>
                </c:pt>
                <c:pt idx="28">
                  <c:v>4.602052261975409</c:v>
                </c:pt>
                <c:pt idx="29">
                  <c:v>4.6458576686668405</c:v>
                </c:pt>
                <c:pt idx="30">
                  <c:v>4.6949968915494038</c:v>
                </c:pt>
                <c:pt idx="31">
                  <c:v>4.7507172023188913</c:v>
                </c:pt>
                <c:pt idx="32">
                  <c:v>4.8085580582576428</c:v>
                </c:pt>
                <c:pt idx="33">
                  <c:v>4.8623868114536961</c:v>
                </c:pt>
                <c:pt idx="34">
                  <c:v>4.9225065094901908</c:v>
                </c:pt>
                <c:pt idx="35">
                  <c:v>4.9761544711697976</c:v>
                </c:pt>
                <c:pt idx="36">
                  <c:v>5.0200793243985995</c:v>
                </c:pt>
                <c:pt idx="37">
                  <c:v>5.0551494326410369</c:v>
                </c:pt>
                <c:pt idx="38">
                  <c:v>5.0791500168503578</c:v>
                </c:pt>
                <c:pt idx="39">
                  <c:v>5.0954656493474939</c:v>
                </c:pt>
                <c:pt idx="40">
                  <c:v>5.1119882507953696</c:v>
                </c:pt>
                <c:pt idx="41">
                  <c:v>5.1247564721573937</c:v>
                </c:pt>
                <c:pt idx="42">
                  <c:v>5.1447102805261782</c:v>
                </c:pt>
                <c:pt idx="43">
                  <c:v>5.1688365357736634</c:v>
                </c:pt>
                <c:pt idx="44">
                  <c:v>5.1976373494288985</c:v>
                </c:pt>
                <c:pt idx="45">
                  <c:v>5.2320027873171728</c:v>
                </c:pt>
                <c:pt idx="46">
                  <c:v>5.2740355794301381</c:v>
                </c:pt>
                <c:pt idx="47">
                  <c:v>5.3202826171472424</c:v>
                </c:pt>
                <c:pt idx="48">
                  <c:v>5.3717368554734097</c:v>
                </c:pt>
                <c:pt idx="49">
                  <c:v>5.4277907762861322</c:v>
                </c:pt>
                <c:pt idx="50">
                  <c:v>5.4959707811287348</c:v>
                </c:pt>
                <c:pt idx="51">
                  <c:v>5.5747863888880094</c:v>
                </c:pt>
                <c:pt idx="52">
                  <c:v>5.6580675766328303</c:v>
                </c:pt>
                <c:pt idx="53">
                  <c:v>5.7520246483242845</c:v>
                </c:pt>
                <c:pt idx="54">
                  <c:v>5.8495370745517006</c:v>
                </c:pt>
                <c:pt idx="55">
                  <c:v>5.9443583749621745</c:v>
                </c:pt>
                <c:pt idx="56">
                  <c:v>6.0329758086527683</c:v>
                </c:pt>
                <c:pt idx="57">
                  <c:v>6.1119788366671441</c:v>
                </c:pt>
                <c:pt idx="58">
                  <c:v>6.1874158636108607</c:v>
                </c:pt>
                <c:pt idx="59">
                  <c:v>6.2555145862971937</c:v>
                </c:pt>
                <c:pt idx="60">
                  <c:v>6.3172019290312367</c:v>
                </c:pt>
                <c:pt idx="61">
                  <c:v>6.3751087833324904</c:v>
                </c:pt>
                <c:pt idx="62">
                  <c:v>6.4258135376102938</c:v>
                </c:pt>
                <c:pt idx="63">
                  <c:v>6.4833685989511345</c:v>
                </c:pt>
              </c:numCache>
            </c:numRef>
          </c:val>
          <c:smooth val="0"/>
          <c:extLst>
            <c:ext xmlns:c16="http://schemas.microsoft.com/office/drawing/2014/chart" uri="{C3380CC4-5D6E-409C-BE32-E72D297353CC}">
              <c16:uniqueId val="{00000000-5CAF-4893-9D63-5E37BDC59F08}"/>
            </c:ext>
          </c:extLst>
        </c:ser>
        <c:ser>
          <c:idx val="1"/>
          <c:order val="1"/>
          <c:tx>
            <c:strRef>
              <c:f>'Fig 36 data'!$D$5</c:f>
              <c:strCache>
                <c:ptCount val="1"/>
                <c:pt idx="0">
                  <c:v>Net NZS expenditure plus/(minus) NZSF contributions/(withdrawals)</c:v>
                </c:pt>
              </c:strCache>
            </c:strRef>
          </c:tx>
          <c:spPr>
            <a:ln w="38100" cap="rnd">
              <a:solidFill>
                <a:srgbClr val="3F403A"/>
              </a:solidFill>
              <a:round/>
            </a:ln>
            <a:effectLst/>
          </c:spPr>
          <c:marker>
            <c:symbol val="none"/>
          </c:marker>
          <c:cat>
            <c:numRef>
              <c:f>'Fig 36 data'!$B$7:$B$70</c:f>
              <c:numCache>
                <c:formatCode>General</c:formatCode>
                <c:ptCount val="6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pt idx="25">
                  <c:v>2027</c:v>
                </c:pt>
                <c:pt idx="26">
                  <c:v>2028</c:v>
                </c:pt>
                <c:pt idx="27">
                  <c:v>2029</c:v>
                </c:pt>
                <c:pt idx="28">
                  <c:v>2030</c:v>
                </c:pt>
                <c:pt idx="29">
                  <c:v>2031</c:v>
                </c:pt>
                <c:pt idx="30">
                  <c:v>2032</c:v>
                </c:pt>
                <c:pt idx="31">
                  <c:v>2033</c:v>
                </c:pt>
                <c:pt idx="32">
                  <c:v>2034</c:v>
                </c:pt>
                <c:pt idx="33">
                  <c:v>2035</c:v>
                </c:pt>
                <c:pt idx="34">
                  <c:v>2036</c:v>
                </c:pt>
                <c:pt idx="35">
                  <c:v>2037</c:v>
                </c:pt>
                <c:pt idx="36">
                  <c:v>2038</c:v>
                </c:pt>
                <c:pt idx="37">
                  <c:v>2039</c:v>
                </c:pt>
                <c:pt idx="38">
                  <c:v>2040</c:v>
                </c:pt>
                <c:pt idx="39">
                  <c:v>2041</c:v>
                </c:pt>
                <c:pt idx="40">
                  <c:v>2042</c:v>
                </c:pt>
                <c:pt idx="41">
                  <c:v>2043</c:v>
                </c:pt>
                <c:pt idx="42">
                  <c:v>2044</c:v>
                </c:pt>
                <c:pt idx="43">
                  <c:v>2045</c:v>
                </c:pt>
                <c:pt idx="44">
                  <c:v>2046</c:v>
                </c:pt>
                <c:pt idx="45">
                  <c:v>2047</c:v>
                </c:pt>
                <c:pt idx="46">
                  <c:v>2048</c:v>
                </c:pt>
                <c:pt idx="47">
                  <c:v>2049</c:v>
                </c:pt>
                <c:pt idx="48">
                  <c:v>2050</c:v>
                </c:pt>
                <c:pt idx="49">
                  <c:v>2051</c:v>
                </c:pt>
                <c:pt idx="50">
                  <c:v>2052</c:v>
                </c:pt>
                <c:pt idx="51">
                  <c:v>2053</c:v>
                </c:pt>
                <c:pt idx="52">
                  <c:v>2054</c:v>
                </c:pt>
                <c:pt idx="53">
                  <c:v>2055</c:v>
                </c:pt>
                <c:pt idx="54">
                  <c:v>2056</c:v>
                </c:pt>
                <c:pt idx="55">
                  <c:v>2057</c:v>
                </c:pt>
                <c:pt idx="56">
                  <c:v>2058</c:v>
                </c:pt>
                <c:pt idx="57">
                  <c:v>2059</c:v>
                </c:pt>
                <c:pt idx="58">
                  <c:v>2060</c:v>
                </c:pt>
                <c:pt idx="59">
                  <c:v>2061</c:v>
                </c:pt>
                <c:pt idx="60">
                  <c:v>2062</c:v>
                </c:pt>
                <c:pt idx="61">
                  <c:v>2063</c:v>
                </c:pt>
                <c:pt idx="62">
                  <c:v>2064</c:v>
                </c:pt>
                <c:pt idx="63">
                  <c:v>2065</c:v>
                </c:pt>
              </c:numCache>
            </c:numRef>
          </c:cat>
          <c:val>
            <c:numRef>
              <c:f>'Fig 36 data'!$D$7:$D$70</c:f>
              <c:numCache>
                <c:formatCode>0.0</c:formatCode>
                <c:ptCount val="64"/>
                <c:pt idx="0">
                  <c:v>3.9187015645562213</c:v>
                </c:pt>
                <c:pt idx="1">
                  <c:v>4.2589785447761193</c:v>
                </c:pt>
                <c:pt idx="2">
                  <c:v>4.5510913538751367</c:v>
                </c:pt>
                <c:pt idx="3">
                  <c:v>4.5220330336075509</c:v>
                </c:pt>
                <c:pt idx="4">
                  <c:v>4.6066472898855633</c:v>
                </c:pt>
                <c:pt idx="5">
                  <c:v>4.3281650063012149</c:v>
                </c:pt>
                <c:pt idx="6">
                  <c:v>4.2722147224648612</c:v>
                </c:pt>
                <c:pt idx="7">
                  <c:v>4.5818978686642016</c:v>
                </c:pt>
                <c:pt idx="8">
                  <c:v>3.6548722340172173</c:v>
                </c:pt>
                <c:pt idx="9">
                  <c:v>3.6686430727129813</c:v>
                </c:pt>
                <c:pt idx="10">
                  <c:v>3.8281202804871812</c:v>
                </c:pt>
                <c:pt idx="11">
                  <c:v>4.0035039213807639</c:v>
                </c:pt>
                <c:pt idx="12">
                  <c:v>3.9371274535859375</c:v>
                </c:pt>
                <c:pt idx="13">
                  <c:v>4.0216047374243509</c:v>
                </c:pt>
                <c:pt idx="14">
                  <c:v>4.0323795326131879</c:v>
                </c:pt>
                <c:pt idx="15">
                  <c:v>4.0195595122446326</c:v>
                </c:pt>
                <c:pt idx="16">
                  <c:v>4.0988178502249699</c:v>
                </c:pt>
                <c:pt idx="17">
                  <c:v>4.2938759210594117</c:v>
                </c:pt>
                <c:pt idx="18">
                  <c:v>4.588972738806981</c:v>
                </c:pt>
                <c:pt idx="19">
                  <c:v>4.6879231667506325</c:v>
                </c:pt>
                <c:pt idx="20">
                  <c:v>4.7457590042546682</c:v>
                </c:pt>
                <c:pt idx="21">
                  <c:v>4.7038080224730843</c:v>
                </c:pt>
                <c:pt idx="22">
                  <c:v>4.6550109124106687</c:v>
                </c:pt>
                <c:pt idx="23">
                  <c:v>4.6411795527039077</c:v>
                </c:pt>
                <c:pt idx="24">
                  <c:v>4.5002453643660845</c:v>
                </c:pt>
                <c:pt idx="25">
                  <c:v>4.5402599577202416</c:v>
                </c:pt>
                <c:pt idx="26">
                  <c:v>4.5670898004655935</c:v>
                </c:pt>
                <c:pt idx="27">
                  <c:v>4.593968579834466</c:v>
                </c:pt>
                <c:pt idx="28">
                  <c:v>4.7074269616516444</c:v>
                </c:pt>
                <c:pt idx="29">
                  <c:v>4.7400505573633227</c:v>
                </c:pt>
                <c:pt idx="30">
                  <c:v>4.7730514109744293</c:v>
                </c:pt>
                <c:pt idx="31">
                  <c:v>4.8066486556764989</c:v>
                </c:pt>
                <c:pt idx="32">
                  <c:v>4.8409478174111991</c:v>
                </c:pt>
                <c:pt idx="33">
                  <c:v>4.8758799769378935</c:v>
                </c:pt>
                <c:pt idx="34">
                  <c:v>4.9114728145260278</c:v>
                </c:pt>
                <c:pt idx="35">
                  <c:v>4.9476758526220888</c:v>
                </c:pt>
                <c:pt idx="36">
                  <c:v>4.9844289517721672</c:v>
                </c:pt>
                <c:pt idx="37">
                  <c:v>5.0216836225044981</c:v>
                </c:pt>
                <c:pt idx="38">
                  <c:v>5.0593269668560401</c:v>
                </c:pt>
                <c:pt idx="39">
                  <c:v>5.0973184132322844</c:v>
                </c:pt>
                <c:pt idx="40">
                  <c:v>5.1355748447758369</c:v>
                </c:pt>
                <c:pt idx="41">
                  <c:v>5.1740682246159224</c:v>
                </c:pt>
                <c:pt idx="42">
                  <c:v>5.2127150839779217</c:v>
                </c:pt>
                <c:pt idx="43">
                  <c:v>5.2515078178949022</c:v>
                </c:pt>
                <c:pt idx="44">
                  <c:v>5.2903641783567119</c:v>
                </c:pt>
                <c:pt idx="45">
                  <c:v>5.3292976713702149</c:v>
                </c:pt>
                <c:pt idx="46">
                  <c:v>5.368273377870004</c:v>
                </c:pt>
                <c:pt idx="47">
                  <c:v>5.4070609002359209</c:v>
                </c:pt>
                <c:pt idx="48">
                  <c:v>5.4456564749291623</c:v>
                </c:pt>
                <c:pt idx="49">
                  <c:v>5.4841090082168851</c:v>
                </c:pt>
                <c:pt idx="50">
                  <c:v>5.5224196298796313</c:v>
                </c:pt>
                <c:pt idx="51">
                  <c:v>5.5605770297450894</c:v>
                </c:pt>
                <c:pt idx="52">
                  <c:v>5.5985696521363266</c:v>
                </c:pt>
                <c:pt idx="53">
                  <c:v>5.6363816873765229</c:v>
                </c:pt>
                <c:pt idx="54">
                  <c:v>5.6739879108848514</c:v>
                </c:pt>
                <c:pt idx="55">
                  <c:v>5.7113698397844503</c:v>
                </c:pt>
                <c:pt idx="56">
                  <c:v>5.7485033607062421</c:v>
                </c:pt>
                <c:pt idx="57">
                  <c:v>5.7853657639676426</c:v>
                </c:pt>
                <c:pt idx="58">
                  <c:v>5.8219318643554372</c:v>
                </c:pt>
                <c:pt idx="59">
                  <c:v>5.8581844536309111</c:v>
                </c:pt>
                <c:pt idx="60">
                  <c:v>5.8941111475417873</c:v>
                </c:pt>
                <c:pt idx="61">
                  <c:v>5.9297059694414402</c:v>
                </c:pt>
                <c:pt idx="62">
                  <c:v>5.9649683279511176</c:v>
                </c:pt>
                <c:pt idx="63">
                  <c:v>5.9999013704446735</c:v>
                </c:pt>
              </c:numCache>
            </c:numRef>
          </c:val>
          <c:smooth val="0"/>
          <c:extLst>
            <c:ext xmlns:c16="http://schemas.microsoft.com/office/drawing/2014/chart" uri="{C3380CC4-5D6E-409C-BE32-E72D297353CC}">
              <c16:uniqueId val="{00000001-5CAF-4893-9D63-5E37BDC59F08}"/>
            </c:ext>
          </c:extLst>
        </c:ser>
        <c:dLbls>
          <c:showLegendKey val="0"/>
          <c:showVal val="0"/>
          <c:showCatName val="0"/>
          <c:showSerName val="0"/>
          <c:showPercent val="0"/>
          <c:showBubbleSize val="0"/>
        </c:dLbls>
        <c:marker val="1"/>
        <c:smooth val="0"/>
        <c:axId val="305517120"/>
        <c:axId val="305527680"/>
      </c:lineChart>
      <c:scatterChart>
        <c:scatterStyle val="lineMarker"/>
        <c:varyColors val="0"/>
        <c:ser>
          <c:idx val="2"/>
          <c:order val="2"/>
          <c:tx>
            <c:strRef>
              <c:f>'Fig 36 data'!$E$5</c:f>
              <c:strCache>
                <c:ptCount val="1"/>
                <c:pt idx="0">
                  <c:v>line</c:v>
                </c:pt>
              </c:strCache>
            </c:strRef>
          </c:tx>
          <c:spPr>
            <a:ln w="25400" cap="rnd">
              <a:noFill/>
              <a:round/>
            </a:ln>
            <a:effectLst/>
          </c:spPr>
          <c:marker>
            <c:symbol val="circle"/>
            <c:size val="5"/>
            <c:spPr>
              <a:noFill/>
              <a:ln w="9525">
                <a:noFill/>
              </a:ln>
              <a:effectLst/>
            </c:spPr>
          </c:marker>
          <c:errBars>
            <c:errDir val="y"/>
            <c:errBarType val="both"/>
            <c:errValType val="fixedVal"/>
            <c:noEndCap val="1"/>
            <c:val val="1"/>
            <c:spPr>
              <a:noFill/>
              <a:ln w="9525" cap="flat" cmpd="sng" algn="ctr">
                <a:solidFill>
                  <a:schemeClr val="tx1">
                    <a:lumMod val="65000"/>
                    <a:lumOff val="35000"/>
                  </a:schemeClr>
                </a:solidFill>
                <a:round/>
              </a:ln>
              <a:effectLst/>
            </c:spPr>
          </c:errBars>
          <c:xVal>
            <c:numRef>
              <c:f>'Fig 36 data'!$B$7:$B$70</c:f>
              <c:numCache>
                <c:formatCode>General</c:formatCode>
                <c:ptCount val="6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pt idx="25">
                  <c:v>2027</c:v>
                </c:pt>
                <c:pt idx="26">
                  <c:v>2028</c:v>
                </c:pt>
                <c:pt idx="27">
                  <c:v>2029</c:v>
                </c:pt>
                <c:pt idx="28">
                  <c:v>2030</c:v>
                </c:pt>
                <c:pt idx="29">
                  <c:v>2031</c:v>
                </c:pt>
                <c:pt idx="30">
                  <c:v>2032</c:v>
                </c:pt>
                <c:pt idx="31">
                  <c:v>2033</c:v>
                </c:pt>
                <c:pt idx="32">
                  <c:v>2034</c:v>
                </c:pt>
                <c:pt idx="33">
                  <c:v>2035</c:v>
                </c:pt>
                <c:pt idx="34">
                  <c:v>2036</c:v>
                </c:pt>
                <c:pt idx="35">
                  <c:v>2037</c:v>
                </c:pt>
                <c:pt idx="36">
                  <c:v>2038</c:v>
                </c:pt>
                <c:pt idx="37">
                  <c:v>2039</c:v>
                </c:pt>
                <c:pt idx="38">
                  <c:v>2040</c:v>
                </c:pt>
                <c:pt idx="39">
                  <c:v>2041</c:v>
                </c:pt>
                <c:pt idx="40">
                  <c:v>2042</c:v>
                </c:pt>
                <c:pt idx="41">
                  <c:v>2043</c:v>
                </c:pt>
                <c:pt idx="42">
                  <c:v>2044</c:v>
                </c:pt>
                <c:pt idx="43">
                  <c:v>2045</c:v>
                </c:pt>
                <c:pt idx="44">
                  <c:v>2046</c:v>
                </c:pt>
                <c:pt idx="45">
                  <c:v>2047</c:v>
                </c:pt>
                <c:pt idx="46">
                  <c:v>2048</c:v>
                </c:pt>
                <c:pt idx="47">
                  <c:v>2049</c:v>
                </c:pt>
                <c:pt idx="48">
                  <c:v>2050</c:v>
                </c:pt>
                <c:pt idx="49">
                  <c:v>2051</c:v>
                </c:pt>
                <c:pt idx="50">
                  <c:v>2052</c:v>
                </c:pt>
                <c:pt idx="51">
                  <c:v>2053</c:v>
                </c:pt>
                <c:pt idx="52">
                  <c:v>2054</c:v>
                </c:pt>
                <c:pt idx="53">
                  <c:v>2055</c:v>
                </c:pt>
                <c:pt idx="54">
                  <c:v>2056</c:v>
                </c:pt>
                <c:pt idx="55">
                  <c:v>2057</c:v>
                </c:pt>
                <c:pt idx="56">
                  <c:v>2058</c:v>
                </c:pt>
                <c:pt idx="57">
                  <c:v>2059</c:v>
                </c:pt>
                <c:pt idx="58">
                  <c:v>2060</c:v>
                </c:pt>
                <c:pt idx="59">
                  <c:v>2061</c:v>
                </c:pt>
                <c:pt idx="60">
                  <c:v>2062</c:v>
                </c:pt>
                <c:pt idx="61">
                  <c:v>2063</c:v>
                </c:pt>
                <c:pt idx="62">
                  <c:v>2064</c:v>
                </c:pt>
                <c:pt idx="63">
                  <c:v>2065</c:v>
                </c:pt>
              </c:numCache>
            </c:numRef>
          </c:xVal>
          <c:yVal>
            <c:numRef>
              <c:f>'Fig 36 data'!$E$7:$E$70</c:f>
              <c:numCache>
                <c:formatCode>General</c:formatCode>
                <c:ptCount val="64"/>
                <c:pt idx="27">
                  <c:v>1</c:v>
                </c:pt>
              </c:numCache>
            </c:numRef>
          </c:yVal>
          <c:smooth val="0"/>
          <c:extLst>
            <c:ext xmlns:c16="http://schemas.microsoft.com/office/drawing/2014/chart" uri="{C3380CC4-5D6E-409C-BE32-E72D297353CC}">
              <c16:uniqueId val="{00000002-5CAF-4893-9D63-5E37BDC59F08}"/>
            </c:ext>
          </c:extLst>
        </c:ser>
        <c:dLbls>
          <c:showLegendKey val="0"/>
          <c:showVal val="0"/>
          <c:showCatName val="0"/>
          <c:showSerName val="0"/>
          <c:showPercent val="0"/>
          <c:showBubbleSize val="0"/>
        </c:dLbls>
        <c:axId val="121738848"/>
        <c:axId val="121737408"/>
      </c:scatterChart>
      <c:catAx>
        <c:axId val="305517120"/>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37825252862544023"/>
              <c:y val="0.7787138556209886"/>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05527680"/>
        <c:crosses val="autoZero"/>
        <c:auto val="1"/>
        <c:lblAlgn val="ctr"/>
        <c:lblOffset val="100"/>
        <c:tickLblSkip val="7"/>
        <c:tickMarkSkip val="7"/>
        <c:noMultiLvlLbl val="0"/>
      </c:catAx>
      <c:valAx>
        <c:axId val="305527680"/>
        <c:scaling>
          <c:orientation val="minMax"/>
          <c:max val="7"/>
          <c:min val="0"/>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9.6755725252533047E-4"/>
              <c:y val="1.3391549979301741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05517120"/>
        <c:crosses val="autoZero"/>
        <c:crossBetween val="between"/>
        <c:majorUnit val="1"/>
      </c:valAx>
      <c:valAx>
        <c:axId val="121737408"/>
        <c:scaling>
          <c:orientation val="minMax"/>
          <c:max val="1"/>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38848"/>
        <c:crossesAt val="2029"/>
        <c:crossBetween val="midCat"/>
      </c:valAx>
      <c:valAx>
        <c:axId val="121738848"/>
        <c:scaling>
          <c:orientation val="minMax"/>
          <c:max val="2065"/>
          <c:min val="2002"/>
        </c:scaling>
        <c:delete val="0"/>
        <c:axPos val="t"/>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Projection</a:t>
                </a:r>
              </a:p>
            </c:rich>
          </c:tx>
          <c:layout>
            <c:manualLayout>
              <c:xMode val="edge"/>
              <c:yMode val="edge"/>
              <c:x val="0.63231682171397185"/>
              <c:y val="0.1422381695092220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37408"/>
        <c:crosses val="max"/>
        <c:crossBetween val="midCat"/>
        <c:majorUnit val="7"/>
      </c:valAx>
      <c:spPr>
        <a:noFill/>
        <a:ln>
          <a:noFill/>
        </a:ln>
        <a:effectLst/>
      </c:spPr>
    </c:plotArea>
    <c:legend>
      <c:legendPos val="b"/>
      <c:legendEntry>
        <c:idx val="2"/>
        <c:delete val="1"/>
      </c:legendEntry>
      <c:layout>
        <c:manualLayout>
          <c:xMode val="edge"/>
          <c:yMode val="edge"/>
          <c:x val="0"/>
          <c:y val="0.83433153576391184"/>
          <c:w val="0.9995911669210289"/>
          <c:h val="0.10475735533026095"/>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621333670796068E-2"/>
          <c:y val="0.10485713851324106"/>
          <c:w val="0.92669945736939618"/>
          <c:h val="0.69953311554646569"/>
        </c:manualLayout>
      </c:layout>
      <c:lineChart>
        <c:grouping val="standard"/>
        <c:varyColors val="0"/>
        <c:ser>
          <c:idx val="0"/>
          <c:order val="0"/>
          <c:tx>
            <c:strRef>
              <c:f>'Fig 37 data'!$C$5</c:f>
              <c:strCache>
                <c:ptCount val="1"/>
                <c:pt idx="0">
                  <c:v>New Zealand Superannuation</c:v>
                </c:pt>
              </c:strCache>
            </c:strRef>
          </c:tx>
          <c:spPr>
            <a:ln w="38100" cap="rnd">
              <a:solidFill>
                <a:srgbClr val="0083AC"/>
              </a:solidFill>
              <a:round/>
            </a:ln>
            <a:effectLst/>
          </c:spPr>
          <c:marker>
            <c:symbol val="none"/>
          </c:marker>
          <c:cat>
            <c:numRef>
              <c:f>'Fig 37 data'!$B$7:$B$45</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'Fig 37 data'!$C$7:$C$45</c:f>
              <c:numCache>
                <c:formatCode>0.0</c:formatCode>
                <c:ptCount val="39"/>
                <c:pt idx="0">
                  <c:v>4.8573209813079004</c:v>
                </c:pt>
                <c:pt idx="1">
                  <c:v>4.8604522011121984</c:v>
                </c:pt>
                <c:pt idx="2">
                  <c:v>5.1290707571168417</c:v>
                </c:pt>
                <c:pt idx="3">
                  <c:v>5.3269232536975926</c:v>
                </c:pt>
                <c:pt idx="4">
                  <c:v>5.409188895509832</c:v>
                </c:pt>
                <c:pt idx="5">
                  <c:v>5.4662285199991629</c:v>
                </c:pt>
                <c:pt idx="6">
                  <c:v>5.5114541613924688</c:v>
                </c:pt>
                <c:pt idx="7">
                  <c:v>5.5248587161004501</c:v>
                </c:pt>
                <c:pt idx="8">
                  <c:v>5.5490567616094868</c:v>
                </c:pt>
                <c:pt idx="9">
                  <c:v>5.6019316086406787</c:v>
                </c:pt>
                <c:pt idx="10">
                  <c:v>5.6611492954621143</c:v>
                </c:pt>
                <c:pt idx="11">
                  <c:v>5.7283324206016433</c:v>
                </c:pt>
                <c:pt idx="12">
                  <c:v>5.7981039858816388</c:v>
                </c:pt>
                <c:pt idx="13">
                  <c:v>5.8630263856873004</c:v>
                </c:pt>
                <c:pt idx="14">
                  <c:v>5.9355188370348602</c:v>
                </c:pt>
                <c:pt idx="15">
                  <c:v>6.0002305497483421</c:v>
                </c:pt>
                <c:pt idx="16">
                  <c:v>6.0531698178893398</c:v>
                </c:pt>
                <c:pt idx="17">
                  <c:v>6.0954176608439798</c:v>
                </c:pt>
                <c:pt idx="18">
                  <c:v>6.1243357366388702</c:v>
                </c:pt>
                <c:pt idx="19">
                  <c:v>6.1440668447065168</c:v>
                </c:pt>
                <c:pt idx="20">
                  <c:v>6.1639635516312294</c:v>
                </c:pt>
                <c:pt idx="21">
                  <c:v>6.1794107350413148</c:v>
                </c:pt>
                <c:pt idx="22">
                  <c:v>6.2034361923687813</c:v>
                </c:pt>
                <c:pt idx="23">
                  <c:v>6.2325607843472959</c:v>
                </c:pt>
                <c:pt idx="24">
                  <c:v>6.2672126445366061</c:v>
                </c:pt>
                <c:pt idx="25">
                  <c:v>6.308695421536747</c:v>
                </c:pt>
                <c:pt idx="26">
                  <c:v>6.3593964423488316</c:v>
                </c:pt>
                <c:pt idx="27">
                  <c:v>6.4150983469660474</c:v>
                </c:pt>
                <c:pt idx="28">
                  <c:v>6.4771377775495793</c:v>
                </c:pt>
                <c:pt idx="29">
                  <c:v>6.5447708299942704</c:v>
                </c:pt>
                <c:pt idx="30">
                  <c:v>6.6269960566660551</c:v>
                </c:pt>
                <c:pt idx="31">
                  <c:v>6.7220155291445467</c:v>
                </c:pt>
                <c:pt idx="32">
                  <c:v>6.8223893273191321</c:v>
                </c:pt>
                <c:pt idx="33">
                  <c:v>6.9357034175753132</c:v>
                </c:pt>
                <c:pt idx="34">
                  <c:v>7.0532967663362811</c:v>
                </c:pt>
                <c:pt idx="35">
                  <c:v>7.1676104179876603</c:v>
                </c:pt>
                <c:pt idx="36">
                  <c:v>7.2744783531285666</c:v>
                </c:pt>
                <c:pt idx="37">
                  <c:v>7.3697631849992824</c:v>
                </c:pt>
                <c:pt idx="38">
                  <c:v>7.4607308273297868</c:v>
                </c:pt>
              </c:numCache>
            </c:numRef>
          </c:val>
          <c:smooth val="0"/>
          <c:extLst>
            <c:ext xmlns:c16="http://schemas.microsoft.com/office/drawing/2014/chart" uri="{C3380CC4-5D6E-409C-BE32-E72D297353CC}">
              <c16:uniqueId val="{00000000-5BD1-4200-A18B-404A1245CA96}"/>
            </c:ext>
          </c:extLst>
        </c:ser>
        <c:ser>
          <c:idx val="1"/>
          <c:order val="1"/>
          <c:tx>
            <c:strRef>
              <c:f>'Fig 37 data'!$D$5</c:f>
              <c:strCache>
                <c:ptCount val="1"/>
                <c:pt idx="0">
                  <c:v>Australia Age Pension and Tax Concessions</c:v>
                </c:pt>
              </c:strCache>
            </c:strRef>
          </c:tx>
          <c:spPr>
            <a:ln w="38100" cap="rnd">
              <a:solidFill>
                <a:srgbClr val="3F403A"/>
              </a:solidFill>
              <a:round/>
            </a:ln>
            <a:effectLst/>
          </c:spPr>
          <c:marker>
            <c:symbol val="none"/>
          </c:marker>
          <c:cat>
            <c:numRef>
              <c:f>'Fig 37 data'!$B$7:$B$45</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cat>
          <c:val>
            <c:numRef>
              <c:f>'Fig 37 data'!$D$7:$D$45</c:f>
              <c:numCache>
                <c:formatCode>General</c:formatCode>
                <c:ptCount val="39"/>
                <c:pt idx="0">
                  <c:v>4.1999999999999993</c:v>
                </c:pt>
                <c:pt idx="1">
                  <c:v>4.4000000000000004</c:v>
                </c:pt>
                <c:pt idx="2">
                  <c:v>4.3</c:v>
                </c:pt>
                <c:pt idx="3">
                  <c:v>4.2</c:v>
                </c:pt>
                <c:pt idx="4">
                  <c:v>4.3</c:v>
                </c:pt>
                <c:pt idx="5">
                  <c:v>4.3</c:v>
                </c:pt>
                <c:pt idx="6">
                  <c:v>4.2</c:v>
                </c:pt>
                <c:pt idx="7">
                  <c:v>4.2</c:v>
                </c:pt>
                <c:pt idx="8">
                  <c:v>4.3000000000000007</c:v>
                </c:pt>
                <c:pt idx="9">
                  <c:v>4.4000000000000004</c:v>
                </c:pt>
                <c:pt idx="10">
                  <c:v>4.3</c:v>
                </c:pt>
                <c:pt idx="11">
                  <c:v>4.3999999999999995</c:v>
                </c:pt>
                <c:pt idx="12">
                  <c:v>4.3999999999999995</c:v>
                </c:pt>
                <c:pt idx="13">
                  <c:v>4.3999999999999995</c:v>
                </c:pt>
                <c:pt idx="14">
                  <c:v>4.3999999999999995</c:v>
                </c:pt>
                <c:pt idx="15">
                  <c:v>4.3999999999999995</c:v>
                </c:pt>
                <c:pt idx="16">
                  <c:v>4.3999999999999995</c:v>
                </c:pt>
                <c:pt idx="17">
                  <c:v>4.3999999999999995</c:v>
                </c:pt>
                <c:pt idx="18">
                  <c:v>4.4000000000000004</c:v>
                </c:pt>
                <c:pt idx="19">
                  <c:v>4.4000000000000004</c:v>
                </c:pt>
                <c:pt idx="20">
                  <c:v>4.4000000000000004</c:v>
                </c:pt>
                <c:pt idx="21">
                  <c:v>4.4000000000000004</c:v>
                </c:pt>
                <c:pt idx="22">
                  <c:v>4.4000000000000004</c:v>
                </c:pt>
                <c:pt idx="23">
                  <c:v>4.3</c:v>
                </c:pt>
                <c:pt idx="24">
                  <c:v>4.3</c:v>
                </c:pt>
                <c:pt idx="25">
                  <c:v>4.3</c:v>
                </c:pt>
                <c:pt idx="26">
                  <c:v>4.4000000000000004</c:v>
                </c:pt>
                <c:pt idx="27">
                  <c:v>4.4000000000000004</c:v>
                </c:pt>
                <c:pt idx="28">
                  <c:v>4.4000000000000004</c:v>
                </c:pt>
                <c:pt idx="29">
                  <c:v>4.4000000000000004</c:v>
                </c:pt>
                <c:pt idx="30">
                  <c:v>4.3</c:v>
                </c:pt>
                <c:pt idx="31">
                  <c:v>4.3</c:v>
                </c:pt>
                <c:pt idx="32">
                  <c:v>4.3</c:v>
                </c:pt>
                <c:pt idx="33">
                  <c:v>4.3</c:v>
                </c:pt>
                <c:pt idx="34">
                  <c:v>4.3</c:v>
                </c:pt>
                <c:pt idx="35">
                  <c:v>4.3</c:v>
                </c:pt>
                <c:pt idx="36">
                  <c:v>4.3</c:v>
                </c:pt>
                <c:pt idx="37">
                  <c:v>4.4000000000000004</c:v>
                </c:pt>
                <c:pt idx="38">
                  <c:v>4.4000000000000004</c:v>
                </c:pt>
              </c:numCache>
            </c:numRef>
          </c:val>
          <c:smooth val="0"/>
          <c:extLst>
            <c:ext xmlns:c16="http://schemas.microsoft.com/office/drawing/2014/chart" uri="{C3380CC4-5D6E-409C-BE32-E72D297353CC}">
              <c16:uniqueId val="{00000001-5BD1-4200-A18B-404A1245CA96}"/>
            </c:ext>
          </c:extLst>
        </c:ser>
        <c:dLbls>
          <c:showLegendKey val="0"/>
          <c:showVal val="0"/>
          <c:showCatName val="0"/>
          <c:showSerName val="0"/>
          <c:showPercent val="0"/>
          <c:showBubbleSize val="0"/>
        </c:dLbls>
        <c:marker val="1"/>
        <c:smooth val="0"/>
        <c:axId val="459439472"/>
        <c:axId val="459440912"/>
      </c:lineChart>
      <c:scatterChart>
        <c:scatterStyle val="lineMarker"/>
        <c:varyColors val="0"/>
        <c:ser>
          <c:idx val="2"/>
          <c:order val="2"/>
          <c:tx>
            <c:strRef>
              <c:f>'Fig 37 data'!$E$5</c:f>
              <c:strCache>
                <c:ptCount val="1"/>
                <c:pt idx="0">
                  <c:v>line</c:v>
                </c:pt>
              </c:strCache>
            </c:strRef>
          </c:tx>
          <c:spPr>
            <a:ln w="25400" cap="rnd">
              <a:noFill/>
              <a:round/>
            </a:ln>
            <a:effectLst/>
          </c:spPr>
          <c:marker>
            <c:symbol val="circle"/>
            <c:size val="5"/>
            <c:spPr>
              <a:noFill/>
              <a:ln w="9525">
                <a:noFill/>
              </a:ln>
              <a:effectLst/>
            </c:spPr>
          </c:marker>
          <c:errBars>
            <c:errDir val="y"/>
            <c:errBarType val="both"/>
            <c:errValType val="fixedVal"/>
            <c:noEndCap val="1"/>
            <c:val val="1"/>
            <c:spPr>
              <a:noFill/>
              <a:ln w="9525" cap="flat" cmpd="sng" algn="ctr">
                <a:solidFill>
                  <a:schemeClr val="tx1">
                    <a:lumMod val="65000"/>
                    <a:lumOff val="35000"/>
                  </a:schemeClr>
                </a:solidFill>
                <a:round/>
              </a:ln>
              <a:effectLst/>
            </c:spPr>
          </c:errBars>
          <c:xVal>
            <c:numRef>
              <c:f>'Fig 37 data'!$B$7:$B$45</c:f>
              <c:numCache>
                <c:formatCode>General</c:formatCode>
                <c:ptCount val="39"/>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pt idx="15">
                  <c:v>2037</c:v>
                </c:pt>
                <c:pt idx="16">
                  <c:v>2038</c:v>
                </c:pt>
                <c:pt idx="17">
                  <c:v>2039</c:v>
                </c:pt>
                <c:pt idx="18">
                  <c:v>2040</c:v>
                </c:pt>
                <c:pt idx="19">
                  <c:v>2041</c:v>
                </c:pt>
                <c:pt idx="20">
                  <c:v>2042</c:v>
                </c:pt>
                <c:pt idx="21">
                  <c:v>2043</c:v>
                </c:pt>
                <c:pt idx="22">
                  <c:v>2044</c:v>
                </c:pt>
                <c:pt idx="23">
                  <c:v>2045</c:v>
                </c:pt>
                <c:pt idx="24">
                  <c:v>2046</c:v>
                </c:pt>
                <c:pt idx="25">
                  <c:v>2047</c:v>
                </c:pt>
                <c:pt idx="26">
                  <c:v>2048</c:v>
                </c:pt>
                <c:pt idx="27">
                  <c:v>2049</c:v>
                </c:pt>
                <c:pt idx="28">
                  <c:v>2050</c:v>
                </c:pt>
                <c:pt idx="29">
                  <c:v>2051</c:v>
                </c:pt>
                <c:pt idx="30">
                  <c:v>2052</c:v>
                </c:pt>
                <c:pt idx="31">
                  <c:v>2053</c:v>
                </c:pt>
                <c:pt idx="32">
                  <c:v>2054</c:v>
                </c:pt>
                <c:pt idx="33">
                  <c:v>2055</c:v>
                </c:pt>
                <c:pt idx="34">
                  <c:v>2056</c:v>
                </c:pt>
                <c:pt idx="35">
                  <c:v>2057</c:v>
                </c:pt>
                <c:pt idx="36">
                  <c:v>2058</c:v>
                </c:pt>
                <c:pt idx="37">
                  <c:v>2059</c:v>
                </c:pt>
                <c:pt idx="38">
                  <c:v>2060</c:v>
                </c:pt>
              </c:numCache>
            </c:numRef>
          </c:xVal>
          <c:yVal>
            <c:numRef>
              <c:f>'Fig 37 data'!$E$7:$E$45</c:f>
              <c:numCache>
                <c:formatCode>General</c:formatCode>
                <c:ptCount val="39"/>
                <c:pt idx="7">
                  <c:v>1</c:v>
                </c:pt>
              </c:numCache>
            </c:numRef>
          </c:yVal>
          <c:smooth val="0"/>
          <c:extLst>
            <c:ext xmlns:c16="http://schemas.microsoft.com/office/drawing/2014/chart" uri="{C3380CC4-5D6E-409C-BE32-E72D297353CC}">
              <c16:uniqueId val="{00000002-5BD1-4200-A18B-404A1245CA96}"/>
            </c:ext>
          </c:extLst>
        </c:ser>
        <c:dLbls>
          <c:showLegendKey val="0"/>
          <c:showVal val="0"/>
          <c:showCatName val="0"/>
          <c:showSerName val="0"/>
          <c:showPercent val="0"/>
          <c:showBubbleSize val="0"/>
        </c:dLbls>
        <c:axId val="948532464"/>
        <c:axId val="948548784"/>
      </c:scatterChart>
      <c:catAx>
        <c:axId val="459439472"/>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 ending 30 June</a:t>
                </a:r>
              </a:p>
            </c:rich>
          </c:tx>
          <c:layout>
            <c:manualLayout>
              <c:xMode val="edge"/>
              <c:yMode val="edge"/>
              <c:x val="0.40424301276741176"/>
              <c:y val="0.88189452760917875"/>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9440912"/>
        <c:crosses val="autoZero"/>
        <c:auto val="1"/>
        <c:lblAlgn val="ctr"/>
        <c:lblOffset val="100"/>
        <c:tickLblSkip val="5"/>
        <c:tickMarkSkip val="5"/>
        <c:noMultiLvlLbl val="0"/>
      </c:catAx>
      <c:valAx>
        <c:axId val="459440912"/>
        <c:scaling>
          <c:orientation val="minMax"/>
          <c:max val="8"/>
          <c:min val="3"/>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8.2064516351372831E-3"/>
              <c:y val="2.576635924800073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9439472"/>
        <c:crosses val="autoZero"/>
        <c:crossBetween val="between"/>
        <c:majorUnit val="1"/>
      </c:valAx>
      <c:valAx>
        <c:axId val="948548784"/>
        <c:scaling>
          <c:orientation val="minMax"/>
          <c:max val="1"/>
        </c:scaling>
        <c:delete val="0"/>
        <c:axPos val="r"/>
        <c:title>
          <c:tx>
            <c:rich>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Projection</a:t>
                </a:r>
              </a:p>
            </c:rich>
          </c:tx>
          <c:layout>
            <c:manualLayout>
              <c:xMode val="edge"/>
              <c:yMode val="edge"/>
              <c:x val="0.52839798102160318"/>
              <c:y val="0.15596797506270593"/>
            </c:manualLayout>
          </c:layout>
          <c:overlay val="0"/>
          <c:spPr>
            <a:noFill/>
            <a:ln>
              <a:noFill/>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532464"/>
        <c:crosses val="max"/>
        <c:crossBetween val="midCat"/>
      </c:valAx>
      <c:valAx>
        <c:axId val="948532464"/>
        <c:scaling>
          <c:orientation val="minMax"/>
        </c:scaling>
        <c:delete val="0"/>
        <c:axPos val="t"/>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Outturn and </a:t>
                </a:r>
              </a:p>
              <a:p>
                <a:pPr>
                  <a:defRPr sz="1800">
                    <a:solidFill>
                      <a:sysClr val="windowText" lastClr="000000"/>
                    </a:solidFill>
                    <a:latin typeface="Arial" panose="020B0604020202020204" pitchFamily="34" charset="0"/>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forecast</a:t>
                </a:r>
              </a:p>
            </c:rich>
          </c:tx>
          <c:layout>
            <c:manualLayout>
              <c:xMode val="edge"/>
              <c:yMode val="edge"/>
              <c:x val="6.7117410323709548E-2"/>
              <c:y val="0.12680407141248376"/>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548784"/>
        <c:crosses val="max"/>
        <c:crossBetween val="midCat"/>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961742731015574E-2"/>
          <c:y val="7.5983941652791986E-2"/>
          <c:w val="0.94696821202240111"/>
          <c:h val="0.74112635296015184"/>
        </c:manualLayout>
      </c:layout>
      <c:barChart>
        <c:barDir val="col"/>
        <c:grouping val="clustered"/>
        <c:varyColors val="0"/>
        <c:ser>
          <c:idx val="0"/>
          <c:order val="0"/>
          <c:tx>
            <c:strRef>
              <c:f>'Fig 38 data'!$C$5</c:f>
              <c:strCache>
                <c:ptCount val="1"/>
                <c:pt idx="0">
                  <c:v>Low income people</c:v>
                </c:pt>
              </c:strCache>
            </c:strRef>
          </c:tx>
          <c:spPr>
            <a:solidFill>
              <a:srgbClr val="0083AC"/>
            </a:solidFill>
            <a:ln>
              <a:noFill/>
            </a:ln>
            <a:effectLst/>
          </c:spPr>
          <c:invertIfNegative val="0"/>
          <c:cat>
            <c:numRef>
              <c:f>'Fig 38 data'!$B$7:$B$11</c:f>
              <c:numCache>
                <c:formatCode>General</c:formatCode>
                <c:ptCount val="5"/>
                <c:pt idx="0">
                  <c:v>1950</c:v>
                </c:pt>
                <c:pt idx="1">
                  <c:v>1970</c:v>
                </c:pt>
                <c:pt idx="2">
                  <c:v>2010</c:v>
                </c:pt>
                <c:pt idx="3">
                  <c:v>2040</c:v>
                </c:pt>
                <c:pt idx="4">
                  <c:v>2065</c:v>
                </c:pt>
              </c:numCache>
            </c:numRef>
          </c:cat>
          <c:val>
            <c:numRef>
              <c:f>'Fig 38 data'!$C$7:$C$11</c:f>
              <c:numCache>
                <c:formatCode>0.0</c:formatCode>
                <c:ptCount val="5"/>
                <c:pt idx="0">
                  <c:v>1.4492085358203599</c:v>
                </c:pt>
                <c:pt idx="1">
                  <c:v>-4.6570095405458103</c:v>
                </c:pt>
                <c:pt idx="2">
                  <c:v>-2.9411509537588199</c:v>
                </c:pt>
                <c:pt idx="3">
                  <c:v>-0.13390115902303101</c:v>
                </c:pt>
                <c:pt idx="4">
                  <c:v>0.61486550840847998</c:v>
                </c:pt>
              </c:numCache>
            </c:numRef>
          </c:val>
          <c:extLst>
            <c:ext xmlns:c16="http://schemas.microsoft.com/office/drawing/2014/chart" uri="{C3380CC4-5D6E-409C-BE32-E72D297353CC}">
              <c16:uniqueId val="{00000000-A549-4971-97DE-B9E0D5BF636A}"/>
            </c:ext>
          </c:extLst>
        </c:ser>
        <c:ser>
          <c:idx val="1"/>
          <c:order val="1"/>
          <c:tx>
            <c:strRef>
              <c:f>'Fig 38 data'!$D$5</c:f>
              <c:strCache>
                <c:ptCount val="1"/>
                <c:pt idx="0">
                  <c:v>Median income people</c:v>
                </c:pt>
              </c:strCache>
            </c:strRef>
          </c:tx>
          <c:spPr>
            <a:solidFill>
              <a:srgbClr val="67A854"/>
            </a:solidFill>
            <a:ln>
              <a:noFill/>
            </a:ln>
            <a:effectLst/>
          </c:spPr>
          <c:invertIfNegative val="0"/>
          <c:cat>
            <c:numRef>
              <c:f>'Fig 38 data'!$B$7:$B$11</c:f>
              <c:numCache>
                <c:formatCode>General</c:formatCode>
                <c:ptCount val="5"/>
                <c:pt idx="0">
                  <c:v>1950</c:v>
                </c:pt>
                <c:pt idx="1">
                  <c:v>1970</c:v>
                </c:pt>
                <c:pt idx="2">
                  <c:v>2010</c:v>
                </c:pt>
                <c:pt idx="3">
                  <c:v>2040</c:v>
                </c:pt>
                <c:pt idx="4">
                  <c:v>2065</c:v>
                </c:pt>
              </c:numCache>
            </c:numRef>
          </c:cat>
          <c:val>
            <c:numRef>
              <c:f>'Fig 38 data'!$D$7:$D$11</c:f>
              <c:numCache>
                <c:formatCode>0.0</c:formatCode>
                <c:ptCount val="5"/>
                <c:pt idx="0">
                  <c:v>1.14174722019396</c:v>
                </c:pt>
                <c:pt idx="1">
                  <c:v>-4.3240435022899701</c:v>
                </c:pt>
                <c:pt idx="2">
                  <c:v>-2.1487673177257198</c:v>
                </c:pt>
                <c:pt idx="3">
                  <c:v>0.91520201100867604</c:v>
                </c:pt>
                <c:pt idx="4">
                  <c:v>1.5560047910016599</c:v>
                </c:pt>
              </c:numCache>
            </c:numRef>
          </c:val>
          <c:extLst>
            <c:ext xmlns:c16="http://schemas.microsoft.com/office/drawing/2014/chart" uri="{C3380CC4-5D6E-409C-BE32-E72D297353CC}">
              <c16:uniqueId val="{00000001-A549-4971-97DE-B9E0D5BF636A}"/>
            </c:ext>
          </c:extLst>
        </c:ser>
        <c:ser>
          <c:idx val="2"/>
          <c:order val="2"/>
          <c:tx>
            <c:strRef>
              <c:f>'Fig 38 data'!$E$5</c:f>
              <c:strCache>
                <c:ptCount val="1"/>
                <c:pt idx="0">
                  <c:v>High income people</c:v>
                </c:pt>
              </c:strCache>
            </c:strRef>
          </c:tx>
          <c:spPr>
            <a:solidFill>
              <a:srgbClr val="3E413A"/>
            </a:solidFill>
            <a:ln>
              <a:noFill/>
            </a:ln>
            <a:effectLst/>
          </c:spPr>
          <c:invertIfNegative val="0"/>
          <c:cat>
            <c:numRef>
              <c:f>'Fig 38 data'!$B$7:$B$11</c:f>
              <c:numCache>
                <c:formatCode>General</c:formatCode>
                <c:ptCount val="5"/>
                <c:pt idx="0">
                  <c:v>1950</c:v>
                </c:pt>
                <c:pt idx="1">
                  <c:v>1970</c:v>
                </c:pt>
                <c:pt idx="2">
                  <c:v>2010</c:v>
                </c:pt>
                <c:pt idx="3">
                  <c:v>2040</c:v>
                </c:pt>
                <c:pt idx="4">
                  <c:v>2065</c:v>
                </c:pt>
              </c:numCache>
            </c:numRef>
          </c:cat>
          <c:val>
            <c:numRef>
              <c:f>'Fig 38 data'!$E$7:$E$11</c:f>
              <c:numCache>
                <c:formatCode>0.0</c:formatCode>
                <c:ptCount val="5"/>
                <c:pt idx="0">
                  <c:v>8.0971125398288102E-2</c:v>
                </c:pt>
                <c:pt idx="1">
                  <c:v>-2.7357143338193302</c:v>
                </c:pt>
                <c:pt idx="2">
                  <c:v>1.18198971181023</c:v>
                </c:pt>
                <c:pt idx="3">
                  <c:v>5.2243937397089102</c:v>
                </c:pt>
                <c:pt idx="4">
                  <c:v>6.1607079236966102</c:v>
                </c:pt>
              </c:numCache>
            </c:numRef>
          </c:val>
          <c:extLst>
            <c:ext xmlns:c16="http://schemas.microsoft.com/office/drawing/2014/chart" uri="{C3380CC4-5D6E-409C-BE32-E72D297353CC}">
              <c16:uniqueId val="{00000002-A549-4971-97DE-B9E0D5BF636A}"/>
            </c:ext>
          </c:extLst>
        </c:ser>
        <c:dLbls>
          <c:showLegendKey val="0"/>
          <c:showVal val="0"/>
          <c:showCatName val="0"/>
          <c:showSerName val="0"/>
          <c:showPercent val="0"/>
          <c:showBubbleSize val="0"/>
        </c:dLbls>
        <c:gapWidth val="219"/>
        <c:overlap val="-27"/>
        <c:axId val="1938815007"/>
        <c:axId val="1938816927"/>
      </c:barChart>
      <c:catAx>
        <c:axId val="1938815007"/>
        <c:scaling>
          <c:orientation val="minMax"/>
        </c:scaling>
        <c:delete val="0"/>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r>
                  <a:rPr lang="en-NZ" b="1"/>
                  <a:t>Birth Year</a:t>
                </a:r>
              </a:p>
            </c:rich>
          </c:tx>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title>
        <c:numFmt formatCode="General" sourceLinked="1"/>
        <c:majorTickMark val="out"/>
        <c:minorTickMark val="none"/>
        <c:tickLblPos val="low"/>
        <c:spPr>
          <a:noFill/>
          <a:ln w="9525" cap="flat" cmpd="sng" algn="ctr">
            <a:solidFill>
              <a:sysClr val="window" lastClr="FFFFFF">
                <a:lumMod val="50000"/>
              </a:sys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1938816927"/>
        <c:crosses val="autoZero"/>
        <c:auto val="1"/>
        <c:lblAlgn val="ctr"/>
        <c:lblOffset val="100"/>
        <c:noMultiLvlLbl val="0"/>
      </c:catAx>
      <c:valAx>
        <c:axId val="1938816927"/>
        <c:scaling>
          <c:orientation val="minMax"/>
        </c:scaling>
        <c:delete val="0"/>
        <c:axPos val="l"/>
        <c:majorGridlines>
          <c:spPr>
            <a:ln w="9525" cap="flat" cmpd="sng" algn="ctr">
              <a:solidFill>
                <a:sysClr val="window" lastClr="FFFFFF">
                  <a:lumMod val="50000"/>
                </a:sys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crossAx val="193881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800" baseline="0">
          <a:solidFill>
            <a:sysClr val="windowText" lastClr="000000"/>
          </a:solidFill>
          <a:latin typeface="Arial" panose="020B0604020202020204" pitchFamily="34" charset="0"/>
        </a:defRPr>
      </a:pPr>
      <a:endParaRPr lang="en-US"/>
    </a:p>
  </c:txPr>
  <c:userShapes r:id="rId4"/>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489386388156614E-2"/>
          <c:y val="8.7133641460767297E-2"/>
          <c:w val="0.91102734804007968"/>
          <c:h val="0.72314422849376714"/>
        </c:manualLayout>
      </c:layout>
      <c:lineChart>
        <c:grouping val="standard"/>
        <c:varyColors val="0"/>
        <c:ser>
          <c:idx val="0"/>
          <c:order val="0"/>
          <c:tx>
            <c:strRef>
              <c:f>'Fig 39 data'!$C$5</c:f>
              <c:strCache>
                <c:ptCount val="1"/>
                <c:pt idx="0">
                  <c:v>Baseline</c:v>
                </c:pt>
              </c:strCache>
            </c:strRef>
          </c:tx>
          <c:spPr>
            <a:ln w="38100">
              <a:solidFill>
                <a:srgbClr val="0083AC"/>
              </a:solidFill>
            </a:ln>
          </c:spPr>
          <c:marker>
            <c:symbol val="none"/>
          </c:marker>
          <c:cat>
            <c:numRef>
              <c:f>'Fig 39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39 data'!$C$7:$C$47</c:f>
              <c:numCache>
                <c:formatCode>0.0</c:formatCode>
                <c:ptCount val="41"/>
                <c:pt idx="0">
                  <c:v>6.93035268827518</c:v>
                </c:pt>
                <c:pt idx="1">
                  <c:v>7.0572301364629899</c:v>
                </c:pt>
                <c:pt idx="2">
                  <c:v>7.1813314038995699</c:v>
                </c:pt>
                <c:pt idx="3">
                  <c:v>7.2890444048016203</c:v>
                </c:pt>
                <c:pt idx="4">
                  <c:v>7.3926353779531402</c:v>
                </c:pt>
                <c:pt idx="5">
                  <c:v>7.49454378468677</c:v>
                </c:pt>
                <c:pt idx="6">
                  <c:v>7.5922724850593903</c:v>
                </c:pt>
                <c:pt idx="7">
                  <c:v>7.6994295611724199</c:v>
                </c:pt>
                <c:pt idx="8">
                  <c:v>7.7992209935864896</c:v>
                </c:pt>
                <c:pt idx="9">
                  <c:v>7.89798683965323</c:v>
                </c:pt>
                <c:pt idx="10">
                  <c:v>7.9965879523866299</c:v>
                </c:pt>
                <c:pt idx="11">
                  <c:v>8.0965199731822395</c:v>
                </c:pt>
                <c:pt idx="12">
                  <c:v>8.1992935339856192</c:v>
                </c:pt>
                <c:pt idx="13">
                  <c:v>8.29326495780575</c:v>
                </c:pt>
                <c:pt idx="14">
                  <c:v>8.3832007882542001</c:v>
                </c:pt>
                <c:pt idx="15">
                  <c:v>8.4671899951226095</c:v>
                </c:pt>
                <c:pt idx="16">
                  <c:v>8.5507327031224207</c:v>
                </c:pt>
                <c:pt idx="17">
                  <c:v>8.6327976708907705</c:v>
                </c:pt>
                <c:pt idx="18">
                  <c:v>8.7129712595600601</c:v>
                </c:pt>
                <c:pt idx="19">
                  <c:v>8.8037720579040606</c:v>
                </c:pt>
                <c:pt idx="20">
                  <c:v>8.8960859002455805</c:v>
                </c:pt>
                <c:pt idx="21">
                  <c:v>8.9874541059843196</c:v>
                </c:pt>
                <c:pt idx="22">
                  <c:v>9.0824819578884792</c:v>
                </c:pt>
                <c:pt idx="23">
                  <c:v>9.1806002960462703</c:v>
                </c:pt>
                <c:pt idx="24">
                  <c:v>9.2802364419226802</c:v>
                </c:pt>
                <c:pt idx="25">
                  <c:v>9.3816057922831</c:v>
                </c:pt>
                <c:pt idx="26">
                  <c:v>9.4863832502306504</c:v>
                </c:pt>
                <c:pt idx="27">
                  <c:v>9.5977588225832005</c:v>
                </c:pt>
                <c:pt idx="28">
                  <c:v>9.7148334984642695</c:v>
                </c:pt>
                <c:pt idx="29">
                  <c:v>9.8350004715770396</c:v>
                </c:pt>
                <c:pt idx="30">
                  <c:v>9.9611679596601999</c:v>
                </c:pt>
                <c:pt idx="31">
                  <c:v>10.0912383758556</c:v>
                </c:pt>
                <c:pt idx="32">
                  <c:v>10.221379582268501</c:v>
                </c:pt>
                <c:pt idx="33">
                  <c:v>10.3491030267204</c:v>
                </c:pt>
                <c:pt idx="34">
                  <c:v>10.4722190265951</c:v>
                </c:pt>
                <c:pt idx="35">
                  <c:v>10.5947083656632</c:v>
                </c:pt>
                <c:pt idx="36">
                  <c:v>10.712748407020801</c:v>
                </c:pt>
                <c:pt idx="37">
                  <c:v>10.829335077866</c:v>
                </c:pt>
                <c:pt idx="38">
                  <c:v>10.9465882037338</c:v>
                </c:pt>
                <c:pt idx="39">
                  <c:v>11.062025794014501</c:v>
                </c:pt>
                <c:pt idx="40">
                  <c:v>11.186237423478801</c:v>
                </c:pt>
              </c:numCache>
            </c:numRef>
          </c:val>
          <c:smooth val="0"/>
          <c:extLst>
            <c:ext xmlns:c16="http://schemas.microsoft.com/office/drawing/2014/chart" uri="{C3380CC4-5D6E-409C-BE32-E72D297353CC}">
              <c16:uniqueId val="{00000000-C866-43B8-ACD9-6085E11BE5AA}"/>
            </c:ext>
          </c:extLst>
        </c:ser>
        <c:ser>
          <c:idx val="1"/>
          <c:order val="1"/>
          <c:tx>
            <c:strRef>
              <c:f>'Fig 39 data'!$D$5</c:f>
              <c:strCache>
                <c:ptCount val="1"/>
                <c:pt idx="0">
                  <c:v>High health spending growth </c:v>
                </c:pt>
              </c:strCache>
            </c:strRef>
          </c:tx>
          <c:spPr>
            <a:ln w="38100">
              <a:solidFill>
                <a:srgbClr val="67A854"/>
              </a:solidFill>
            </a:ln>
          </c:spPr>
          <c:marker>
            <c:symbol val="none"/>
          </c:marker>
          <c:cat>
            <c:numRef>
              <c:f>'Fig 39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39 data'!$D$7:$D$47</c:f>
              <c:numCache>
                <c:formatCode>0.0</c:formatCode>
                <c:ptCount val="41"/>
                <c:pt idx="0">
                  <c:v>6.9368043423494203</c:v>
                </c:pt>
                <c:pt idx="1">
                  <c:v>7.0899510158781602</c:v>
                </c:pt>
                <c:pt idx="2">
                  <c:v>7.2404162631965603</c:v>
                </c:pt>
                <c:pt idx="3">
                  <c:v>7.37584071316678</c:v>
                </c:pt>
                <c:pt idx="4">
                  <c:v>7.5072034031023103</c:v>
                </c:pt>
                <c:pt idx="5">
                  <c:v>7.6368605801281699</c:v>
                </c:pt>
                <c:pt idx="6">
                  <c:v>7.7626007132969104</c:v>
                </c:pt>
                <c:pt idx="7">
                  <c:v>7.8977666109551103</c:v>
                </c:pt>
                <c:pt idx="8">
                  <c:v>8.0261313858596708</c:v>
                </c:pt>
                <c:pt idx="9">
                  <c:v>8.1534873387357791</c:v>
                </c:pt>
                <c:pt idx="10">
                  <c:v>8.2808197972801096</c:v>
                </c:pt>
                <c:pt idx="11">
                  <c:v>8.4096435833907801</c:v>
                </c:pt>
                <c:pt idx="12">
                  <c:v>8.5414656807752003</c:v>
                </c:pt>
                <c:pt idx="13">
                  <c:v>8.6649496133613706</c:v>
                </c:pt>
                <c:pt idx="14">
                  <c:v>8.7847112111709205</c:v>
                </c:pt>
                <c:pt idx="15">
                  <c:v>8.8988396288408307</c:v>
                </c:pt>
                <c:pt idx="16">
                  <c:v>9.0127780177754406</c:v>
                </c:pt>
                <c:pt idx="17">
                  <c:v>9.1252961953430205</c:v>
                </c:pt>
                <c:pt idx="18">
                  <c:v>9.2361987505031404</c:v>
                </c:pt>
                <c:pt idx="19">
                  <c:v>9.3588397981040199</c:v>
                </c:pt>
                <c:pt idx="20">
                  <c:v>9.4839167353798999</c:v>
                </c:pt>
                <c:pt idx="21">
                  <c:v>9.6087235684294399</c:v>
                </c:pt>
                <c:pt idx="22">
                  <c:v>9.7382748674985304</c:v>
                </c:pt>
                <c:pt idx="23">
                  <c:v>9.87203635038931</c:v>
                </c:pt>
                <c:pt idx="24">
                  <c:v>10.008388555212701</c:v>
                </c:pt>
                <c:pt idx="25">
                  <c:v>10.147767599996101</c:v>
                </c:pt>
                <c:pt idx="26">
                  <c:v>10.291529810864301</c:v>
                </c:pt>
                <c:pt idx="27">
                  <c:v>10.4428283366139</c:v>
                </c:pt>
                <c:pt idx="28">
                  <c:v>10.601601503605</c:v>
                </c:pt>
                <c:pt idx="29">
                  <c:v>10.764606414565799</c:v>
                </c:pt>
                <c:pt idx="30">
                  <c:v>10.935470009947</c:v>
                </c:pt>
                <c:pt idx="31">
                  <c:v>11.111388445899999</c:v>
                </c:pt>
                <c:pt idx="32">
                  <c:v>11.288030491415601</c:v>
                </c:pt>
                <c:pt idx="33">
                  <c:v>11.4628166906322</c:v>
                </c:pt>
                <c:pt idx="34">
                  <c:v>11.6327804877427</c:v>
                </c:pt>
                <c:pt idx="35">
                  <c:v>11.802535554054099</c:v>
                </c:pt>
                <c:pt idx="36">
                  <c:v>11.9680813161517</c:v>
                </c:pt>
                <c:pt idx="37">
                  <c:v>12.1323307829482</c:v>
                </c:pt>
                <c:pt idx="38">
                  <c:v>12.2976378069097</c:v>
                </c:pt>
                <c:pt idx="39">
                  <c:v>12.4607535035379</c:v>
                </c:pt>
                <c:pt idx="40">
                  <c:v>12.633341996612399</c:v>
                </c:pt>
              </c:numCache>
            </c:numRef>
          </c:val>
          <c:smooth val="0"/>
          <c:extLst>
            <c:ext xmlns:c16="http://schemas.microsoft.com/office/drawing/2014/chart" uri="{C3380CC4-5D6E-409C-BE32-E72D297353CC}">
              <c16:uniqueId val="{00000001-C866-43B8-ACD9-6085E11BE5AA}"/>
            </c:ext>
          </c:extLst>
        </c:ser>
        <c:ser>
          <c:idx val="2"/>
          <c:order val="2"/>
          <c:tx>
            <c:strRef>
              <c:f>'Fig 39 data'!$E$5</c:f>
              <c:strCache>
                <c:ptCount val="1"/>
                <c:pt idx="0">
                  <c:v>Low health spending growth </c:v>
                </c:pt>
              </c:strCache>
            </c:strRef>
          </c:tx>
          <c:spPr>
            <a:ln w="38100">
              <a:solidFill>
                <a:srgbClr val="3E403A"/>
              </a:solidFill>
            </a:ln>
          </c:spPr>
          <c:marker>
            <c:symbol val="none"/>
          </c:marker>
          <c:cat>
            <c:numRef>
              <c:f>'Fig 39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39 data'!$E$7:$E$47</c:f>
              <c:numCache>
                <c:formatCode>0.0</c:formatCode>
                <c:ptCount val="41"/>
                <c:pt idx="0">
                  <c:v>6.9237764948939899</c:v>
                </c:pt>
                <c:pt idx="1">
                  <c:v>7.0136120298750697</c:v>
                </c:pt>
                <c:pt idx="2">
                  <c:v>7.1006105742754597</c:v>
                </c:pt>
                <c:pt idx="3">
                  <c:v>7.1706066823743901</c:v>
                </c:pt>
                <c:pt idx="4">
                  <c:v>7.2349715270568904</c:v>
                </c:pt>
                <c:pt idx="5">
                  <c:v>7.2968006000409904</c:v>
                </c:pt>
                <c:pt idx="6">
                  <c:v>7.3540338322083301</c:v>
                </c:pt>
                <c:pt idx="7">
                  <c:v>7.4196632037002299</c:v>
                </c:pt>
                <c:pt idx="8">
                  <c:v>7.4773424655221499</c:v>
                </c:pt>
                <c:pt idx="9">
                  <c:v>7.5332373812900704</c:v>
                </c:pt>
                <c:pt idx="10">
                  <c:v>7.5883218385952</c:v>
                </c:pt>
                <c:pt idx="11">
                  <c:v>7.6439390282568498</c:v>
                </c:pt>
                <c:pt idx="12">
                  <c:v>7.7015109681076099</c:v>
                </c:pt>
                <c:pt idx="13">
                  <c:v>7.7502942448730101</c:v>
                </c:pt>
                <c:pt idx="14">
                  <c:v>7.7946904315566599</c:v>
                </c:pt>
                <c:pt idx="15">
                  <c:v>7.8331168680032102</c:v>
                </c:pt>
                <c:pt idx="16">
                  <c:v>7.8704295705850402</c:v>
                </c:pt>
                <c:pt idx="17">
                  <c:v>7.9057050234782302</c:v>
                </c:pt>
                <c:pt idx="18">
                  <c:v>7.9386517645689301</c:v>
                </c:pt>
                <c:pt idx="19">
                  <c:v>7.9805458836226597</c:v>
                </c:pt>
                <c:pt idx="20">
                  <c:v>8.0230617093306709</c:v>
                </c:pt>
                <c:pt idx="21">
                  <c:v>8.0644478825426305</c:v>
                </c:pt>
                <c:pt idx="22">
                  <c:v>8.1086730577960893</c:v>
                </c:pt>
                <c:pt idx="23">
                  <c:v>8.1549179515276204</c:v>
                </c:pt>
                <c:pt idx="24">
                  <c:v>8.20181045573249</c:v>
                </c:pt>
                <c:pt idx="25">
                  <c:v>8.2491186675786707</c:v>
                </c:pt>
                <c:pt idx="26">
                  <c:v>8.2984605526784794</c:v>
                </c:pt>
                <c:pt idx="27">
                  <c:v>8.3524800250936106</c:v>
                </c:pt>
                <c:pt idx="28">
                  <c:v>8.4105854967728</c:v>
                </c:pt>
                <c:pt idx="29">
                  <c:v>8.4705691236774108</c:v>
                </c:pt>
                <c:pt idx="30">
                  <c:v>8.5348285170738905</c:v>
                </c:pt>
                <c:pt idx="31">
                  <c:v>8.6019262649253907</c:v>
                </c:pt>
                <c:pt idx="32">
                  <c:v>8.6681070828383806</c:v>
                </c:pt>
                <c:pt idx="33">
                  <c:v>8.7312943661461304</c:v>
                </c:pt>
                <c:pt idx="34">
                  <c:v>8.7897790357845107</c:v>
                </c:pt>
                <c:pt idx="35">
                  <c:v>8.8469527010310092</c:v>
                </c:pt>
                <c:pt idx="36">
                  <c:v>8.89973742181418</c:v>
                </c:pt>
                <c:pt idx="37">
                  <c:v>8.9506596882982805</c:v>
                </c:pt>
                <c:pt idx="38">
                  <c:v>9.00140035792821</c:v>
                </c:pt>
                <c:pt idx="39">
                  <c:v>9.0500094480423297</c:v>
                </c:pt>
                <c:pt idx="40">
                  <c:v>9.1048729339527608</c:v>
                </c:pt>
              </c:numCache>
            </c:numRef>
          </c:val>
          <c:smooth val="0"/>
          <c:extLst>
            <c:ext xmlns:c16="http://schemas.microsoft.com/office/drawing/2014/chart" uri="{C3380CC4-5D6E-409C-BE32-E72D297353CC}">
              <c16:uniqueId val="{00000002-C866-43B8-ACD9-6085E11BE5AA}"/>
            </c:ext>
          </c:extLst>
        </c:ser>
        <c:dLbls>
          <c:showLegendKey val="0"/>
          <c:showVal val="0"/>
          <c:showCatName val="0"/>
          <c:showSerName val="0"/>
          <c:showPercent val="0"/>
          <c:showBubbleSize val="0"/>
        </c:dLbls>
        <c:smooth val="0"/>
        <c:axId val="1731439648"/>
        <c:axId val="1731445888"/>
      </c:lineChart>
      <c:catAx>
        <c:axId val="1731439648"/>
        <c:scaling>
          <c:orientation val="minMax"/>
        </c:scaling>
        <c:delete val="0"/>
        <c:axPos val="b"/>
        <c:title>
          <c:tx>
            <c:rich>
              <a:bodyPr/>
              <a:lstStyle/>
              <a:p>
                <a:pPr algn="ctr">
                  <a:defRPr sz="1800" b="1">
                    <a:solidFill>
                      <a:srgbClr val="000000"/>
                    </a:solidFill>
                    <a:latin typeface="Arial"/>
                    <a:ea typeface="Arial"/>
                    <a:cs typeface="Arial"/>
                  </a:defRPr>
                </a:pPr>
                <a:r>
                  <a:rPr lang="en-NZ"/>
                  <a:t>Year ending</a:t>
                </a:r>
                <a:r>
                  <a:rPr lang="en-NZ" baseline="0"/>
                  <a:t> 30 June</a:t>
                </a:r>
                <a:endParaRPr lang="en-NZ"/>
              </a:p>
            </c:rich>
          </c:tx>
          <c:layout>
            <c:manualLayout>
              <c:xMode val="edge"/>
              <c:yMode val="edge"/>
              <c:x val="0.41943830533447224"/>
              <c:y val="0.88858264905862927"/>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731445888"/>
        <c:crosses val="autoZero"/>
        <c:auto val="1"/>
        <c:lblAlgn val="ctr"/>
        <c:lblOffset val="100"/>
        <c:tickLblSkip val="5"/>
        <c:tickMarkSkip val="5"/>
        <c:noMultiLvlLbl val="0"/>
      </c:catAx>
      <c:valAx>
        <c:axId val="1731445888"/>
        <c:scaling>
          <c:orientation val="minMax"/>
          <c:min val="6"/>
        </c:scaling>
        <c:delete val="0"/>
        <c:axPos val="l"/>
        <c:majorGridlines>
          <c:spPr>
            <a:ln w="9525">
              <a:solidFill>
                <a:schemeClr val="bg1">
                  <a:lumMod val="50000"/>
                </a:schemeClr>
              </a:solidFill>
            </a:ln>
          </c:spPr>
        </c:majorGridlines>
        <c:title>
          <c:tx>
            <c:rich>
              <a:bodyPr rot="0" vert="horz"/>
              <a:lstStyle/>
              <a:p>
                <a:pPr>
                  <a:defRPr sz="1800">
                    <a:solidFill>
                      <a:sysClr val="windowText" lastClr="000000"/>
                    </a:solidFill>
                    <a:latin typeface="Arial" panose="020B0604020202020204" pitchFamily="34" charset="0"/>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9.1118801123387192E-3"/>
              <c:y val="1.679852563506648E-2"/>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rgbClr val="000000"/>
                </a:solidFill>
                <a:latin typeface="Arial"/>
                <a:ea typeface="Arial"/>
                <a:cs typeface="Arial"/>
              </a:defRPr>
            </a:pPr>
            <a:endParaRPr lang="en-US"/>
          </a:p>
        </c:txPr>
        <c:crossAx val="1731439648"/>
        <c:crosses val="autoZero"/>
        <c:crossBetween val="between"/>
      </c:valAx>
    </c:plotArea>
    <c:legend>
      <c:legendPos val="b"/>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224215956968433E-2"/>
          <c:y val="9.7415225278325787E-2"/>
          <c:w val="0.90550083075873022"/>
          <c:h val="0.61250161588765573"/>
        </c:manualLayout>
      </c:layout>
      <c:lineChart>
        <c:grouping val="standard"/>
        <c:varyColors val="0"/>
        <c:ser>
          <c:idx val="0"/>
          <c:order val="0"/>
          <c:tx>
            <c:strRef>
              <c:f>'Fig 40 data'!$C$5</c:f>
              <c:strCache>
                <c:ptCount val="1"/>
                <c:pt idx="0">
                  <c:v>Net New Zealand Superannuation per person of a couple </c:v>
                </c:pt>
              </c:strCache>
            </c:strRef>
          </c:tx>
          <c:spPr>
            <a:ln w="38100" cap="rnd">
              <a:solidFill>
                <a:srgbClr val="0083AC"/>
              </a:solidFill>
              <a:round/>
            </a:ln>
            <a:effectLst/>
          </c:spPr>
          <c:marker>
            <c:symbol val="none"/>
          </c:marker>
          <c:cat>
            <c:numRef>
              <c:f>'Fig 40 data'!$B$7:$B$72</c:f>
              <c:numCache>
                <c:formatCode>General</c:formatCode>
                <c:ptCount val="6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numCache>
            </c:numRef>
          </c:cat>
          <c:val>
            <c:numRef>
              <c:f>'Fig 40 data'!$C$7:$C$72</c:f>
              <c:numCache>
                <c:formatCode>0.0</c:formatCode>
                <c:ptCount val="66"/>
                <c:pt idx="0">
                  <c:v>33.845073444784738</c:v>
                </c:pt>
                <c:pt idx="1">
                  <c:v>34.14334109275346</c:v>
                </c:pt>
                <c:pt idx="2">
                  <c:v>33.611771157009684</c:v>
                </c:pt>
                <c:pt idx="3">
                  <c:v>33.231186488438034</c:v>
                </c:pt>
                <c:pt idx="4">
                  <c:v>32.854938271604937</c:v>
                </c:pt>
                <c:pt idx="5">
                  <c:v>32.92452356651664</c:v>
                </c:pt>
                <c:pt idx="6">
                  <c:v>33.058658762987335</c:v>
                </c:pt>
                <c:pt idx="7">
                  <c:v>32.999907094856148</c:v>
                </c:pt>
                <c:pt idx="8">
                  <c:v>33.116472395409779</c:v>
                </c:pt>
                <c:pt idx="9">
                  <c:v>33.074295828205585</c:v>
                </c:pt>
                <c:pt idx="10">
                  <c:v>33.000687767184068</c:v>
                </c:pt>
                <c:pt idx="11">
                  <c:v>33.00015144631228</c:v>
                </c:pt>
                <c:pt idx="12">
                  <c:v>33.00054099247528</c:v>
                </c:pt>
                <c:pt idx="13">
                  <c:v>33.000456105816554</c:v>
                </c:pt>
                <c:pt idx="14">
                  <c:v>33.000128605333614</c:v>
                </c:pt>
                <c:pt idx="15">
                  <c:v>33.000767459708371</c:v>
                </c:pt>
                <c:pt idx="16">
                  <c:v>32.999587463345563</c:v>
                </c:pt>
                <c:pt idx="17">
                  <c:v>32.999472272307486</c:v>
                </c:pt>
                <c:pt idx="18">
                  <c:v>33.000149825560243</c:v>
                </c:pt>
                <c:pt idx="19">
                  <c:v>33.00082431628703</c:v>
                </c:pt>
                <c:pt idx="20">
                  <c:v>32.99964573105926</c:v>
                </c:pt>
                <c:pt idx="21">
                  <c:v>33.014753550871269</c:v>
                </c:pt>
                <c:pt idx="22">
                  <c:v>33.404311201996137</c:v>
                </c:pt>
                <c:pt idx="23">
                  <c:v>33.711813526399439</c:v>
                </c:pt>
                <c:pt idx="24">
                  <c:v>33.511405568601141</c:v>
                </c:pt>
                <c:pt idx="25">
                  <c:v>33.000278873351661</c:v>
                </c:pt>
                <c:pt idx="26">
                  <c:v>33.301632463786341</c:v>
                </c:pt>
                <c:pt idx="27">
                  <c:v>33.36730518302334</c:v>
                </c:pt>
                <c:pt idx="28">
                  <c:v>33.310159821664719</c:v>
                </c:pt>
                <c:pt idx="29">
                  <c:v>33.218573381108939</c:v>
                </c:pt>
                <c:pt idx="30">
                  <c:v>33.000251247263201</c:v>
                </c:pt>
                <c:pt idx="31">
                  <c:v>32.999930250401057</c:v>
                </c:pt>
                <c:pt idx="32">
                  <c:v>33.00012198923784</c:v>
                </c:pt>
                <c:pt idx="33">
                  <c:v>33.000131700250229</c:v>
                </c:pt>
                <c:pt idx="34">
                  <c:v>32.999980805036756</c:v>
                </c:pt>
                <c:pt idx="35">
                  <c:v>32.999900529679451</c:v>
                </c:pt>
                <c:pt idx="36">
                  <c:v>32.999891268892021</c:v>
                </c:pt>
                <c:pt idx="37">
                  <c:v>32.999759357190229</c:v>
                </c:pt>
                <c:pt idx="38">
                  <c:v>32.999903050487887</c:v>
                </c:pt>
                <c:pt idx="39">
                  <c:v>33.000121906619526</c:v>
                </c:pt>
                <c:pt idx="40">
                  <c:v>33.00023690048026</c:v>
                </c:pt>
                <c:pt idx="41">
                  <c:v>32.99991629697832</c:v>
                </c:pt>
                <c:pt idx="42">
                  <c:v>33.000050831088295</c:v>
                </c:pt>
                <c:pt idx="43">
                  <c:v>32.999787623906634</c:v>
                </c:pt>
                <c:pt idx="44">
                  <c:v>32.999966407363509</c:v>
                </c:pt>
                <c:pt idx="45">
                  <c:v>32.999780843890903</c:v>
                </c:pt>
                <c:pt idx="46">
                  <c:v>33.000176696856151</c:v>
                </c:pt>
                <c:pt idx="47">
                  <c:v>32.999938368888614</c:v>
                </c:pt>
                <c:pt idx="48">
                  <c:v>32.999837458188253</c:v>
                </c:pt>
                <c:pt idx="49">
                  <c:v>33.000149620960237</c:v>
                </c:pt>
                <c:pt idx="50">
                  <c:v>33.000173646866884</c:v>
                </c:pt>
                <c:pt idx="51">
                  <c:v>32.999941143002879</c:v>
                </c:pt>
                <c:pt idx="52">
                  <c:v>32.999862748387294</c:v>
                </c:pt>
                <c:pt idx="53">
                  <c:v>32.999933319997332</c:v>
                </c:pt>
                <c:pt idx="54">
                  <c:v>33.00014757597463</c:v>
                </c:pt>
                <c:pt idx="55">
                  <c:v>33.000034973594936</c:v>
                </c:pt>
                <c:pt idx="56">
                  <c:v>32.999969416154386</c:v>
                </c:pt>
                <c:pt idx="57">
                  <c:v>33.000066037112859</c:v>
                </c:pt>
                <c:pt idx="58">
                  <c:v>32.999996791756097</c:v>
                </c:pt>
                <c:pt idx="59">
                  <c:v>32.999887777750061</c:v>
                </c:pt>
                <c:pt idx="60">
                  <c:v>32.999851583962588</c:v>
                </c:pt>
                <c:pt idx="61">
                  <c:v>33.000085347585397</c:v>
                </c:pt>
                <c:pt idx="62">
                  <c:v>33.00009722563783</c:v>
                </c:pt>
                <c:pt idx="63">
                  <c:v>33.000005557006553</c:v>
                </c:pt>
                <c:pt idx="64">
                  <c:v>33.00009719012548</c:v>
                </c:pt>
                <c:pt idx="65">
                  <c:v>33.000102303937126</c:v>
                </c:pt>
              </c:numCache>
            </c:numRef>
          </c:val>
          <c:smooth val="0"/>
          <c:extLst>
            <c:ext xmlns:c16="http://schemas.microsoft.com/office/drawing/2014/chart" uri="{C3380CC4-5D6E-409C-BE32-E72D297353CC}">
              <c16:uniqueId val="{00000000-F763-470E-AE4E-63EC39680E62}"/>
            </c:ext>
          </c:extLst>
        </c:ser>
        <c:ser>
          <c:idx val="1"/>
          <c:order val="1"/>
          <c:tx>
            <c:strRef>
              <c:f>'Fig 40 data'!$D$5</c:f>
              <c:strCache>
                <c:ptCount val="1"/>
                <c:pt idx="0">
                  <c:v>Net Jobseeker for an adult without children - CPI indexation</c:v>
                </c:pt>
              </c:strCache>
            </c:strRef>
          </c:tx>
          <c:spPr>
            <a:ln w="38100" cap="rnd">
              <a:solidFill>
                <a:srgbClr val="67A854"/>
              </a:solidFill>
              <a:round/>
            </a:ln>
            <a:effectLst/>
          </c:spPr>
          <c:marker>
            <c:symbol val="none"/>
          </c:marker>
          <c:cat>
            <c:numRef>
              <c:f>'Fig 40 data'!$B$7:$B$72</c:f>
              <c:numCache>
                <c:formatCode>General</c:formatCode>
                <c:ptCount val="6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numCache>
            </c:numRef>
          </c:cat>
          <c:val>
            <c:numRef>
              <c:f>'Fig 40 data'!$D$7:$D$72</c:f>
              <c:numCache>
                <c:formatCode>0.0</c:formatCode>
                <c:ptCount val="66"/>
                <c:pt idx="0">
                  <c:v>28.99557185494411</c:v>
                </c:pt>
                <c:pt idx="1">
                  <c:v>29.251121330835179</c:v>
                </c:pt>
                <c:pt idx="2">
                  <c:v>28.764394077865106</c:v>
                </c:pt>
                <c:pt idx="3">
                  <c:v>28.469030133319247</c:v>
                </c:pt>
                <c:pt idx="4">
                  <c:v>28.148148148148145</c:v>
                </c:pt>
                <c:pt idx="5">
                  <c:v>28.207873910351868</c:v>
                </c:pt>
                <c:pt idx="6">
                  <c:v>28.322965182555453</c:v>
                </c:pt>
                <c:pt idx="7">
                  <c:v>27.637731875754852</c:v>
                </c:pt>
                <c:pt idx="8">
                  <c:v>27.735610373181533</c:v>
                </c:pt>
                <c:pt idx="9">
                  <c:v>26.326414911710614</c:v>
                </c:pt>
                <c:pt idx="10">
                  <c:v>26.178307013876715</c:v>
                </c:pt>
                <c:pt idx="11">
                  <c:v>25.417739411378665</c:v>
                </c:pt>
                <c:pt idx="12">
                  <c:v>25.20041312152658</c:v>
                </c:pt>
                <c:pt idx="13">
                  <c:v>24.750942218594716</c:v>
                </c:pt>
                <c:pt idx="14">
                  <c:v>24.44202822302503</c:v>
                </c:pt>
                <c:pt idx="15">
                  <c:v>24.069598286388473</c:v>
                </c:pt>
                <c:pt idx="16">
                  <c:v>23.42873708035545</c:v>
                </c:pt>
                <c:pt idx="17">
                  <c:v>23.357447557060556</c:v>
                </c:pt>
                <c:pt idx="18">
                  <c:v>23.045311530147043</c:v>
                </c:pt>
                <c:pt idx="19">
                  <c:v>22.84921272577397</c:v>
                </c:pt>
                <c:pt idx="20">
                  <c:v>25.379826914317526</c:v>
                </c:pt>
                <c:pt idx="21">
                  <c:v>25.391430760465987</c:v>
                </c:pt>
                <c:pt idx="22">
                  <c:v>29.548055456540908</c:v>
                </c:pt>
                <c:pt idx="23">
                  <c:v>29.819883453999648</c:v>
                </c:pt>
                <c:pt idx="24">
                  <c:v>29.642737336464272</c:v>
                </c:pt>
                <c:pt idx="25">
                  <c:v>28.789291263296285</c:v>
                </c:pt>
                <c:pt idx="26">
                  <c:v>29.051882009887528</c:v>
                </c:pt>
                <c:pt idx="27">
                  <c:v>29.109242659378161</c:v>
                </c:pt>
                <c:pt idx="28">
                  <c:v>29.059583632447957</c:v>
                </c:pt>
                <c:pt idx="29">
                  <c:v>28.979350596579366</c:v>
                </c:pt>
                <c:pt idx="30">
                  <c:v>28.721151430314777</c:v>
                </c:pt>
                <c:pt idx="31">
                  <c:v>28.464811327334868</c:v>
                </c:pt>
                <c:pt idx="32">
                  <c:v>28.210688968106592</c:v>
                </c:pt>
                <c:pt idx="33">
                  <c:v>27.959304622678786</c:v>
                </c:pt>
                <c:pt idx="34">
                  <c:v>27.709848935639286</c:v>
                </c:pt>
                <c:pt idx="35">
                  <c:v>27.462512122945316</c:v>
                </c:pt>
                <c:pt idx="36">
                  <c:v>27.217208510021383</c:v>
                </c:pt>
                <c:pt idx="37">
                  <c:v>26.974298174049313</c:v>
                </c:pt>
                <c:pt idx="38">
                  <c:v>26.733542820318338</c:v>
                </c:pt>
                <c:pt idx="39">
                  <c:v>26.495295512728159</c:v>
                </c:pt>
                <c:pt idx="40">
                  <c:v>26.258803006482459</c:v>
                </c:pt>
                <c:pt idx="41">
                  <c:v>26.024315727797774</c:v>
                </c:pt>
                <c:pt idx="42">
                  <c:v>25.792202511055763</c:v>
                </c:pt>
                <c:pt idx="43">
                  <c:v>25.562179275056671</c:v>
                </c:pt>
                <c:pt idx="44">
                  <c:v>25.334126759414335</c:v>
                </c:pt>
                <c:pt idx="45">
                  <c:v>25.108295758163564</c:v>
                </c:pt>
                <c:pt idx="46">
                  <c:v>24.884354172990751</c:v>
                </c:pt>
                <c:pt idx="47">
                  <c:v>24.662129442942799</c:v>
                </c:pt>
                <c:pt idx="48">
                  <c:v>24.442011069952859</c:v>
                </c:pt>
                <c:pt idx="49">
                  <c:v>24.224049075674959</c:v>
                </c:pt>
                <c:pt idx="50">
                  <c:v>24.008092751656712</c:v>
                </c:pt>
                <c:pt idx="51">
                  <c:v>23.793922034097818</c:v>
                </c:pt>
                <c:pt idx="52">
                  <c:v>23.581733335366689</c:v>
                </c:pt>
                <c:pt idx="53">
                  <c:v>23.371340934853638</c:v>
                </c:pt>
                <c:pt idx="54">
                  <c:v>23.162949071891095</c:v>
                </c:pt>
                <c:pt idx="55">
                  <c:v>22.956317979925156</c:v>
                </c:pt>
                <c:pt idx="56">
                  <c:v>22.751662571829559</c:v>
                </c:pt>
                <c:pt idx="57">
                  <c:v>22.548702370732354</c:v>
                </c:pt>
                <c:pt idx="58">
                  <c:v>22.347664558850422</c:v>
                </c:pt>
                <c:pt idx="59">
                  <c:v>22.148307937853811</c:v>
                </c:pt>
                <c:pt idx="60">
                  <c:v>21.950731933376343</c:v>
                </c:pt>
                <c:pt idx="61">
                  <c:v>21.754805216208979</c:v>
                </c:pt>
                <c:pt idx="62">
                  <c:v>21.56064306180691</c:v>
                </c:pt>
                <c:pt idx="63">
                  <c:v>21.368357293293251</c:v>
                </c:pt>
                <c:pt idx="64">
                  <c:v>21.177728342800371</c:v>
                </c:pt>
                <c:pt idx="65">
                  <c:v>20.988833131785832</c:v>
                </c:pt>
              </c:numCache>
            </c:numRef>
          </c:val>
          <c:smooth val="0"/>
          <c:extLst>
            <c:ext xmlns:c16="http://schemas.microsoft.com/office/drawing/2014/chart" uri="{C3380CC4-5D6E-409C-BE32-E72D297353CC}">
              <c16:uniqueId val="{00000001-F763-470E-AE4E-63EC39680E62}"/>
            </c:ext>
          </c:extLst>
        </c:ser>
        <c:ser>
          <c:idx val="2"/>
          <c:order val="2"/>
          <c:tx>
            <c:strRef>
              <c:f>'Fig 40 data'!$E$5</c:f>
              <c:strCache>
                <c:ptCount val="1"/>
                <c:pt idx="0">
                  <c:v>Jobseeker in Long-Term Fiscal Model baseline</c:v>
                </c:pt>
              </c:strCache>
            </c:strRef>
          </c:tx>
          <c:spPr>
            <a:ln w="38100" cap="rnd">
              <a:solidFill>
                <a:srgbClr val="3F403A"/>
              </a:solidFill>
              <a:round/>
            </a:ln>
            <a:effectLst/>
          </c:spPr>
          <c:marker>
            <c:symbol val="none"/>
          </c:marker>
          <c:cat>
            <c:numRef>
              <c:f>'Fig 40 data'!$B$7:$B$72</c:f>
              <c:numCache>
                <c:formatCode>General</c:formatCode>
                <c:ptCount val="6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numCache>
            </c:numRef>
          </c:cat>
          <c:val>
            <c:numRef>
              <c:f>'Fig 40 data'!$E$7:$E$72</c:f>
              <c:numCache>
                <c:formatCode>0.0</c:formatCode>
                <c:ptCount val="66"/>
                <c:pt idx="0">
                  <c:v>28.99557185494411</c:v>
                </c:pt>
                <c:pt idx="1">
                  <c:v>29.251121330835179</c:v>
                </c:pt>
                <c:pt idx="2">
                  <c:v>28.764394077865106</c:v>
                </c:pt>
                <c:pt idx="3">
                  <c:v>28.469030133319247</c:v>
                </c:pt>
                <c:pt idx="4">
                  <c:v>28.148148148148145</c:v>
                </c:pt>
                <c:pt idx="5">
                  <c:v>28.207873910351868</c:v>
                </c:pt>
                <c:pt idx="6">
                  <c:v>28.322965182555453</c:v>
                </c:pt>
                <c:pt idx="7">
                  <c:v>27.637731875754852</c:v>
                </c:pt>
                <c:pt idx="8">
                  <c:v>27.735610373181533</c:v>
                </c:pt>
                <c:pt idx="9">
                  <c:v>26.326414911710614</c:v>
                </c:pt>
                <c:pt idx="10">
                  <c:v>26.178307013876715</c:v>
                </c:pt>
                <c:pt idx="11">
                  <c:v>25.417739411378665</c:v>
                </c:pt>
                <c:pt idx="12">
                  <c:v>25.20041312152658</c:v>
                </c:pt>
                <c:pt idx="13">
                  <c:v>24.750942218594716</c:v>
                </c:pt>
                <c:pt idx="14">
                  <c:v>24.44202822302503</c:v>
                </c:pt>
                <c:pt idx="15">
                  <c:v>24.069598286388473</c:v>
                </c:pt>
                <c:pt idx="16">
                  <c:v>23.42873708035545</c:v>
                </c:pt>
                <c:pt idx="17">
                  <c:v>23.357447557060556</c:v>
                </c:pt>
                <c:pt idx="18">
                  <c:v>23.045311530147043</c:v>
                </c:pt>
                <c:pt idx="19">
                  <c:v>22.84921272577397</c:v>
                </c:pt>
                <c:pt idx="20">
                  <c:v>25.379826914317526</c:v>
                </c:pt>
                <c:pt idx="21">
                  <c:v>25.391430760465987</c:v>
                </c:pt>
                <c:pt idx="22">
                  <c:v>29.548055456540908</c:v>
                </c:pt>
                <c:pt idx="23">
                  <c:v>29.819883453999648</c:v>
                </c:pt>
                <c:pt idx="24">
                  <c:v>29.642737336464272</c:v>
                </c:pt>
                <c:pt idx="25">
                  <c:v>28.789291263296285</c:v>
                </c:pt>
                <c:pt idx="26">
                  <c:v>29.051882009887528</c:v>
                </c:pt>
                <c:pt idx="27">
                  <c:v>29.109242659378161</c:v>
                </c:pt>
                <c:pt idx="28">
                  <c:v>29.059583632447957</c:v>
                </c:pt>
                <c:pt idx="29">
                  <c:v>28.979350596579366</c:v>
                </c:pt>
                <c:pt idx="30">
                  <c:v>28.721151430314777</c:v>
                </c:pt>
                <c:pt idx="31">
                  <c:v>28.464811327334868</c:v>
                </c:pt>
                <c:pt idx="32">
                  <c:v>28.210688968106592</c:v>
                </c:pt>
                <c:pt idx="33">
                  <c:v>27.959304622678786</c:v>
                </c:pt>
                <c:pt idx="34">
                  <c:v>27.709848935639286</c:v>
                </c:pt>
                <c:pt idx="35">
                  <c:v>27.462512122945316</c:v>
                </c:pt>
                <c:pt idx="36">
                  <c:v>27.217208510021383</c:v>
                </c:pt>
                <c:pt idx="37">
                  <c:v>26.974298174049313</c:v>
                </c:pt>
                <c:pt idx="38">
                  <c:v>26.733542820318338</c:v>
                </c:pt>
                <c:pt idx="39">
                  <c:v>26.733567541808426</c:v>
                </c:pt>
                <c:pt idx="40">
                  <c:v>26.733680787371053</c:v>
                </c:pt>
                <c:pt idx="41">
                  <c:v>26.733698836527999</c:v>
                </c:pt>
                <c:pt idx="42">
                  <c:v>26.733594266253238</c:v>
                </c:pt>
                <c:pt idx="43">
                  <c:v>26.733705073813038</c:v>
                </c:pt>
                <c:pt idx="44">
                  <c:v>26.733500016796324</c:v>
                </c:pt>
                <c:pt idx="45">
                  <c:v>26.733781282203125</c:v>
                </c:pt>
                <c:pt idx="46">
                  <c:v>26.73378126741483</c:v>
                </c:pt>
                <c:pt idx="47">
                  <c:v>26.733815229928069</c:v>
                </c:pt>
                <c:pt idx="48">
                  <c:v>26.733850615520176</c:v>
                </c:pt>
                <c:pt idx="49">
                  <c:v>26.733940683601542</c:v>
                </c:pt>
                <c:pt idx="50">
                  <c:v>26.73394473183674</c:v>
                </c:pt>
                <c:pt idx="51">
                  <c:v>26.734025230032763</c:v>
                </c:pt>
                <c:pt idx="52">
                  <c:v>26.733945373858141</c:v>
                </c:pt>
                <c:pt idx="53">
                  <c:v>26.733865291576834</c:v>
                </c:pt>
                <c:pt idx="54">
                  <c:v>26.733927716567742</c:v>
                </c:pt>
                <c:pt idx="55">
                  <c:v>26.733815968943446</c:v>
                </c:pt>
                <c:pt idx="56">
                  <c:v>26.734019091116071</c:v>
                </c:pt>
                <c:pt idx="57">
                  <c:v>26.734134583636003</c:v>
                </c:pt>
                <c:pt idx="58">
                  <c:v>26.734296448153177</c:v>
                </c:pt>
                <c:pt idx="59">
                  <c:v>26.734457218384499</c:v>
                </c:pt>
                <c:pt idx="60">
                  <c:v>26.7345745760299</c:v>
                </c:pt>
                <c:pt idx="61">
                  <c:v>26.73468967323647</c:v>
                </c:pt>
                <c:pt idx="62">
                  <c:v>26.734762740847923</c:v>
                </c:pt>
                <c:pt idx="63">
                  <c:v>26.734758520280295</c:v>
                </c:pt>
                <c:pt idx="64">
                  <c:v>26.73484373987603</c:v>
                </c:pt>
                <c:pt idx="65">
                  <c:v>26.734904267123447</c:v>
                </c:pt>
              </c:numCache>
            </c:numRef>
          </c:val>
          <c:smooth val="0"/>
          <c:extLst>
            <c:ext xmlns:c16="http://schemas.microsoft.com/office/drawing/2014/chart" uri="{C3380CC4-5D6E-409C-BE32-E72D297353CC}">
              <c16:uniqueId val="{00000002-F763-470E-AE4E-63EC39680E62}"/>
            </c:ext>
          </c:extLst>
        </c:ser>
        <c:dLbls>
          <c:showLegendKey val="0"/>
          <c:showVal val="0"/>
          <c:showCatName val="0"/>
          <c:showSerName val="0"/>
          <c:showPercent val="0"/>
          <c:showBubbleSize val="0"/>
        </c:dLbls>
        <c:marker val="1"/>
        <c:smooth val="0"/>
        <c:axId val="1120237743"/>
        <c:axId val="1120233423"/>
      </c:lineChart>
      <c:scatterChart>
        <c:scatterStyle val="lineMarker"/>
        <c:varyColors val="0"/>
        <c:ser>
          <c:idx val="3"/>
          <c:order val="3"/>
          <c:tx>
            <c:strRef>
              <c:f>'Fig 40 data'!$F$5</c:f>
              <c:strCache>
                <c:ptCount val="1"/>
                <c:pt idx="0">
                  <c:v>line</c:v>
                </c:pt>
              </c:strCache>
            </c:strRef>
          </c:tx>
          <c:spPr>
            <a:ln w="25400" cap="rnd">
              <a:noFill/>
              <a:round/>
            </a:ln>
            <a:effectLst/>
          </c:spPr>
          <c:marker>
            <c:symbol val="circle"/>
            <c:size val="5"/>
            <c:spPr>
              <a:solidFill>
                <a:schemeClr val="accent4"/>
              </a:solidFill>
              <a:ln w="9525">
                <a:solidFill>
                  <a:schemeClr val="accent4"/>
                </a:solidFill>
              </a:ln>
              <a:effectLst/>
            </c:spPr>
          </c:marker>
          <c:dPt>
            <c:idx val="29"/>
            <c:marker>
              <c:symbol val="circle"/>
              <c:size val="5"/>
              <c:spPr>
                <a:noFill/>
                <a:ln w="9525">
                  <a:noFill/>
                </a:ln>
                <a:effectLst/>
              </c:spPr>
            </c:marker>
            <c:bubble3D val="0"/>
            <c:extLst>
              <c:ext xmlns:c16="http://schemas.microsoft.com/office/drawing/2014/chart" uri="{C3380CC4-5D6E-409C-BE32-E72D297353CC}">
                <c16:uniqueId val="{00000004-F763-470E-AE4E-63EC39680E62}"/>
              </c:ext>
            </c:extLst>
          </c:dPt>
          <c:errBars>
            <c:errDir val="y"/>
            <c:errBarType val="both"/>
            <c:errValType val="fixedVal"/>
            <c:noEndCap val="0"/>
            <c:val val="1"/>
            <c:spPr>
              <a:noFill/>
              <a:ln w="9525" cap="flat" cmpd="sng" algn="ctr">
                <a:solidFill>
                  <a:schemeClr val="tx1">
                    <a:lumMod val="65000"/>
                    <a:lumOff val="35000"/>
                  </a:schemeClr>
                </a:solidFill>
                <a:round/>
              </a:ln>
              <a:effectLst/>
            </c:spPr>
          </c:errBars>
          <c:xVal>
            <c:numRef>
              <c:f>'Fig 40 data'!$B$7:$B$72</c:f>
              <c:numCache>
                <c:formatCode>General</c:formatCode>
                <c:ptCount val="6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pt idx="41">
                  <c:v>2041</c:v>
                </c:pt>
                <c:pt idx="42">
                  <c:v>2042</c:v>
                </c:pt>
                <c:pt idx="43">
                  <c:v>2043</c:v>
                </c:pt>
                <c:pt idx="44">
                  <c:v>2044</c:v>
                </c:pt>
                <c:pt idx="45">
                  <c:v>2045</c:v>
                </c:pt>
                <c:pt idx="46">
                  <c:v>2046</c:v>
                </c:pt>
                <c:pt idx="47">
                  <c:v>2047</c:v>
                </c:pt>
                <c:pt idx="48">
                  <c:v>2048</c:v>
                </c:pt>
                <c:pt idx="49">
                  <c:v>2049</c:v>
                </c:pt>
                <c:pt idx="50">
                  <c:v>2050</c:v>
                </c:pt>
                <c:pt idx="51">
                  <c:v>2051</c:v>
                </c:pt>
                <c:pt idx="52">
                  <c:v>2052</c:v>
                </c:pt>
                <c:pt idx="53">
                  <c:v>2053</c:v>
                </c:pt>
                <c:pt idx="54">
                  <c:v>2054</c:v>
                </c:pt>
                <c:pt idx="55">
                  <c:v>2055</c:v>
                </c:pt>
                <c:pt idx="56">
                  <c:v>2056</c:v>
                </c:pt>
                <c:pt idx="57">
                  <c:v>2057</c:v>
                </c:pt>
                <c:pt idx="58">
                  <c:v>2058</c:v>
                </c:pt>
                <c:pt idx="59">
                  <c:v>2059</c:v>
                </c:pt>
                <c:pt idx="60">
                  <c:v>2060</c:v>
                </c:pt>
                <c:pt idx="61">
                  <c:v>2061</c:v>
                </c:pt>
                <c:pt idx="62">
                  <c:v>2062</c:v>
                </c:pt>
                <c:pt idx="63">
                  <c:v>2063</c:v>
                </c:pt>
                <c:pt idx="64">
                  <c:v>2064</c:v>
                </c:pt>
                <c:pt idx="65">
                  <c:v>2065</c:v>
                </c:pt>
              </c:numCache>
            </c:numRef>
          </c:xVal>
          <c:yVal>
            <c:numRef>
              <c:f>'Fig 40 data'!$F$7:$F$72</c:f>
              <c:numCache>
                <c:formatCode>General</c:formatCode>
                <c:ptCount val="66"/>
                <c:pt idx="29" formatCode="0.0">
                  <c:v>1</c:v>
                </c:pt>
              </c:numCache>
            </c:numRef>
          </c:yVal>
          <c:smooth val="0"/>
          <c:extLst>
            <c:ext xmlns:c16="http://schemas.microsoft.com/office/drawing/2014/chart" uri="{C3380CC4-5D6E-409C-BE32-E72D297353CC}">
              <c16:uniqueId val="{00000003-F763-470E-AE4E-63EC39680E62}"/>
            </c:ext>
          </c:extLst>
        </c:ser>
        <c:dLbls>
          <c:showLegendKey val="0"/>
          <c:showVal val="0"/>
          <c:showCatName val="0"/>
          <c:showSerName val="0"/>
          <c:showPercent val="0"/>
          <c:showBubbleSize val="0"/>
        </c:dLbls>
        <c:axId val="65138240"/>
        <c:axId val="65142080"/>
      </c:scatterChart>
      <c:catAx>
        <c:axId val="1120237743"/>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Year</a:t>
                </a:r>
                <a:r>
                  <a:rPr lang="en-NZ" sz="1800" b="1" baseline="0">
                    <a:solidFill>
                      <a:sysClr val="windowText" lastClr="000000"/>
                    </a:solidFill>
                    <a:latin typeface="Arial" panose="020B0604020202020204" pitchFamily="34" charset="0"/>
                    <a:cs typeface="Arial" panose="020B0604020202020204" pitchFamily="34" charset="0"/>
                  </a:rPr>
                  <a:t> ending 30 June</a:t>
                </a:r>
                <a:endParaRPr lang="en-NZ" sz="18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6529494224774789"/>
              <c:y val="0.78621603553115571"/>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Z"/>
            </a:p>
          </c:txPr>
        </c:title>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0233423"/>
        <c:crosses val="autoZero"/>
        <c:auto val="1"/>
        <c:lblAlgn val="ctr"/>
        <c:lblOffset val="100"/>
        <c:tickLblSkip val="5"/>
        <c:tickMarkSkip val="5"/>
        <c:noMultiLvlLbl val="0"/>
      </c:catAx>
      <c:valAx>
        <c:axId val="1120233423"/>
        <c:scaling>
          <c:orientation val="minMax"/>
          <c:min val="15"/>
        </c:scaling>
        <c:delete val="0"/>
        <c:axPos val="l"/>
        <c:majorGridlines>
          <c:spPr>
            <a:ln w="9525" cap="flat" cmpd="sng" algn="ctr">
              <a:solidFill>
                <a:schemeClr val="bg1">
                  <a:lumMod val="5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0237743"/>
        <c:crosses val="autoZero"/>
        <c:crossBetween val="between"/>
      </c:valAx>
      <c:valAx>
        <c:axId val="65142080"/>
        <c:scaling>
          <c:orientation val="minMax"/>
          <c:max val="1"/>
        </c:scaling>
        <c:delete val="0"/>
        <c:axPos val="r"/>
        <c:title>
          <c:tx>
            <c:rich>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Projection</a:t>
                </a:r>
              </a:p>
            </c:rich>
          </c:tx>
          <c:layout>
            <c:manualLayout>
              <c:xMode val="edge"/>
              <c:yMode val="edge"/>
              <c:x val="0.64014758076743161"/>
              <c:y val="0.16590287526208"/>
            </c:manualLayout>
          </c:layout>
          <c:overlay val="0"/>
          <c:spPr>
            <a:noFill/>
            <a:ln>
              <a:noFill/>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8240"/>
        <c:crosses val="max"/>
        <c:crossBetween val="midCat"/>
      </c:valAx>
      <c:valAx>
        <c:axId val="65138240"/>
        <c:scaling>
          <c:orientation val="minMax"/>
          <c:max val="2065"/>
          <c:min val="2000"/>
        </c:scaling>
        <c:delete val="0"/>
        <c:axPos val="t"/>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Outturn and forecast</a:t>
                </a:r>
              </a:p>
            </c:rich>
          </c:tx>
          <c:layout>
            <c:manualLayout>
              <c:xMode val="edge"/>
              <c:yMode val="edge"/>
              <c:x val="0.12143355368725088"/>
              <c:y val="0.16644263553304264"/>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2080"/>
        <c:crosses val="max"/>
        <c:crossBetween val="midCat"/>
      </c:valAx>
      <c:spPr>
        <a:noFill/>
        <a:ln>
          <a:noFill/>
        </a:ln>
        <a:effectLst/>
      </c:spPr>
    </c:plotArea>
    <c:legend>
      <c:legendPos val="b"/>
      <c:legendEntry>
        <c:idx val="3"/>
        <c:delete val="1"/>
      </c:legendEntry>
      <c:layout>
        <c:manualLayout>
          <c:xMode val="edge"/>
          <c:yMode val="edge"/>
          <c:x val="2.6950224842029765E-4"/>
          <c:y val="0.84855511919002524"/>
          <c:w val="0.99124974367114216"/>
          <c:h val="0.14934277855875566"/>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878238371357528E-2"/>
          <c:y val="0.10002121901594004"/>
          <c:w val="0.93948980425566619"/>
          <c:h val="0.62450257602819681"/>
        </c:manualLayout>
      </c:layout>
      <c:barChart>
        <c:barDir val="col"/>
        <c:grouping val="clustered"/>
        <c:varyColors val="0"/>
        <c:ser>
          <c:idx val="0"/>
          <c:order val="0"/>
          <c:spPr>
            <a:solidFill>
              <a:srgbClr val="0083AC"/>
            </a:solidFill>
            <a:ln>
              <a:noFill/>
            </a:ln>
            <a:effectLst/>
          </c:spPr>
          <c:invertIfNegative val="0"/>
          <c:dPt>
            <c:idx val="14"/>
            <c:invertIfNegative val="0"/>
            <c:bubble3D val="0"/>
            <c:spPr>
              <a:solidFill>
                <a:srgbClr val="3F403A"/>
              </a:solidFill>
              <a:ln>
                <a:noFill/>
              </a:ln>
              <a:effectLst/>
            </c:spPr>
            <c:extLst>
              <c:ext xmlns:c16="http://schemas.microsoft.com/office/drawing/2014/chart" uri="{C3380CC4-5D6E-409C-BE32-E72D297353CC}">
                <c16:uniqueId val="{00000001-2F9A-49D0-ACB0-6A1DEA81F434}"/>
              </c:ext>
            </c:extLst>
          </c:dPt>
          <c:dPt>
            <c:idx val="17"/>
            <c:invertIfNegative val="0"/>
            <c:bubble3D val="0"/>
            <c:spPr>
              <a:solidFill>
                <a:srgbClr val="67A854"/>
              </a:solidFill>
              <a:ln>
                <a:noFill/>
              </a:ln>
              <a:effectLst/>
            </c:spPr>
            <c:extLst>
              <c:ext xmlns:c16="http://schemas.microsoft.com/office/drawing/2014/chart" uri="{C3380CC4-5D6E-409C-BE32-E72D297353CC}">
                <c16:uniqueId val="{00000002-2F9A-49D0-ACB0-6A1DEA81F434}"/>
              </c:ext>
            </c:extLst>
          </c:dPt>
          <c:cat>
            <c:strRef>
              <c:f>'Fig 41 data'!$B$7:$B$45</c:f>
              <c:strCache>
                <c:ptCount val="39"/>
                <c:pt idx="0">
                  <c:v>Mexico </c:v>
                </c:pt>
                <c:pt idx="1">
                  <c:v>Colombia </c:v>
                </c:pt>
                <c:pt idx="2">
                  <c:v>Ireland </c:v>
                </c:pt>
                <c:pt idx="3">
                  <c:v>Türkiye </c:v>
                </c:pt>
                <c:pt idx="4">
                  <c:v>Chile </c:v>
                </c:pt>
                <c:pt idx="5">
                  <c:v>Costa Rica </c:v>
                </c:pt>
                <c:pt idx="6">
                  <c:v>Switzerland </c:v>
                </c:pt>
                <c:pt idx="7">
                  <c:v>United States </c:v>
                </c:pt>
                <c:pt idx="8">
                  <c:v>Australia </c:v>
                </c:pt>
                <c:pt idx="9">
                  <c:v>Latvia </c:v>
                </c:pt>
                <c:pt idx="10">
                  <c:v>Lithuania </c:v>
                </c:pt>
                <c:pt idx="11">
                  <c:v>Korea </c:v>
                </c:pt>
                <c:pt idx="12">
                  <c:v>Estonia </c:v>
                </c:pt>
                <c:pt idx="13">
                  <c:v>Israel </c:v>
                </c:pt>
                <c:pt idx="14">
                  <c:v>New Zealand </c:v>
                </c:pt>
                <c:pt idx="15">
                  <c:v>Czechia </c:v>
                </c:pt>
                <c:pt idx="16">
                  <c:v>Canada </c:v>
                </c:pt>
                <c:pt idx="17">
                  <c:v>OECD average  </c:v>
                </c:pt>
                <c:pt idx="18">
                  <c:v>Poland </c:v>
                </c:pt>
                <c:pt idx="19">
                  <c:v>Japan </c:v>
                </c:pt>
                <c:pt idx="20">
                  <c:v>Slovak Republic </c:v>
                </c:pt>
                <c:pt idx="21">
                  <c:v>Hungary </c:v>
                </c:pt>
                <c:pt idx="22">
                  <c:v>Iceland </c:v>
                </c:pt>
                <c:pt idx="23">
                  <c:v>United Kingdom </c:v>
                </c:pt>
                <c:pt idx="24">
                  <c:v>Portugal </c:v>
                </c:pt>
                <c:pt idx="25">
                  <c:v>Slovenia </c:v>
                </c:pt>
                <c:pt idx="26">
                  <c:v>Spain </c:v>
                </c:pt>
                <c:pt idx="27">
                  <c:v>Netherlands </c:v>
                </c:pt>
                <c:pt idx="28">
                  <c:v>Luxembourg </c:v>
                </c:pt>
                <c:pt idx="29">
                  <c:v>Germany </c:v>
                </c:pt>
                <c:pt idx="30">
                  <c:v>Greece </c:v>
                </c:pt>
                <c:pt idx="31">
                  <c:v>Denmark </c:v>
                </c:pt>
                <c:pt idx="32">
                  <c:v>Belgium </c:v>
                </c:pt>
                <c:pt idx="33">
                  <c:v>Sweden </c:v>
                </c:pt>
                <c:pt idx="34">
                  <c:v>Italy </c:v>
                </c:pt>
                <c:pt idx="35">
                  <c:v>Finland </c:v>
                </c:pt>
                <c:pt idx="36">
                  <c:v>Austria </c:v>
                </c:pt>
                <c:pt idx="37">
                  <c:v>Norway </c:v>
                </c:pt>
                <c:pt idx="38">
                  <c:v>France </c:v>
                </c:pt>
              </c:strCache>
            </c:strRef>
          </c:cat>
          <c:val>
            <c:numRef>
              <c:f>'Fig 41 data'!$C$7:$C$45</c:f>
              <c:numCache>
                <c:formatCode>0.0</c:formatCode>
                <c:ptCount val="39"/>
                <c:pt idx="0">
                  <c:v>16.800999999999998</c:v>
                </c:pt>
                <c:pt idx="1">
                  <c:v>19.652000000000001</c:v>
                </c:pt>
                <c:pt idx="2">
                  <c:v>20.254999999999999</c:v>
                </c:pt>
                <c:pt idx="3">
                  <c:v>20.945</c:v>
                </c:pt>
                <c:pt idx="4">
                  <c:v>23.841000000000001</c:v>
                </c:pt>
                <c:pt idx="5">
                  <c:v>25.186</c:v>
                </c:pt>
                <c:pt idx="6">
                  <c:v>26.91</c:v>
                </c:pt>
                <c:pt idx="7">
                  <c:v>27.606999999999999</c:v>
                </c:pt>
                <c:pt idx="8">
                  <c:v>29.398</c:v>
                </c:pt>
                <c:pt idx="9">
                  <c:v>30.762</c:v>
                </c:pt>
                <c:pt idx="10">
                  <c:v>31.555</c:v>
                </c:pt>
                <c:pt idx="11">
                  <c:v>31.975999999999999</c:v>
                </c:pt>
                <c:pt idx="12">
                  <c:v>32.554000000000002</c:v>
                </c:pt>
                <c:pt idx="13">
                  <c:v>32.78</c:v>
                </c:pt>
                <c:pt idx="14">
                  <c:v>33.119999999999997</c:v>
                </c:pt>
                <c:pt idx="15">
                  <c:v>33.186999999999998</c:v>
                </c:pt>
                <c:pt idx="16">
                  <c:v>33.832000000000001</c:v>
                </c:pt>
                <c:pt idx="17">
                  <c:v>34.034999999999997</c:v>
                </c:pt>
                <c:pt idx="18">
                  <c:v>34.380000000000003</c:v>
                </c:pt>
                <c:pt idx="19">
                  <c:v>34.441000000000003</c:v>
                </c:pt>
                <c:pt idx="20">
                  <c:v>35.011000000000003</c:v>
                </c:pt>
                <c:pt idx="21">
                  <c:v>35.149000000000001</c:v>
                </c:pt>
                <c:pt idx="22">
                  <c:v>35.165999999999997</c:v>
                </c:pt>
                <c:pt idx="23">
                  <c:v>35.42</c:v>
                </c:pt>
                <c:pt idx="24">
                  <c:v>36.014000000000003</c:v>
                </c:pt>
                <c:pt idx="25">
                  <c:v>37.402000000000001</c:v>
                </c:pt>
                <c:pt idx="26">
                  <c:v>37.590000000000003</c:v>
                </c:pt>
                <c:pt idx="27">
                  <c:v>38.066000000000003</c:v>
                </c:pt>
                <c:pt idx="28">
                  <c:v>38.256999999999998</c:v>
                </c:pt>
                <c:pt idx="29">
                  <c:v>39.646999999999998</c:v>
                </c:pt>
                <c:pt idx="30">
                  <c:v>41.212000000000003</c:v>
                </c:pt>
                <c:pt idx="31">
                  <c:v>41.933999999999997</c:v>
                </c:pt>
                <c:pt idx="32">
                  <c:v>42.377000000000002</c:v>
                </c:pt>
                <c:pt idx="33">
                  <c:v>42.512</c:v>
                </c:pt>
                <c:pt idx="34">
                  <c:v>42.837000000000003</c:v>
                </c:pt>
                <c:pt idx="35">
                  <c:v>43.174999999999997</c:v>
                </c:pt>
                <c:pt idx="36">
                  <c:v>43.180999999999997</c:v>
                </c:pt>
                <c:pt idx="37">
                  <c:v>43.436999999999998</c:v>
                </c:pt>
                <c:pt idx="38">
                  <c:v>45.774000000000001</c:v>
                </c:pt>
              </c:numCache>
            </c:numRef>
          </c:val>
          <c:extLst>
            <c:ext xmlns:c16="http://schemas.microsoft.com/office/drawing/2014/chart" uri="{C3380CC4-5D6E-409C-BE32-E72D297353CC}">
              <c16:uniqueId val="{00000000-2F9A-49D0-ACB0-6A1DEA81F434}"/>
            </c:ext>
          </c:extLst>
        </c:ser>
        <c:dLbls>
          <c:showLegendKey val="0"/>
          <c:showVal val="0"/>
          <c:showCatName val="0"/>
          <c:showSerName val="0"/>
          <c:showPercent val="0"/>
          <c:showBubbleSize val="0"/>
        </c:dLbls>
        <c:gapWidth val="219"/>
        <c:overlap val="-27"/>
        <c:axId val="1357206576"/>
        <c:axId val="1357200336"/>
      </c:barChart>
      <c:catAx>
        <c:axId val="1357206576"/>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57200336"/>
        <c:crosses val="autoZero"/>
        <c:auto val="1"/>
        <c:lblAlgn val="ctr"/>
        <c:lblOffset val="100"/>
        <c:noMultiLvlLbl val="0"/>
      </c:catAx>
      <c:valAx>
        <c:axId val="1357200336"/>
        <c:scaling>
          <c:orientation val="minMax"/>
        </c:scaling>
        <c:delete val="0"/>
        <c:axPos val="l"/>
        <c:majorGridlines>
          <c:spPr>
            <a:ln w="9525" cap="flat" cmpd="sng" algn="ctr">
              <a:solidFill>
                <a:schemeClr val="bg1">
                  <a:lumMod val="50000"/>
                </a:schemeClr>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7.2946236756775851E-3"/>
              <c:y val="2.2111512843151819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5720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507803513493886E-2"/>
          <c:y val="0.10532250289048728"/>
          <c:w val="0.90174992074575822"/>
          <c:h val="0.7056542397709139"/>
        </c:manualLayout>
      </c:layout>
      <c:lineChart>
        <c:grouping val="standard"/>
        <c:varyColors val="0"/>
        <c:ser>
          <c:idx val="0"/>
          <c:order val="0"/>
          <c:tx>
            <c:strRef>
              <c:f>'Fig 42 data'!$C$5</c:f>
              <c:strCache>
                <c:ptCount val="1"/>
                <c:pt idx="0">
                  <c:v>Pension spending (labour tax-financed)</c:v>
                </c:pt>
              </c:strCache>
            </c:strRef>
          </c:tx>
          <c:spPr>
            <a:ln w="38100">
              <a:solidFill>
                <a:srgbClr val="0083AC"/>
              </a:solidFill>
            </a:ln>
          </c:spPr>
          <c:marker>
            <c:symbol val="none"/>
          </c:marker>
          <c:cat>
            <c:numRef>
              <c:f>'Fig 42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42 data'!$C$7:$C$47</c:f>
              <c:numCache>
                <c:formatCode>0.0</c:formatCode>
                <c:ptCount val="41"/>
                <c:pt idx="0">
                  <c:v>5.6196707083363799</c:v>
                </c:pt>
                <c:pt idx="1">
                  <c:v>5.7404282508576401</c:v>
                </c:pt>
                <c:pt idx="2">
                  <c:v>5.8737923191089401</c:v>
                </c:pt>
                <c:pt idx="3">
                  <c:v>5.9987272675829901</c:v>
                </c:pt>
                <c:pt idx="4">
                  <c:v>6.10317953349647</c:v>
                </c:pt>
                <c:pt idx="5">
                  <c:v>6.18780247703274</c:v>
                </c:pt>
                <c:pt idx="6">
                  <c:v>6.2570195891705698</c:v>
                </c:pt>
                <c:pt idx="7">
                  <c:v>6.3208897923174501</c:v>
                </c:pt>
                <c:pt idx="8">
                  <c:v>6.3842847990056999</c:v>
                </c:pt>
                <c:pt idx="9">
                  <c:v>6.4489107475698599</c:v>
                </c:pt>
                <c:pt idx="10">
                  <c:v>6.5079991232846801</c:v>
                </c:pt>
                <c:pt idx="11">
                  <c:v>6.5740943110448598</c:v>
                </c:pt>
                <c:pt idx="12">
                  <c:v>6.6302974542821298</c:v>
                </c:pt>
                <c:pt idx="13">
                  <c:v>6.6717814240523801</c:v>
                </c:pt>
                <c:pt idx="14">
                  <c:v>6.7017543335747796</c:v>
                </c:pt>
                <c:pt idx="15">
                  <c:v>6.7129598275884801</c:v>
                </c:pt>
                <c:pt idx="16">
                  <c:v>6.7128141973032802</c:v>
                </c:pt>
                <c:pt idx="17">
                  <c:v>6.7110574396309204</c:v>
                </c:pt>
                <c:pt idx="18">
                  <c:v>6.7011737293091302</c:v>
                </c:pt>
                <c:pt idx="19">
                  <c:v>6.7065257444010999</c:v>
                </c:pt>
                <c:pt idx="20">
                  <c:v>6.7217978067030604</c:v>
                </c:pt>
                <c:pt idx="21">
                  <c:v>6.7414941477366597</c:v>
                </c:pt>
                <c:pt idx="22">
                  <c:v>6.7695177153328903</c:v>
                </c:pt>
                <c:pt idx="23">
                  <c:v>6.8066831074867604</c:v>
                </c:pt>
                <c:pt idx="24">
                  <c:v>6.8497415767005601</c:v>
                </c:pt>
                <c:pt idx="25">
                  <c:v>6.89889827366133</c:v>
                </c:pt>
                <c:pt idx="26">
                  <c:v>6.9540617205715698</c:v>
                </c:pt>
                <c:pt idx="27">
                  <c:v>7.0237525802960104</c:v>
                </c:pt>
                <c:pt idx="28">
                  <c:v>7.1077869247074599</c:v>
                </c:pt>
                <c:pt idx="29">
                  <c:v>7.1980731001903804</c:v>
                </c:pt>
                <c:pt idx="30">
                  <c:v>7.30113136862491</c:v>
                </c:pt>
                <c:pt idx="31">
                  <c:v>7.40973204414815</c:v>
                </c:pt>
                <c:pt idx="32">
                  <c:v>7.5129314740019399</c:v>
                </c:pt>
                <c:pt idx="33">
                  <c:v>7.6068031209675002</c:v>
                </c:pt>
                <c:pt idx="34">
                  <c:v>7.6870241057120401</c:v>
                </c:pt>
                <c:pt idx="35">
                  <c:v>7.7613281744006501</c:v>
                </c:pt>
                <c:pt idx="36">
                  <c:v>7.8262069009444302</c:v>
                </c:pt>
                <c:pt idx="37">
                  <c:v>7.8799338917638</c:v>
                </c:pt>
                <c:pt idx="38">
                  <c:v>7.9256463208779797</c:v>
                </c:pt>
                <c:pt idx="39">
                  <c:v>7.9589175049837202</c:v>
                </c:pt>
                <c:pt idx="40">
                  <c:v>7.9971588670221703</c:v>
                </c:pt>
              </c:numCache>
            </c:numRef>
          </c:val>
          <c:smooth val="0"/>
          <c:extLst>
            <c:ext xmlns:c16="http://schemas.microsoft.com/office/drawing/2014/chart" uri="{C3380CC4-5D6E-409C-BE32-E72D297353CC}">
              <c16:uniqueId val="{00000000-0D0D-444C-92EA-9CDBF727E0EF}"/>
            </c:ext>
          </c:extLst>
        </c:ser>
        <c:ser>
          <c:idx val="1"/>
          <c:order val="1"/>
          <c:tx>
            <c:strRef>
              <c:f>'Fig 42 data'!$D$5</c:f>
              <c:strCache>
                <c:ptCount val="1"/>
                <c:pt idx="0">
                  <c:v>Pension spending (GST-financed)</c:v>
                </c:pt>
              </c:strCache>
            </c:strRef>
          </c:tx>
          <c:spPr>
            <a:ln w="38100">
              <a:solidFill>
                <a:srgbClr val="3E403A"/>
              </a:solidFill>
            </a:ln>
          </c:spPr>
          <c:marker>
            <c:symbol val="none"/>
          </c:marker>
          <c:cat>
            <c:numRef>
              <c:f>'Fig 42 data'!$B$7:$B$47</c:f>
              <c:numCache>
                <c:formatCode>General</c:formatCode>
                <c:ptCount val="41"/>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numCache>
            </c:numRef>
          </c:cat>
          <c:val>
            <c:numRef>
              <c:f>'Fig 42 data'!$D$7:$D$47</c:f>
              <c:numCache>
                <c:formatCode>0.0</c:formatCode>
                <c:ptCount val="41"/>
                <c:pt idx="0">
                  <c:v>5.6097557205157003</c:v>
                </c:pt>
                <c:pt idx="1">
                  <c:v>5.7748866736950903</c:v>
                </c:pt>
                <c:pt idx="2">
                  <c:v>5.9383922088549497</c:v>
                </c:pt>
                <c:pt idx="3">
                  <c:v>6.0875902437087497</c:v>
                </c:pt>
                <c:pt idx="4">
                  <c:v>6.21461540630201</c:v>
                </c:pt>
                <c:pt idx="5">
                  <c:v>6.3215592130128302</c:v>
                </c:pt>
                <c:pt idx="6">
                  <c:v>6.4117137150315404</c:v>
                </c:pt>
                <c:pt idx="7">
                  <c:v>6.4989963949678398</c:v>
                </c:pt>
                <c:pt idx="8">
                  <c:v>6.5859114554013098</c:v>
                </c:pt>
                <c:pt idx="9">
                  <c:v>6.6748489556088204</c:v>
                </c:pt>
                <c:pt idx="10">
                  <c:v>6.7580506751425604</c:v>
                </c:pt>
                <c:pt idx="11">
                  <c:v>6.8501554298168497</c:v>
                </c:pt>
                <c:pt idx="12">
                  <c:v>6.93134738366434</c:v>
                </c:pt>
                <c:pt idx="13">
                  <c:v>6.9942686178846198</c:v>
                </c:pt>
                <c:pt idx="14">
                  <c:v>7.0442558956297701</c:v>
                </c:pt>
                <c:pt idx="15">
                  <c:v>7.0717913895304196</c:v>
                </c:pt>
                <c:pt idx="16">
                  <c:v>7.0872417553743601</c:v>
                </c:pt>
                <c:pt idx="17">
                  <c:v>7.1009387094579397</c:v>
                </c:pt>
                <c:pt idx="18">
                  <c:v>7.1053345415962301</c:v>
                </c:pt>
                <c:pt idx="19">
                  <c:v>7.13117846870135</c:v>
                </c:pt>
                <c:pt idx="20">
                  <c:v>7.1677855895698404</c:v>
                </c:pt>
                <c:pt idx="21">
                  <c:v>7.2084634202019604</c:v>
                </c:pt>
                <c:pt idx="22">
                  <c:v>7.2603770706271096</c:v>
                </c:pt>
                <c:pt idx="23">
                  <c:v>7.3242179416613604</c:v>
                </c:pt>
                <c:pt idx="24">
                  <c:v>7.3954874781786604</c:v>
                </c:pt>
                <c:pt idx="25">
                  <c:v>7.47479064227677</c:v>
                </c:pt>
                <c:pt idx="26">
                  <c:v>7.5622776515701</c:v>
                </c:pt>
                <c:pt idx="27">
                  <c:v>7.6693441531143796</c:v>
                </c:pt>
                <c:pt idx="28">
                  <c:v>7.79526015087432</c:v>
                </c:pt>
                <c:pt idx="29">
                  <c:v>7.9294511042333102</c:v>
                </c:pt>
                <c:pt idx="30">
                  <c:v>8.08143347352852</c:v>
                </c:pt>
                <c:pt idx="31">
                  <c:v>8.2413794845020991</c:v>
                </c:pt>
                <c:pt idx="32">
                  <c:v>8.3948250980991101</c:v>
                </c:pt>
                <c:pt idx="33">
                  <c:v>8.5368211301596997</c:v>
                </c:pt>
                <c:pt idx="34">
                  <c:v>8.6614355653204491</c:v>
                </c:pt>
                <c:pt idx="35">
                  <c:v>8.7798587309823102</c:v>
                </c:pt>
                <c:pt idx="36">
                  <c:v>8.8861021003565899</c:v>
                </c:pt>
                <c:pt idx="37">
                  <c:v>8.9785304454236208</c:v>
                </c:pt>
                <c:pt idx="38">
                  <c:v>9.0618460370098699</c:v>
                </c:pt>
                <c:pt idx="39">
                  <c:v>9.12895464413163</c:v>
                </c:pt>
                <c:pt idx="40">
                  <c:v>9.2060567138408906</c:v>
                </c:pt>
              </c:numCache>
            </c:numRef>
          </c:val>
          <c:smooth val="0"/>
          <c:extLst>
            <c:ext xmlns:c16="http://schemas.microsoft.com/office/drawing/2014/chart" uri="{C3380CC4-5D6E-409C-BE32-E72D297353CC}">
              <c16:uniqueId val="{00000001-0D0D-444C-92EA-9CDBF727E0EF}"/>
            </c:ext>
          </c:extLst>
        </c:ser>
        <c:dLbls>
          <c:showLegendKey val="0"/>
          <c:showVal val="0"/>
          <c:showCatName val="0"/>
          <c:showSerName val="0"/>
          <c:showPercent val="0"/>
          <c:showBubbleSize val="0"/>
        </c:dLbls>
        <c:smooth val="0"/>
        <c:axId val="1710051952"/>
        <c:axId val="1710054352"/>
      </c:lineChart>
      <c:catAx>
        <c:axId val="1710051952"/>
        <c:scaling>
          <c:orientation val="minMax"/>
        </c:scaling>
        <c:delete val="0"/>
        <c:axPos val="b"/>
        <c:title>
          <c:tx>
            <c:rich>
              <a:bodyPr/>
              <a:lstStyle/>
              <a:p>
                <a:pPr algn="ctr">
                  <a:defRPr sz="1800" b="1">
                    <a:solidFill>
                      <a:srgbClr val="000000"/>
                    </a:solidFill>
                    <a:latin typeface="Arial"/>
                    <a:ea typeface="Arial"/>
                    <a:cs typeface="Arial"/>
                  </a:defRPr>
                </a:pPr>
                <a:r>
                  <a:rPr lang="en-NZ"/>
                  <a:t>Year ending</a:t>
                </a:r>
                <a:r>
                  <a:rPr lang="en-NZ" baseline="0"/>
                  <a:t> 30 June</a:t>
                </a:r>
                <a:endParaRPr lang="en-NZ"/>
              </a:p>
            </c:rich>
          </c:tx>
          <c:layout>
            <c:manualLayout>
              <c:xMode val="edge"/>
              <c:yMode val="edge"/>
              <c:x val="0.38993665417394707"/>
              <c:y val="0.88298625412713905"/>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1800">
                <a:solidFill>
                  <a:srgbClr val="000000"/>
                </a:solidFill>
                <a:latin typeface="Arial"/>
                <a:ea typeface="Arial"/>
                <a:cs typeface="Arial"/>
              </a:defRPr>
            </a:pPr>
            <a:endParaRPr lang="en-US"/>
          </a:p>
        </c:txPr>
        <c:crossAx val="1710054352"/>
        <c:crosses val="autoZero"/>
        <c:auto val="1"/>
        <c:lblAlgn val="ctr"/>
        <c:lblOffset val="100"/>
        <c:tickLblSkip val="5"/>
        <c:tickMarkSkip val="5"/>
        <c:noMultiLvlLbl val="0"/>
      </c:catAx>
      <c:valAx>
        <c:axId val="1710054352"/>
        <c:scaling>
          <c:orientation val="minMax"/>
          <c:min val="5"/>
        </c:scaling>
        <c:delete val="0"/>
        <c:axPos val="l"/>
        <c:majorGridlines>
          <c:spPr>
            <a:ln w="9525">
              <a:solidFill>
                <a:schemeClr val="bg1">
                  <a:lumMod val="50000"/>
                </a:schemeClr>
              </a:solidFill>
            </a:ln>
          </c:spPr>
        </c:majorGridlines>
        <c:title>
          <c:tx>
            <c:rich>
              <a:bodyPr rot="0" vert="horz"/>
              <a:lstStyle/>
              <a:p>
                <a:pPr>
                  <a:defRPr sz="1800">
                    <a:solidFill>
                      <a:sysClr val="windowText" lastClr="000000"/>
                    </a:solidFill>
                    <a:latin typeface="Arial" panose="020B0604020202020204" pitchFamily="34" charset="0"/>
                    <a:cs typeface="Arial" panose="020B0604020202020204" pitchFamily="34" charset="0"/>
                  </a:defRPr>
                </a:pPr>
                <a:r>
                  <a:rPr lang="en-NZ" sz="1800">
                    <a:solidFill>
                      <a:sysClr val="windowText" lastClr="000000"/>
                    </a:solidFill>
                    <a:latin typeface="Arial" panose="020B0604020202020204" pitchFamily="34" charset="0"/>
                    <a:cs typeface="Arial" panose="020B0604020202020204" pitchFamily="34" charset="0"/>
                  </a:rPr>
                  <a:t>% of GDP</a:t>
                </a:r>
              </a:p>
            </c:rich>
          </c:tx>
          <c:layout>
            <c:manualLayout>
              <c:xMode val="edge"/>
              <c:yMode val="edge"/>
              <c:x val="1.2756632157274208E-2"/>
              <c:y val="1.6798525635066501E-2"/>
            </c:manualLayout>
          </c:layout>
          <c:overlay val="0"/>
        </c:title>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solidFill>
                  <a:sysClr val="windowText" lastClr="000000"/>
                </a:solidFill>
                <a:latin typeface="Arial"/>
                <a:ea typeface="Arial"/>
                <a:cs typeface="Arial"/>
              </a:defRPr>
            </a:pPr>
            <a:endParaRPr lang="en-US"/>
          </a:p>
        </c:txPr>
        <c:crossAx val="1710051952"/>
        <c:crosses val="autoZero"/>
        <c:crossBetween val="midCat"/>
        <c:majorUnit val="1"/>
      </c:valAx>
      <c:spPr>
        <a:noFill/>
        <a:ln>
          <a:noFill/>
        </a:ln>
      </c:spPr>
    </c:plotArea>
    <c:legend>
      <c:legendPos val="b"/>
      <c:overlay val="0"/>
      <c:txPr>
        <a:bodyPr/>
        <a:lstStyle/>
        <a:p>
          <a:pPr>
            <a:defRPr sz="180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0">
      <a:noFill/>
    </a:ln>
  </c:spPr>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693579607311186E-2"/>
          <c:y val="0.12712670264075357"/>
          <c:w val="0.85100534252378024"/>
          <c:h val="0.4603104060185671"/>
        </c:manualLayout>
      </c:layout>
      <c:lineChart>
        <c:grouping val="standard"/>
        <c:varyColors val="0"/>
        <c:ser>
          <c:idx val="0"/>
          <c:order val="0"/>
          <c:tx>
            <c:strRef>
              <c:f>'Fig 43 data'!$C$5</c:f>
              <c:strCache>
                <c:ptCount val="1"/>
                <c:pt idx="0">
                  <c:v>Pension spending (Baseline)</c:v>
                </c:pt>
              </c:strCache>
            </c:strRef>
          </c:tx>
          <c:spPr>
            <a:ln w="38100">
              <a:solidFill>
                <a:srgbClr val="0083AC"/>
              </a:solidFill>
            </a:ln>
          </c:spPr>
          <c:marker>
            <c:symbol val="none"/>
          </c:marker>
          <c:cat>
            <c:numRef>
              <c:f>'Fig 43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43 data'!$C$7:$C$48</c:f>
              <c:numCache>
                <c:formatCode>0.0</c:formatCode>
                <c:ptCount val="42"/>
                <c:pt idx="0">
                  <c:v>5.6188667388709197</c:v>
                </c:pt>
                <c:pt idx="1">
                  <c:v>5.6196707083363799</c:v>
                </c:pt>
                <c:pt idx="2">
                  <c:v>5.7404282508576401</c:v>
                </c:pt>
                <c:pt idx="3">
                  <c:v>5.8737923191089401</c:v>
                </c:pt>
                <c:pt idx="4">
                  <c:v>5.9987272675829901</c:v>
                </c:pt>
                <c:pt idx="5">
                  <c:v>6.10317953349647</c:v>
                </c:pt>
                <c:pt idx="6">
                  <c:v>6.18780247703274</c:v>
                </c:pt>
                <c:pt idx="7">
                  <c:v>6.2570195891705698</c:v>
                </c:pt>
                <c:pt idx="8">
                  <c:v>6.3208897923174501</c:v>
                </c:pt>
                <c:pt idx="9">
                  <c:v>6.3842847990056999</c:v>
                </c:pt>
                <c:pt idx="10">
                  <c:v>6.4489107475698599</c:v>
                </c:pt>
                <c:pt idx="11">
                  <c:v>6.5079991232846801</c:v>
                </c:pt>
                <c:pt idx="12">
                  <c:v>6.5740943110448598</c:v>
                </c:pt>
                <c:pt idx="13">
                  <c:v>6.6302974542821298</c:v>
                </c:pt>
                <c:pt idx="14">
                  <c:v>6.6717814240523801</c:v>
                </c:pt>
                <c:pt idx="15">
                  <c:v>6.7017543335747796</c:v>
                </c:pt>
                <c:pt idx="16">
                  <c:v>6.7129598275884801</c:v>
                </c:pt>
                <c:pt idx="17">
                  <c:v>6.7128141973032802</c:v>
                </c:pt>
                <c:pt idx="18">
                  <c:v>6.7110574396309204</c:v>
                </c:pt>
                <c:pt idx="19">
                  <c:v>6.7011737293091302</c:v>
                </c:pt>
                <c:pt idx="20">
                  <c:v>6.7065257444010999</c:v>
                </c:pt>
                <c:pt idx="21">
                  <c:v>6.7217978067030604</c:v>
                </c:pt>
                <c:pt idx="22">
                  <c:v>6.7414941477366597</c:v>
                </c:pt>
                <c:pt idx="23">
                  <c:v>6.7695177153328903</c:v>
                </c:pt>
                <c:pt idx="24">
                  <c:v>6.8066831074867604</c:v>
                </c:pt>
                <c:pt idx="25">
                  <c:v>6.8497415767005601</c:v>
                </c:pt>
                <c:pt idx="26">
                  <c:v>6.89889827366133</c:v>
                </c:pt>
                <c:pt idx="27">
                  <c:v>6.9540617205715698</c:v>
                </c:pt>
                <c:pt idx="28">
                  <c:v>7.0237525802960104</c:v>
                </c:pt>
                <c:pt idx="29">
                  <c:v>7.1077869247074599</c:v>
                </c:pt>
                <c:pt idx="30">
                  <c:v>7.1980731001903804</c:v>
                </c:pt>
                <c:pt idx="31">
                  <c:v>7.30113136862491</c:v>
                </c:pt>
                <c:pt idx="32">
                  <c:v>7.40973204414815</c:v>
                </c:pt>
                <c:pt idx="33">
                  <c:v>7.5129314740019399</c:v>
                </c:pt>
                <c:pt idx="34">
                  <c:v>7.6068031209675002</c:v>
                </c:pt>
                <c:pt idx="35">
                  <c:v>7.6870241057120401</c:v>
                </c:pt>
                <c:pt idx="36">
                  <c:v>7.7613281744006501</c:v>
                </c:pt>
                <c:pt idx="37">
                  <c:v>7.8262069009444302</c:v>
                </c:pt>
                <c:pt idx="38">
                  <c:v>7.8799338917638</c:v>
                </c:pt>
                <c:pt idx="39">
                  <c:v>7.9256463208779797</c:v>
                </c:pt>
                <c:pt idx="40">
                  <c:v>7.9589175049837202</c:v>
                </c:pt>
                <c:pt idx="41">
                  <c:v>7.9971588670221703</c:v>
                </c:pt>
              </c:numCache>
            </c:numRef>
          </c:val>
          <c:smooth val="0"/>
          <c:extLst>
            <c:ext xmlns:c16="http://schemas.microsoft.com/office/drawing/2014/chart" uri="{C3380CC4-5D6E-409C-BE32-E72D297353CC}">
              <c16:uniqueId val="{00000000-FB0D-4056-9F8C-BF5A0730F4A2}"/>
            </c:ext>
          </c:extLst>
        </c:ser>
        <c:ser>
          <c:idx val="1"/>
          <c:order val="1"/>
          <c:tx>
            <c:strRef>
              <c:f>'Fig 43 data'!$D$5</c:f>
              <c:strCache>
                <c:ptCount val="1"/>
                <c:pt idx="0">
                  <c:v>Pension spending (GST)</c:v>
                </c:pt>
              </c:strCache>
            </c:strRef>
          </c:tx>
          <c:spPr>
            <a:ln w="38100">
              <a:solidFill>
                <a:srgbClr val="67A854"/>
              </a:solidFill>
            </a:ln>
          </c:spPr>
          <c:marker>
            <c:symbol val="none"/>
          </c:marker>
          <c:cat>
            <c:numRef>
              <c:f>'Fig 43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43 data'!$D$7:$D$48</c:f>
              <c:numCache>
                <c:formatCode>0.0</c:formatCode>
                <c:ptCount val="42"/>
                <c:pt idx="0">
                  <c:v>5.6188667398471503</c:v>
                </c:pt>
                <c:pt idx="1">
                  <c:v>5.6097557205157003</c:v>
                </c:pt>
                <c:pt idx="2">
                  <c:v>5.7748866736950903</c:v>
                </c:pt>
                <c:pt idx="3">
                  <c:v>5.9383922088549497</c:v>
                </c:pt>
                <c:pt idx="4">
                  <c:v>6.0875902437087497</c:v>
                </c:pt>
                <c:pt idx="5">
                  <c:v>6.21461540630201</c:v>
                </c:pt>
                <c:pt idx="6">
                  <c:v>6.3215592130128302</c:v>
                </c:pt>
                <c:pt idx="7">
                  <c:v>6.4117137150315404</c:v>
                </c:pt>
                <c:pt idx="8">
                  <c:v>6.4989963949678398</c:v>
                </c:pt>
                <c:pt idx="9">
                  <c:v>6.5859114554013098</c:v>
                </c:pt>
                <c:pt idx="10">
                  <c:v>6.6748489556088204</c:v>
                </c:pt>
                <c:pt idx="11">
                  <c:v>6.7580506751425604</c:v>
                </c:pt>
                <c:pt idx="12">
                  <c:v>6.8501554298168497</c:v>
                </c:pt>
                <c:pt idx="13">
                  <c:v>6.93134738366434</c:v>
                </c:pt>
                <c:pt idx="14">
                  <c:v>6.9942686178846198</c:v>
                </c:pt>
                <c:pt idx="15">
                  <c:v>7.0442558956297701</c:v>
                </c:pt>
                <c:pt idx="16">
                  <c:v>7.0717913895304196</c:v>
                </c:pt>
                <c:pt idx="17">
                  <c:v>7.0872417553743601</c:v>
                </c:pt>
                <c:pt idx="18">
                  <c:v>7.1009387094579397</c:v>
                </c:pt>
                <c:pt idx="19">
                  <c:v>7.1053345415962301</c:v>
                </c:pt>
                <c:pt idx="20">
                  <c:v>7.13117846870135</c:v>
                </c:pt>
                <c:pt idx="21">
                  <c:v>7.1677855895698404</c:v>
                </c:pt>
                <c:pt idx="22">
                  <c:v>7.2084634202019604</c:v>
                </c:pt>
                <c:pt idx="23">
                  <c:v>7.2603770706271096</c:v>
                </c:pt>
                <c:pt idx="24">
                  <c:v>7.3242179416613604</c:v>
                </c:pt>
                <c:pt idx="25">
                  <c:v>7.3954874781786604</c:v>
                </c:pt>
                <c:pt idx="26">
                  <c:v>7.47479064227677</c:v>
                </c:pt>
                <c:pt idx="27">
                  <c:v>7.5622776515701</c:v>
                </c:pt>
                <c:pt idx="28">
                  <c:v>7.6693441531143796</c:v>
                </c:pt>
                <c:pt idx="29">
                  <c:v>7.79526015087432</c:v>
                </c:pt>
                <c:pt idx="30">
                  <c:v>7.9294511042333102</c:v>
                </c:pt>
                <c:pt idx="31">
                  <c:v>8.08143347352852</c:v>
                </c:pt>
                <c:pt idx="32">
                  <c:v>8.2413794845020991</c:v>
                </c:pt>
                <c:pt idx="33">
                  <c:v>8.3948250980991101</c:v>
                </c:pt>
                <c:pt idx="34">
                  <c:v>8.5368211301596997</c:v>
                </c:pt>
                <c:pt idx="35">
                  <c:v>8.6614355653204491</c:v>
                </c:pt>
                <c:pt idx="36">
                  <c:v>8.7798587309823102</c:v>
                </c:pt>
                <c:pt idx="37">
                  <c:v>8.8861021003565899</c:v>
                </c:pt>
                <c:pt idx="38">
                  <c:v>8.9785304454236208</c:v>
                </c:pt>
                <c:pt idx="39">
                  <c:v>9.0618460370098699</c:v>
                </c:pt>
                <c:pt idx="40">
                  <c:v>9.12895464413163</c:v>
                </c:pt>
                <c:pt idx="41">
                  <c:v>9.2060567138408906</c:v>
                </c:pt>
              </c:numCache>
            </c:numRef>
          </c:val>
          <c:smooth val="0"/>
          <c:extLst>
            <c:ext xmlns:c16="http://schemas.microsoft.com/office/drawing/2014/chart" uri="{C3380CC4-5D6E-409C-BE32-E72D297353CC}">
              <c16:uniqueId val="{00000001-FB0D-4056-9F8C-BF5A0730F4A2}"/>
            </c:ext>
          </c:extLst>
        </c:ser>
        <c:ser>
          <c:idx val="2"/>
          <c:order val="2"/>
          <c:tx>
            <c:strRef>
              <c:f>'Fig 43 data'!$E$5</c:f>
              <c:strCache>
                <c:ptCount val="1"/>
                <c:pt idx="0">
                  <c:v>Pension spending (Combination Policy)</c:v>
                </c:pt>
              </c:strCache>
            </c:strRef>
          </c:tx>
          <c:spPr>
            <a:ln w="38100">
              <a:solidFill>
                <a:srgbClr val="3E403A"/>
              </a:solidFill>
            </a:ln>
          </c:spPr>
          <c:marker>
            <c:symbol val="none"/>
          </c:marker>
          <c:cat>
            <c:numRef>
              <c:f>'Fig 43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43 data'!$E$7:$E$48</c:f>
              <c:numCache>
                <c:formatCode>0.0</c:formatCode>
                <c:ptCount val="42"/>
                <c:pt idx="0">
                  <c:v>5.6104688613622598</c:v>
                </c:pt>
                <c:pt idx="1">
                  <c:v>5.6017531723304597</c:v>
                </c:pt>
                <c:pt idx="2">
                  <c:v>5.76654219422187</c:v>
                </c:pt>
                <c:pt idx="3">
                  <c:v>5.9294736602217304</c:v>
                </c:pt>
                <c:pt idx="4">
                  <c:v>6.07822306319754</c:v>
                </c:pt>
                <c:pt idx="5">
                  <c:v>6.2051122737432296</c:v>
                </c:pt>
                <c:pt idx="6">
                  <c:v>5.9460364268996502</c:v>
                </c:pt>
                <c:pt idx="7">
                  <c:v>6.0440175868341104</c:v>
                </c:pt>
                <c:pt idx="8">
                  <c:v>6.1302466876280501</c:v>
                </c:pt>
                <c:pt idx="9">
                  <c:v>6.2143159178156404</c:v>
                </c:pt>
                <c:pt idx="10">
                  <c:v>6.2975876873202399</c:v>
                </c:pt>
                <c:pt idx="11">
                  <c:v>6.0212592323793102</c:v>
                </c:pt>
                <c:pt idx="12">
                  <c:v>6.1042643753481398</c:v>
                </c:pt>
                <c:pt idx="13">
                  <c:v>6.18002135987145</c:v>
                </c:pt>
                <c:pt idx="14">
                  <c:v>6.2610237556278001</c:v>
                </c:pt>
                <c:pt idx="15">
                  <c:v>6.33404030187556</c:v>
                </c:pt>
                <c:pt idx="16">
                  <c:v>6.04190155263991</c:v>
                </c:pt>
                <c:pt idx="17">
                  <c:v>6.0908074742846701</c:v>
                </c:pt>
                <c:pt idx="18">
                  <c:v>6.1241296459140004</c:v>
                </c:pt>
                <c:pt idx="19">
                  <c:v>6.1385247742846598</c:v>
                </c:pt>
                <c:pt idx="20">
                  <c:v>6.1531957369475698</c:v>
                </c:pt>
                <c:pt idx="21">
                  <c:v>6.1728606381721596</c:v>
                </c:pt>
                <c:pt idx="22">
                  <c:v>6.1869729736456902</c:v>
                </c:pt>
                <c:pt idx="23">
                  <c:v>6.2136743943020099</c:v>
                </c:pt>
                <c:pt idx="24">
                  <c:v>6.2484525708519296</c:v>
                </c:pt>
                <c:pt idx="25">
                  <c:v>6.2908741598057301</c:v>
                </c:pt>
                <c:pt idx="26">
                  <c:v>6.3425156406263303</c:v>
                </c:pt>
                <c:pt idx="27">
                  <c:v>6.4052187702907704</c:v>
                </c:pt>
                <c:pt idx="28">
                  <c:v>6.47694380421032</c:v>
                </c:pt>
                <c:pt idx="29">
                  <c:v>6.5590977105355099</c:v>
                </c:pt>
                <c:pt idx="30">
                  <c:v>6.6498257262670304</c:v>
                </c:pt>
                <c:pt idx="31">
                  <c:v>6.75902035979977</c:v>
                </c:pt>
                <c:pt idx="32">
                  <c:v>6.8849331371967102</c:v>
                </c:pt>
                <c:pt idx="33">
                  <c:v>7.0157816122787997</c:v>
                </c:pt>
                <c:pt idx="34">
                  <c:v>7.1585529263240497</c:v>
                </c:pt>
                <c:pt idx="35">
                  <c:v>7.3037511451266299</c:v>
                </c:pt>
                <c:pt idx="36">
                  <c:v>7.44417498747372</c:v>
                </c:pt>
                <c:pt idx="37">
                  <c:v>7.5745900118920799</c:v>
                </c:pt>
                <c:pt idx="38">
                  <c:v>7.6888490560145604</c:v>
                </c:pt>
                <c:pt idx="39">
                  <c:v>7.7940634926811097</c:v>
                </c:pt>
                <c:pt idx="40">
                  <c:v>7.8847660556295303</c:v>
                </c:pt>
                <c:pt idx="41">
                  <c:v>7.9656282981581397</c:v>
                </c:pt>
              </c:numCache>
            </c:numRef>
          </c:val>
          <c:smooth val="0"/>
          <c:extLst>
            <c:ext xmlns:c16="http://schemas.microsoft.com/office/drawing/2014/chart" uri="{C3380CC4-5D6E-409C-BE32-E72D297353CC}">
              <c16:uniqueId val="{00000002-FB0D-4056-9F8C-BF5A0730F4A2}"/>
            </c:ext>
          </c:extLst>
        </c:ser>
        <c:dLbls>
          <c:showLegendKey val="0"/>
          <c:showVal val="0"/>
          <c:showCatName val="0"/>
          <c:showSerName val="0"/>
          <c:showPercent val="0"/>
          <c:showBubbleSize val="0"/>
        </c:dLbls>
        <c:smooth val="0"/>
        <c:axId val="36263151"/>
        <c:axId val="36248271"/>
      </c:lineChart>
      <c:catAx>
        <c:axId val="36263151"/>
        <c:scaling>
          <c:orientation val="minMax"/>
        </c:scaling>
        <c:delete val="0"/>
        <c:axPos val="b"/>
        <c:title>
          <c:tx>
            <c:rich>
              <a:bodyPr/>
              <a:lstStyle/>
              <a:p>
                <a:pPr algn="ctr">
                  <a:defRPr sz="2800"/>
                </a:pPr>
                <a:r>
                  <a:rPr lang="en-NZ" sz="2800"/>
                  <a:t>Year ending 30 June</a:t>
                </a:r>
              </a:p>
            </c:rich>
          </c:tx>
          <c:layout>
            <c:manualLayout>
              <c:xMode val="edge"/>
              <c:yMode val="edge"/>
              <c:x val="0.32656625148665347"/>
              <c:y val="0.69649169065463268"/>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2800"/>
            </a:pPr>
            <a:endParaRPr lang="en-US"/>
          </a:p>
        </c:txPr>
        <c:crossAx val="36248271"/>
        <c:crosses val="autoZero"/>
        <c:auto val="1"/>
        <c:lblAlgn val="ctr"/>
        <c:lblOffset val="100"/>
        <c:tickLblSkip val="10"/>
        <c:tickMarkSkip val="10"/>
        <c:noMultiLvlLbl val="0"/>
      </c:catAx>
      <c:valAx>
        <c:axId val="36248271"/>
        <c:scaling>
          <c:orientation val="minMax"/>
          <c:max val="10"/>
          <c:min val="4"/>
        </c:scaling>
        <c:delete val="0"/>
        <c:axPos val="l"/>
        <c:majorGridlines>
          <c:spPr>
            <a:ln w="9525">
              <a:solidFill>
                <a:schemeClr val="bg1">
                  <a:lumMod val="50000"/>
                </a:schemeClr>
              </a:solidFill>
            </a:ln>
          </c:spPr>
        </c:majorGridlines>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2800"/>
            </a:pPr>
            <a:endParaRPr lang="en-US"/>
          </a:p>
        </c:txPr>
        <c:crossAx val="36263151"/>
        <c:crosses val="autoZero"/>
        <c:crossBetween val="midCat"/>
        <c:majorUnit val="2"/>
      </c:valAx>
    </c:plotArea>
    <c:legend>
      <c:legendPos val="b"/>
      <c:layout>
        <c:manualLayout>
          <c:xMode val="edge"/>
          <c:yMode val="edge"/>
          <c:x val="8.5111417789799235E-2"/>
          <c:y val="0.78778615694494036"/>
          <c:w val="0.82977716442040161"/>
          <c:h val="0.20170333179896421"/>
        </c:manualLayout>
      </c:layout>
      <c:overlay val="0"/>
      <c:txPr>
        <a:bodyPr/>
        <a:lstStyle/>
        <a:p>
          <a:pPr>
            <a:defRPr sz="28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txPr>
    <a:bodyPr/>
    <a:lstStyle/>
    <a:p>
      <a:pPr>
        <a:defRPr sz="3600" baseline="0">
          <a:latin typeface="Arial" panose="020B0604020202020204" pitchFamily="34" charset="0"/>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83255779318311E-2"/>
          <c:y val="0.11028418277703378"/>
          <c:w val="0.8594105077027806"/>
          <c:h val="0.51122310770666723"/>
        </c:manualLayout>
      </c:layout>
      <c:lineChart>
        <c:grouping val="standard"/>
        <c:varyColors val="0"/>
        <c:ser>
          <c:idx val="0"/>
          <c:order val="0"/>
          <c:tx>
            <c:strRef>
              <c:f>'Fig 44 data'!$C$5</c:f>
              <c:strCache>
                <c:ptCount val="1"/>
                <c:pt idx="0">
                  <c:v>Health spending (Baseline)</c:v>
                </c:pt>
              </c:strCache>
            </c:strRef>
          </c:tx>
          <c:spPr>
            <a:ln w="38100">
              <a:solidFill>
                <a:srgbClr val="0083AC"/>
              </a:solidFill>
            </a:ln>
          </c:spPr>
          <c:marker>
            <c:symbol val="none"/>
          </c:marker>
          <c:cat>
            <c:numRef>
              <c:f>'Fig 44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44 data'!$C$7:$C$48</c:f>
              <c:numCache>
                <c:formatCode>0.0</c:formatCode>
                <c:ptCount val="42"/>
                <c:pt idx="0">
                  <c:v>7</c:v>
                </c:pt>
                <c:pt idx="1">
                  <c:v>6.93035268827518</c:v>
                </c:pt>
                <c:pt idx="2">
                  <c:v>7.0572301364629899</c:v>
                </c:pt>
                <c:pt idx="3">
                  <c:v>7.1813314038995699</c:v>
                </c:pt>
                <c:pt idx="4">
                  <c:v>7.2890444048016203</c:v>
                </c:pt>
                <c:pt idx="5">
                  <c:v>7.3926353779531402</c:v>
                </c:pt>
                <c:pt idx="6">
                  <c:v>7.49454378468677</c:v>
                </c:pt>
                <c:pt idx="7">
                  <c:v>7.5922724850593903</c:v>
                </c:pt>
                <c:pt idx="8">
                  <c:v>7.6994295611724199</c:v>
                </c:pt>
                <c:pt idx="9">
                  <c:v>7.7992209935864896</c:v>
                </c:pt>
                <c:pt idx="10">
                  <c:v>7.89798683965323</c:v>
                </c:pt>
                <c:pt idx="11">
                  <c:v>7.9965879523866299</c:v>
                </c:pt>
                <c:pt idx="12">
                  <c:v>8.0965199731822395</c:v>
                </c:pt>
                <c:pt idx="13">
                  <c:v>8.1992935339856192</c:v>
                </c:pt>
                <c:pt idx="14">
                  <c:v>8.29326495780575</c:v>
                </c:pt>
                <c:pt idx="15">
                  <c:v>8.3832007882542001</c:v>
                </c:pt>
                <c:pt idx="16">
                  <c:v>8.4671899951226095</c:v>
                </c:pt>
                <c:pt idx="17">
                  <c:v>8.5507327031224207</c:v>
                </c:pt>
                <c:pt idx="18">
                  <c:v>8.6327976708907705</c:v>
                </c:pt>
                <c:pt idx="19">
                  <c:v>8.7129712595600601</c:v>
                </c:pt>
                <c:pt idx="20">
                  <c:v>8.8037720579040606</c:v>
                </c:pt>
                <c:pt idx="21">
                  <c:v>8.8960859002455805</c:v>
                </c:pt>
                <c:pt idx="22">
                  <c:v>8.9874541059843196</c:v>
                </c:pt>
                <c:pt idx="23">
                  <c:v>9.0824819578884792</c:v>
                </c:pt>
                <c:pt idx="24">
                  <c:v>9.1806002960462703</c:v>
                </c:pt>
                <c:pt idx="25">
                  <c:v>9.2802364419226802</c:v>
                </c:pt>
                <c:pt idx="26">
                  <c:v>9.3816057922831</c:v>
                </c:pt>
                <c:pt idx="27">
                  <c:v>9.4863832502306504</c:v>
                </c:pt>
                <c:pt idx="28">
                  <c:v>9.5977588225832005</c:v>
                </c:pt>
                <c:pt idx="29">
                  <c:v>9.7148334984642695</c:v>
                </c:pt>
                <c:pt idx="30">
                  <c:v>9.8350004715770396</c:v>
                </c:pt>
                <c:pt idx="31">
                  <c:v>9.9611679596601999</c:v>
                </c:pt>
                <c:pt idx="32">
                  <c:v>10.0912383758556</c:v>
                </c:pt>
                <c:pt idx="33">
                  <c:v>10.221379582268501</c:v>
                </c:pt>
                <c:pt idx="34">
                  <c:v>10.3491030267204</c:v>
                </c:pt>
                <c:pt idx="35">
                  <c:v>10.4722190265951</c:v>
                </c:pt>
                <c:pt idx="36">
                  <c:v>10.5947083656632</c:v>
                </c:pt>
                <c:pt idx="37">
                  <c:v>10.712748407020801</c:v>
                </c:pt>
                <c:pt idx="38">
                  <c:v>10.829335077866</c:v>
                </c:pt>
                <c:pt idx="39">
                  <c:v>10.9465882037338</c:v>
                </c:pt>
                <c:pt idx="40">
                  <c:v>11.062025794014501</c:v>
                </c:pt>
                <c:pt idx="41">
                  <c:v>11.186237423478801</c:v>
                </c:pt>
              </c:numCache>
            </c:numRef>
          </c:val>
          <c:smooth val="0"/>
          <c:extLst>
            <c:ext xmlns:c16="http://schemas.microsoft.com/office/drawing/2014/chart" uri="{C3380CC4-5D6E-409C-BE32-E72D297353CC}">
              <c16:uniqueId val="{00000000-2CA1-4EEF-ABDC-37E431134755}"/>
            </c:ext>
          </c:extLst>
        </c:ser>
        <c:ser>
          <c:idx val="1"/>
          <c:order val="1"/>
          <c:tx>
            <c:strRef>
              <c:f>'Fig 44 data'!$D$5</c:f>
              <c:strCache>
                <c:ptCount val="1"/>
                <c:pt idx="0">
                  <c:v>Health spending (GST)</c:v>
                </c:pt>
              </c:strCache>
            </c:strRef>
          </c:tx>
          <c:spPr>
            <a:ln w="38100">
              <a:solidFill>
                <a:srgbClr val="67A854"/>
              </a:solidFill>
            </a:ln>
          </c:spPr>
          <c:marker>
            <c:symbol val="none"/>
          </c:marker>
          <c:cat>
            <c:numRef>
              <c:f>'Fig 44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44 data'!$D$7:$D$48</c:f>
              <c:numCache>
                <c:formatCode>0.0</c:formatCode>
                <c:ptCount val="42"/>
                <c:pt idx="0">
                  <c:v>7</c:v>
                </c:pt>
                <c:pt idx="1">
                  <c:v>6.9860650837762899</c:v>
                </c:pt>
                <c:pt idx="2">
                  <c:v>7.0981143988763504</c:v>
                </c:pt>
                <c:pt idx="3">
                  <c:v>7.2162774122779103</c:v>
                </c:pt>
                <c:pt idx="4">
                  <c:v>7.3207602741283102</c:v>
                </c:pt>
                <c:pt idx="5">
                  <c:v>7.4209643658268201</c:v>
                </c:pt>
                <c:pt idx="6">
                  <c:v>7.51897004645111</c:v>
                </c:pt>
                <c:pt idx="7">
                  <c:v>7.6132184483734999</c:v>
                </c:pt>
                <c:pt idx="8">
                  <c:v>7.7162128346480801</c:v>
                </c:pt>
                <c:pt idx="9">
                  <c:v>7.8119505192206802</c:v>
                </c:pt>
                <c:pt idx="10">
                  <c:v>7.9067416785067701</c:v>
                </c:pt>
                <c:pt idx="11">
                  <c:v>8.0016356885037592</c:v>
                </c:pt>
                <c:pt idx="12">
                  <c:v>8.0976340238530806</c:v>
                </c:pt>
                <c:pt idx="13">
                  <c:v>8.1971211386610108</c:v>
                </c:pt>
                <c:pt idx="14">
                  <c:v>8.2889633680671206</c:v>
                </c:pt>
                <c:pt idx="15">
                  <c:v>8.37712127174707</c:v>
                </c:pt>
                <c:pt idx="16">
                  <c:v>8.4604402879423901</c:v>
                </c:pt>
                <c:pt idx="17">
                  <c:v>8.5430651707080294</c:v>
                </c:pt>
                <c:pt idx="18">
                  <c:v>8.6241630427408502</c:v>
                </c:pt>
                <c:pt idx="19">
                  <c:v>8.7036620934197906</c:v>
                </c:pt>
                <c:pt idx="20">
                  <c:v>8.7918989033011297</c:v>
                </c:pt>
                <c:pt idx="21">
                  <c:v>8.8820970977302398</c:v>
                </c:pt>
                <c:pt idx="22">
                  <c:v>8.9720467139965301</c:v>
                </c:pt>
                <c:pt idx="23">
                  <c:v>9.0650561410972799</c:v>
                </c:pt>
                <c:pt idx="24">
                  <c:v>9.1606700191972106</c:v>
                </c:pt>
                <c:pt idx="25">
                  <c:v>9.2575621342284808</c:v>
                </c:pt>
                <c:pt idx="26">
                  <c:v>9.3557110542912998</c:v>
                </c:pt>
                <c:pt idx="27">
                  <c:v>9.4569209940735703</c:v>
                </c:pt>
                <c:pt idx="28">
                  <c:v>9.56329725876477</c:v>
                </c:pt>
                <c:pt idx="29">
                  <c:v>9.6747123684786605</c:v>
                </c:pt>
                <c:pt idx="30">
                  <c:v>9.7895191911865602</c:v>
                </c:pt>
                <c:pt idx="31">
                  <c:v>9.9099228557899703</c:v>
                </c:pt>
                <c:pt idx="32">
                  <c:v>10.034143815519601</c:v>
                </c:pt>
                <c:pt idx="33">
                  <c:v>10.158836506241601</c:v>
                </c:pt>
                <c:pt idx="34">
                  <c:v>10.2816404388564</c:v>
                </c:pt>
                <c:pt idx="35">
                  <c:v>10.400837690836701</c:v>
                </c:pt>
                <c:pt idx="36">
                  <c:v>10.519423236125</c:v>
                </c:pt>
                <c:pt idx="37">
                  <c:v>10.6343163902041</c:v>
                </c:pt>
                <c:pt idx="38">
                  <c:v>10.7483905195972</c:v>
                </c:pt>
                <c:pt idx="39">
                  <c:v>10.862994737097701</c:v>
                </c:pt>
                <c:pt idx="40">
                  <c:v>10.976538143121701</c:v>
                </c:pt>
                <c:pt idx="41">
                  <c:v>11.097462038665199</c:v>
                </c:pt>
              </c:numCache>
            </c:numRef>
          </c:val>
          <c:smooth val="0"/>
          <c:extLst>
            <c:ext xmlns:c16="http://schemas.microsoft.com/office/drawing/2014/chart" uri="{C3380CC4-5D6E-409C-BE32-E72D297353CC}">
              <c16:uniqueId val="{00000001-2CA1-4EEF-ABDC-37E431134755}"/>
            </c:ext>
          </c:extLst>
        </c:ser>
        <c:ser>
          <c:idx val="2"/>
          <c:order val="2"/>
          <c:tx>
            <c:strRef>
              <c:f>'Fig 44 data'!$E$5</c:f>
              <c:strCache>
                <c:ptCount val="1"/>
                <c:pt idx="0">
                  <c:v>Health spending (Combination Policy)</c:v>
                </c:pt>
              </c:strCache>
            </c:strRef>
          </c:tx>
          <c:spPr>
            <a:ln w="38100">
              <a:solidFill>
                <a:srgbClr val="3E403A"/>
              </a:solidFill>
            </a:ln>
          </c:spPr>
          <c:marker>
            <c:symbol val="none"/>
          </c:marker>
          <c:cat>
            <c:numRef>
              <c:f>'Fig 44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44 data'!$E$7:$E$48</c:f>
              <c:numCache>
                <c:formatCode>0.0</c:formatCode>
                <c:ptCount val="42"/>
                <c:pt idx="0">
                  <c:v>7</c:v>
                </c:pt>
                <c:pt idx="1">
                  <c:v>6.9660787086476104</c:v>
                </c:pt>
                <c:pt idx="2">
                  <c:v>7.0576023716162402</c:v>
                </c:pt>
                <c:pt idx="3">
                  <c:v>7.1527070491264499</c:v>
                </c:pt>
                <c:pt idx="4">
                  <c:v>7.2330905816747197</c:v>
                </c:pt>
                <c:pt idx="5">
                  <c:v>7.3095731972801303</c:v>
                </c:pt>
                <c:pt idx="6">
                  <c:v>7.3710087127850699</c:v>
                </c:pt>
                <c:pt idx="7">
                  <c:v>7.4433232882950202</c:v>
                </c:pt>
                <c:pt idx="8">
                  <c:v>7.52327612966105</c:v>
                </c:pt>
                <c:pt idx="9">
                  <c:v>7.59514087222672</c:v>
                </c:pt>
                <c:pt idx="10">
                  <c:v>7.6644032165711504</c:v>
                </c:pt>
                <c:pt idx="11">
                  <c:v>7.7190859857074399</c:v>
                </c:pt>
                <c:pt idx="12">
                  <c:v>7.7862061803483202</c:v>
                </c:pt>
                <c:pt idx="13">
                  <c:v>7.8552455993972803</c:v>
                </c:pt>
                <c:pt idx="14">
                  <c:v>7.9183378378720803</c:v>
                </c:pt>
                <c:pt idx="15">
                  <c:v>7.9780085874597697</c:v>
                </c:pt>
                <c:pt idx="16">
                  <c:v>8.0239638697188305</c:v>
                </c:pt>
                <c:pt idx="17">
                  <c:v>8.0807483092917103</c:v>
                </c:pt>
                <c:pt idx="18">
                  <c:v>8.1349388009289108</c:v>
                </c:pt>
                <c:pt idx="19">
                  <c:v>8.1880803880952406</c:v>
                </c:pt>
                <c:pt idx="20">
                  <c:v>8.2477439330170803</c:v>
                </c:pt>
                <c:pt idx="21">
                  <c:v>8.3085641937323196</c:v>
                </c:pt>
                <c:pt idx="22">
                  <c:v>8.3688973710422196</c:v>
                </c:pt>
                <c:pt idx="23">
                  <c:v>8.4314668523987297</c:v>
                </c:pt>
                <c:pt idx="24">
                  <c:v>8.4955898325019898</c:v>
                </c:pt>
                <c:pt idx="25">
                  <c:v>8.5611642313762601</c:v>
                </c:pt>
                <c:pt idx="26">
                  <c:v>8.6281388983443392</c:v>
                </c:pt>
                <c:pt idx="27">
                  <c:v>8.6984438453870503</c:v>
                </c:pt>
                <c:pt idx="28">
                  <c:v>8.77218086714797</c:v>
                </c:pt>
                <c:pt idx="29">
                  <c:v>8.84862292411791</c:v>
                </c:pt>
                <c:pt idx="30">
                  <c:v>8.9274106205087698</c:v>
                </c:pt>
                <c:pt idx="31">
                  <c:v>9.0079027679902897</c:v>
                </c:pt>
                <c:pt idx="32">
                  <c:v>9.0896150152097004</c:v>
                </c:pt>
                <c:pt idx="33">
                  <c:v>9.1713450476625695</c:v>
                </c:pt>
                <c:pt idx="34">
                  <c:v>9.2518078585105901</c:v>
                </c:pt>
                <c:pt idx="35">
                  <c:v>9.3298394697587206</c:v>
                </c:pt>
                <c:pt idx="36">
                  <c:v>9.4058376984089502</c:v>
                </c:pt>
                <c:pt idx="37">
                  <c:v>9.4783187537969198</c:v>
                </c:pt>
                <c:pt idx="38">
                  <c:v>9.5500235529138493</c:v>
                </c:pt>
                <c:pt idx="39">
                  <c:v>9.6215145571187204</c:v>
                </c:pt>
                <c:pt idx="40">
                  <c:v>9.6926047263411697</c:v>
                </c:pt>
                <c:pt idx="41">
                  <c:v>9.7663919426904506</c:v>
                </c:pt>
              </c:numCache>
            </c:numRef>
          </c:val>
          <c:smooth val="0"/>
          <c:extLst>
            <c:ext xmlns:c16="http://schemas.microsoft.com/office/drawing/2014/chart" uri="{C3380CC4-5D6E-409C-BE32-E72D297353CC}">
              <c16:uniqueId val="{00000002-2CA1-4EEF-ABDC-37E431134755}"/>
            </c:ext>
          </c:extLst>
        </c:ser>
        <c:dLbls>
          <c:showLegendKey val="0"/>
          <c:showVal val="0"/>
          <c:showCatName val="0"/>
          <c:showSerName val="0"/>
          <c:showPercent val="0"/>
          <c:showBubbleSize val="0"/>
        </c:dLbls>
        <c:smooth val="0"/>
        <c:axId val="32441231"/>
        <c:axId val="32435471"/>
      </c:lineChart>
      <c:catAx>
        <c:axId val="32441231"/>
        <c:scaling>
          <c:orientation val="minMax"/>
        </c:scaling>
        <c:delete val="0"/>
        <c:axPos val="b"/>
        <c:title>
          <c:tx>
            <c:rich>
              <a:bodyPr/>
              <a:lstStyle/>
              <a:p>
                <a:pPr algn="ctr">
                  <a:defRPr sz="2800"/>
                </a:pPr>
                <a:r>
                  <a:rPr lang="en-NZ" sz="2800"/>
                  <a:t>Year ending 30 June</a:t>
                </a:r>
              </a:p>
            </c:rich>
          </c:tx>
          <c:layout>
            <c:manualLayout>
              <c:xMode val="edge"/>
              <c:yMode val="edge"/>
              <c:x val="0.2997073672978382"/>
              <c:y val="0.7263488948263942"/>
            </c:manualLayout>
          </c:layout>
          <c:overlay val="0"/>
        </c:title>
        <c:numFmt formatCode="General" sourceLinked="1"/>
        <c:majorTickMark val="out"/>
        <c:minorTickMark val="none"/>
        <c:tickLblPos val="low"/>
        <c:spPr>
          <a:ln w="9525">
            <a:solidFill>
              <a:srgbClr val="545454"/>
            </a:solidFill>
          </a:ln>
        </c:spPr>
        <c:txPr>
          <a:bodyPr/>
          <a:lstStyle/>
          <a:p>
            <a:pPr>
              <a:defRPr sz="2800"/>
            </a:pPr>
            <a:endParaRPr lang="en-US"/>
          </a:p>
        </c:txPr>
        <c:crossAx val="32435471"/>
        <c:crosses val="autoZero"/>
        <c:auto val="1"/>
        <c:lblAlgn val="ctr"/>
        <c:lblOffset val="100"/>
        <c:tickLblSkip val="10"/>
        <c:tickMarkSkip val="10"/>
        <c:noMultiLvlLbl val="0"/>
      </c:catAx>
      <c:valAx>
        <c:axId val="32435471"/>
        <c:scaling>
          <c:orientation val="minMax"/>
          <c:min val="6"/>
        </c:scaling>
        <c:delete val="0"/>
        <c:axPos val="l"/>
        <c:majorGridlines>
          <c:spPr>
            <a:ln w="9525">
              <a:solidFill>
                <a:srgbClr val="000000"/>
              </a:solidFill>
            </a:ln>
          </c:spPr>
        </c:majorGridlines>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2800">
                <a:solidFill>
                  <a:sysClr val="windowText" lastClr="000000"/>
                </a:solidFill>
              </a:defRPr>
            </a:pPr>
            <a:endParaRPr lang="en-US"/>
          </a:p>
        </c:txPr>
        <c:crossAx val="32441231"/>
        <c:crosses val="autoZero"/>
        <c:crossBetween val="midCat"/>
        <c:majorUnit val="2"/>
      </c:valAx>
    </c:plotArea>
    <c:legend>
      <c:legendPos val="b"/>
      <c:layout>
        <c:manualLayout>
          <c:xMode val="edge"/>
          <c:yMode val="edge"/>
          <c:x val="3.8625823267212624E-2"/>
          <c:y val="0.81452150788540956"/>
          <c:w val="0.92137979277743476"/>
          <c:h val="0.1770907010472014"/>
        </c:manualLayout>
      </c:layout>
      <c:overlay val="0"/>
      <c:txPr>
        <a:bodyPr/>
        <a:lstStyle/>
        <a:p>
          <a:pPr>
            <a:defRPr sz="28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txPr>
    <a:bodyPr/>
    <a:lstStyle/>
    <a:p>
      <a:pPr>
        <a:defRPr sz="3600" baseline="0">
          <a:latin typeface="Arial" panose="020B0604020202020204" pitchFamily="34" charset="0"/>
        </a:defRPr>
      </a:pPr>
      <a:endParaRPr lang="en-US"/>
    </a:p>
  </c:txPr>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532973530912593E-2"/>
          <c:y val="0.13270643590601233"/>
          <c:w val="0.84754701396058363"/>
          <c:h val="0.46990816330577728"/>
        </c:manualLayout>
      </c:layout>
      <c:lineChart>
        <c:grouping val="standard"/>
        <c:varyColors val="0"/>
        <c:ser>
          <c:idx val="0"/>
          <c:order val="0"/>
          <c:tx>
            <c:strRef>
              <c:f>'Fig 45 data'!$C$5</c:f>
              <c:strCache>
                <c:ptCount val="1"/>
                <c:pt idx="0">
                  <c:v>Non-health spending (Baseline)</c:v>
                </c:pt>
              </c:strCache>
            </c:strRef>
          </c:tx>
          <c:spPr>
            <a:ln w="38100">
              <a:solidFill>
                <a:srgbClr val="0083AC"/>
              </a:solidFill>
            </a:ln>
          </c:spPr>
          <c:marker>
            <c:symbol val="none"/>
          </c:marker>
          <c:cat>
            <c:numRef>
              <c:f>'Fig 45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45 data'!$C$7:$C$48</c:f>
              <c:numCache>
                <c:formatCode>0.0</c:formatCode>
                <c:ptCount val="42"/>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13</c:v>
                </c:pt>
                <c:pt idx="16">
                  <c:v>13</c:v>
                </c:pt>
                <c:pt idx="17">
                  <c:v>13</c:v>
                </c:pt>
                <c:pt idx="18">
                  <c:v>13</c:v>
                </c:pt>
                <c:pt idx="19">
                  <c:v>13</c:v>
                </c:pt>
                <c:pt idx="20">
                  <c:v>13</c:v>
                </c:pt>
                <c:pt idx="21">
                  <c:v>13</c:v>
                </c:pt>
                <c:pt idx="22">
                  <c:v>13</c:v>
                </c:pt>
                <c:pt idx="23">
                  <c:v>13</c:v>
                </c:pt>
                <c:pt idx="24">
                  <c:v>13</c:v>
                </c:pt>
                <c:pt idx="25">
                  <c:v>13</c:v>
                </c:pt>
                <c:pt idx="26">
                  <c:v>13</c:v>
                </c:pt>
                <c:pt idx="27">
                  <c:v>13</c:v>
                </c:pt>
                <c:pt idx="28">
                  <c:v>13</c:v>
                </c:pt>
                <c:pt idx="29">
                  <c:v>13</c:v>
                </c:pt>
                <c:pt idx="30">
                  <c:v>13</c:v>
                </c:pt>
                <c:pt idx="31">
                  <c:v>13</c:v>
                </c:pt>
                <c:pt idx="32">
                  <c:v>13</c:v>
                </c:pt>
                <c:pt idx="33">
                  <c:v>13</c:v>
                </c:pt>
                <c:pt idx="34">
                  <c:v>13</c:v>
                </c:pt>
                <c:pt idx="35">
                  <c:v>13</c:v>
                </c:pt>
                <c:pt idx="36">
                  <c:v>13</c:v>
                </c:pt>
                <c:pt idx="37">
                  <c:v>13</c:v>
                </c:pt>
                <c:pt idx="38">
                  <c:v>13</c:v>
                </c:pt>
                <c:pt idx="39">
                  <c:v>13</c:v>
                </c:pt>
                <c:pt idx="40">
                  <c:v>13</c:v>
                </c:pt>
                <c:pt idx="41">
                  <c:v>13</c:v>
                </c:pt>
              </c:numCache>
            </c:numRef>
          </c:val>
          <c:smooth val="0"/>
          <c:extLst>
            <c:ext xmlns:c16="http://schemas.microsoft.com/office/drawing/2014/chart" uri="{C3380CC4-5D6E-409C-BE32-E72D297353CC}">
              <c16:uniqueId val="{00000000-F8B3-4451-B71F-713E975A53C4}"/>
            </c:ext>
          </c:extLst>
        </c:ser>
        <c:ser>
          <c:idx val="1"/>
          <c:order val="1"/>
          <c:tx>
            <c:strRef>
              <c:f>'Fig 45 data'!$D$5</c:f>
              <c:strCache>
                <c:ptCount val="1"/>
                <c:pt idx="0">
                  <c:v>Non-health spending (GST)</c:v>
                </c:pt>
              </c:strCache>
            </c:strRef>
          </c:tx>
          <c:spPr>
            <a:ln w="38100">
              <a:solidFill>
                <a:srgbClr val="67A854"/>
              </a:solidFill>
            </a:ln>
          </c:spPr>
          <c:marker>
            <c:symbol val="none"/>
          </c:marker>
          <c:cat>
            <c:numRef>
              <c:f>'Fig 45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45 data'!$D$7:$D$48</c:f>
              <c:numCache>
                <c:formatCode>0.0</c:formatCode>
                <c:ptCount val="42"/>
                <c:pt idx="0">
                  <c:v>13</c:v>
                </c:pt>
                <c:pt idx="1">
                  <c:v>13</c:v>
                </c:pt>
                <c:pt idx="2">
                  <c:v>13</c:v>
                </c:pt>
                <c:pt idx="3">
                  <c:v>13</c:v>
                </c:pt>
                <c:pt idx="4">
                  <c:v>13</c:v>
                </c:pt>
                <c:pt idx="5">
                  <c:v>13</c:v>
                </c:pt>
                <c:pt idx="6">
                  <c:v>13</c:v>
                </c:pt>
                <c:pt idx="7">
                  <c:v>13</c:v>
                </c:pt>
                <c:pt idx="8">
                  <c:v>13</c:v>
                </c:pt>
                <c:pt idx="9">
                  <c:v>13</c:v>
                </c:pt>
                <c:pt idx="10">
                  <c:v>13</c:v>
                </c:pt>
                <c:pt idx="11">
                  <c:v>13</c:v>
                </c:pt>
                <c:pt idx="12">
                  <c:v>13</c:v>
                </c:pt>
                <c:pt idx="13">
                  <c:v>13</c:v>
                </c:pt>
                <c:pt idx="14">
                  <c:v>13</c:v>
                </c:pt>
                <c:pt idx="15">
                  <c:v>13</c:v>
                </c:pt>
                <c:pt idx="16">
                  <c:v>13</c:v>
                </c:pt>
                <c:pt idx="17">
                  <c:v>13</c:v>
                </c:pt>
                <c:pt idx="18">
                  <c:v>13</c:v>
                </c:pt>
                <c:pt idx="19">
                  <c:v>13</c:v>
                </c:pt>
                <c:pt idx="20">
                  <c:v>13</c:v>
                </c:pt>
                <c:pt idx="21">
                  <c:v>13</c:v>
                </c:pt>
                <c:pt idx="22">
                  <c:v>13</c:v>
                </c:pt>
                <c:pt idx="23">
                  <c:v>13</c:v>
                </c:pt>
                <c:pt idx="24">
                  <c:v>13</c:v>
                </c:pt>
                <c:pt idx="25">
                  <c:v>13</c:v>
                </c:pt>
                <c:pt idx="26">
                  <c:v>13</c:v>
                </c:pt>
                <c:pt idx="27">
                  <c:v>13</c:v>
                </c:pt>
                <c:pt idx="28">
                  <c:v>13</c:v>
                </c:pt>
                <c:pt idx="29">
                  <c:v>13</c:v>
                </c:pt>
                <c:pt idx="30">
                  <c:v>13</c:v>
                </c:pt>
                <c:pt idx="31">
                  <c:v>13</c:v>
                </c:pt>
                <c:pt idx="32">
                  <c:v>13</c:v>
                </c:pt>
                <c:pt idx="33">
                  <c:v>13</c:v>
                </c:pt>
                <c:pt idx="34">
                  <c:v>13</c:v>
                </c:pt>
                <c:pt idx="35">
                  <c:v>13</c:v>
                </c:pt>
                <c:pt idx="36">
                  <c:v>13</c:v>
                </c:pt>
                <c:pt idx="37">
                  <c:v>13</c:v>
                </c:pt>
                <c:pt idx="38">
                  <c:v>13</c:v>
                </c:pt>
                <c:pt idx="39">
                  <c:v>13</c:v>
                </c:pt>
                <c:pt idx="40">
                  <c:v>13</c:v>
                </c:pt>
                <c:pt idx="41">
                  <c:v>13</c:v>
                </c:pt>
              </c:numCache>
            </c:numRef>
          </c:val>
          <c:smooth val="0"/>
          <c:extLst>
            <c:ext xmlns:c16="http://schemas.microsoft.com/office/drawing/2014/chart" uri="{C3380CC4-5D6E-409C-BE32-E72D297353CC}">
              <c16:uniqueId val="{00000001-F8B3-4451-B71F-713E975A53C4}"/>
            </c:ext>
          </c:extLst>
        </c:ser>
        <c:ser>
          <c:idx val="2"/>
          <c:order val="2"/>
          <c:tx>
            <c:strRef>
              <c:f>'Fig 45 data'!$E$5</c:f>
              <c:strCache>
                <c:ptCount val="1"/>
                <c:pt idx="0">
                  <c:v>Non-health spending (Combination Policy)</c:v>
                </c:pt>
              </c:strCache>
            </c:strRef>
          </c:tx>
          <c:spPr>
            <a:ln w="38100">
              <a:solidFill>
                <a:srgbClr val="3E403A"/>
              </a:solidFill>
            </a:ln>
          </c:spPr>
          <c:marker>
            <c:symbol val="none"/>
          </c:marker>
          <c:cat>
            <c:numRef>
              <c:f>'Fig 45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45 data'!$E$7:$E$48</c:f>
              <c:numCache>
                <c:formatCode>0.0</c:formatCode>
                <c:ptCount val="42"/>
                <c:pt idx="0">
                  <c:v>13</c:v>
                </c:pt>
                <c:pt idx="1">
                  <c:v>12.9666760662897</c:v>
                </c:pt>
                <c:pt idx="2">
                  <c:v>12.933340990181501</c:v>
                </c:pt>
                <c:pt idx="3">
                  <c:v>12.9000054197918</c:v>
                </c:pt>
                <c:pt idx="4">
                  <c:v>12.866669557726899</c:v>
                </c:pt>
                <c:pt idx="5">
                  <c:v>12.833334064182999</c:v>
                </c:pt>
                <c:pt idx="6">
                  <c:v>12.8000003661269</c:v>
                </c:pt>
                <c:pt idx="7">
                  <c:v>12.7666648269073</c:v>
                </c:pt>
                <c:pt idx="8">
                  <c:v>12.7333297748145</c:v>
                </c:pt>
                <c:pt idx="9">
                  <c:v>12.6999951371132</c:v>
                </c:pt>
                <c:pt idx="10">
                  <c:v>12.666660803519701</c:v>
                </c:pt>
                <c:pt idx="11">
                  <c:v>12.6333276778971</c:v>
                </c:pt>
                <c:pt idx="12">
                  <c:v>12.5999934894337</c:v>
                </c:pt>
                <c:pt idx="13">
                  <c:v>12.5666590855464</c:v>
                </c:pt>
                <c:pt idx="14">
                  <c:v>12.533325470495599</c:v>
                </c:pt>
                <c:pt idx="15">
                  <c:v>12.4999919205569</c:v>
                </c:pt>
                <c:pt idx="16">
                  <c:v>12.4666590285817</c:v>
                </c:pt>
                <c:pt idx="17">
                  <c:v>12.4333251433786</c:v>
                </c:pt>
                <c:pt idx="18">
                  <c:v>12.3999912808769</c:v>
                </c:pt>
                <c:pt idx="19">
                  <c:v>12.366657713419601</c:v>
                </c:pt>
                <c:pt idx="20">
                  <c:v>12.333324126638599</c:v>
                </c:pt>
                <c:pt idx="21">
                  <c:v>12.2999911240433</c:v>
                </c:pt>
                <c:pt idx="22">
                  <c:v>12.266658101506099</c:v>
                </c:pt>
                <c:pt idx="23">
                  <c:v>12.2333243961597</c:v>
                </c:pt>
                <c:pt idx="24">
                  <c:v>12.1999912294179</c:v>
                </c:pt>
                <c:pt idx="25">
                  <c:v>12.1666578983608</c:v>
                </c:pt>
                <c:pt idx="26">
                  <c:v>12.133323811442001</c:v>
                </c:pt>
                <c:pt idx="27">
                  <c:v>12.099990471590999</c:v>
                </c:pt>
                <c:pt idx="28">
                  <c:v>12.0666578560833</c:v>
                </c:pt>
                <c:pt idx="29">
                  <c:v>12.0333245913308</c:v>
                </c:pt>
                <c:pt idx="30">
                  <c:v>11.9999913573977</c:v>
                </c:pt>
                <c:pt idx="31">
                  <c:v>11.9666579156446</c:v>
                </c:pt>
                <c:pt idx="32">
                  <c:v>11.933324350344501</c:v>
                </c:pt>
                <c:pt idx="33">
                  <c:v>11.899990922691099</c:v>
                </c:pt>
                <c:pt idx="34">
                  <c:v>11.8666575862482</c:v>
                </c:pt>
                <c:pt idx="35">
                  <c:v>11.8333243576415</c:v>
                </c:pt>
                <c:pt idx="36">
                  <c:v>11.7999911871231</c:v>
                </c:pt>
                <c:pt idx="37">
                  <c:v>11.766658118983001</c:v>
                </c:pt>
                <c:pt idx="38">
                  <c:v>11.7333252754183</c:v>
                </c:pt>
                <c:pt idx="39">
                  <c:v>11.699992386058801</c:v>
                </c:pt>
                <c:pt idx="40">
                  <c:v>11.6666596200804</c:v>
                </c:pt>
                <c:pt idx="41">
                  <c:v>11.6333269400765</c:v>
                </c:pt>
              </c:numCache>
            </c:numRef>
          </c:val>
          <c:smooth val="0"/>
          <c:extLst>
            <c:ext xmlns:c16="http://schemas.microsoft.com/office/drawing/2014/chart" uri="{C3380CC4-5D6E-409C-BE32-E72D297353CC}">
              <c16:uniqueId val="{00000002-F8B3-4451-B71F-713E975A53C4}"/>
            </c:ext>
          </c:extLst>
        </c:ser>
        <c:dLbls>
          <c:showLegendKey val="0"/>
          <c:showVal val="0"/>
          <c:showCatName val="0"/>
          <c:showSerName val="0"/>
          <c:showPercent val="0"/>
          <c:showBubbleSize val="0"/>
        </c:dLbls>
        <c:smooth val="0"/>
        <c:axId val="32455151"/>
        <c:axId val="32434991"/>
      </c:lineChart>
      <c:catAx>
        <c:axId val="32455151"/>
        <c:scaling>
          <c:orientation val="minMax"/>
        </c:scaling>
        <c:delete val="0"/>
        <c:axPos val="b"/>
        <c:title>
          <c:tx>
            <c:rich>
              <a:bodyPr/>
              <a:lstStyle/>
              <a:p>
                <a:pPr algn="ctr">
                  <a:defRPr sz="2800"/>
                </a:pPr>
                <a:r>
                  <a:rPr lang="en-NZ" sz="2800"/>
                  <a:t>Year ending 30 June</a:t>
                </a:r>
              </a:p>
            </c:rich>
          </c:tx>
          <c:layout>
            <c:manualLayout>
              <c:xMode val="edge"/>
              <c:yMode val="edge"/>
              <c:x val="0.31100408291166631"/>
              <c:y val="0.70326049019231962"/>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2800"/>
            </a:pPr>
            <a:endParaRPr lang="en-US"/>
          </a:p>
        </c:txPr>
        <c:crossAx val="32434991"/>
        <c:crosses val="autoZero"/>
        <c:auto val="1"/>
        <c:lblAlgn val="ctr"/>
        <c:lblOffset val="100"/>
        <c:tickLblSkip val="10"/>
        <c:tickMarkSkip val="10"/>
        <c:noMultiLvlLbl val="0"/>
      </c:catAx>
      <c:valAx>
        <c:axId val="32434991"/>
        <c:scaling>
          <c:orientation val="minMax"/>
          <c:min val="11"/>
        </c:scaling>
        <c:delete val="0"/>
        <c:axPos val="l"/>
        <c:majorGridlines>
          <c:spPr>
            <a:ln w="9525">
              <a:solidFill>
                <a:schemeClr val="bg1">
                  <a:lumMod val="50000"/>
                </a:schemeClr>
              </a:solidFill>
            </a:ln>
          </c:spPr>
        </c:majorGridlines>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2800"/>
            </a:pPr>
            <a:endParaRPr lang="en-US"/>
          </a:p>
        </c:txPr>
        <c:crossAx val="32455151"/>
        <c:crosses val="autoZero"/>
        <c:crossBetween val="midCat"/>
        <c:majorUnit val="1"/>
      </c:valAx>
    </c:plotArea>
    <c:legend>
      <c:legendPos val="b"/>
      <c:layout>
        <c:manualLayout>
          <c:xMode val="edge"/>
          <c:yMode val="edge"/>
          <c:x val="1.8082449807260998E-2"/>
          <c:y val="0.78292880590483582"/>
          <c:w val="0.9611055504989845"/>
          <c:h val="0.21075952839580273"/>
        </c:manualLayout>
      </c:layout>
      <c:overlay val="0"/>
      <c:txPr>
        <a:bodyPr/>
        <a:lstStyle/>
        <a:p>
          <a:pPr>
            <a:defRPr sz="2800"/>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txPr>
    <a:bodyPr/>
    <a:lstStyle/>
    <a:p>
      <a:pPr>
        <a:defRPr sz="3600" baseline="0">
          <a:latin typeface="Arial" panose="020B0604020202020204" pitchFamily="34" charset="0"/>
        </a:defRPr>
      </a:pPr>
      <a:endParaRPr lang="en-US"/>
    </a:p>
  </c:txPr>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483864309851055E-2"/>
          <c:y val="0.11730843723600171"/>
          <c:w val="0.85051261837290881"/>
          <c:h val="0.50704144120085082"/>
        </c:manualLayout>
      </c:layout>
      <c:lineChart>
        <c:grouping val="standard"/>
        <c:varyColors val="0"/>
        <c:ser>
          <c:idx val="0"/>
          <c:order val="0"/>
          <c:tx>
            <c:strRef>
              <c:f>'Fig 46 data'!$C$5</c:f>
              <c:strCache>
                <c:ptCount val="1"/>
                <c:pt idx="0">
                  <c:v>GST rate (Baseline)</c:v>
                </c:pt>
              </c:strCache>
            </c:strRef>
          </c:tx>
          <c:spPr>
            <a:ln w="38100">
              <a:solidFill>
                <a:srgbClr val="0083AC"/>
              </a:solidFill>
            </a:ln>
          </c:spPr>
          <c:marker>
            <c:symbol val="none"/>
          </c:marker>
          <c:cat>
            <c:numRef>
              <c:f>'Fig 46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46 data'!$C$7:$C$48</c:f>
              <c:numCache>
                <c:formatCode>0.0</c:formatCode>
                <c:ptCount val="42"/>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numCache>
            </c:numRef>
          </c:val>
          <c:smooth val="0"/>
          <c:extLst>
            <c:ext xmlns:c16="http://schemas.microsoft.com/office/drawing/2014/chart" uri="{C3380CC4-5D6E-409C-BE32-E72D297353CC}">
              <c16:uniqueId val="{00000000-D979-4805-AE70-9BF357313578}"/>
            </c:ext>
          </c:extLst>
        </c:ser>
        <c:ser>
          <c:idx val="1"/>
          <c:order val="1"/>
          <c:tx>
            <c:strRef>
              <c:f>'Fig 46 data'!$D$5</c:f>
              <c:strCache>
                <c:ptCount val="1"/>
                <c:pt idx="0">
                  <c:v>GST rate (GST)</c:v>
                </c:pt>
              </c:strCache>
            </c:strRef>
          </c:tx>
          <c:spPr>
            <a:ln w="38100">
              <a:solidFill>
                <a:srgbClr val="67A854"/>
              </a:solidFill>
            </a:ln>
          </c:spPr>
          <c:marker>
            <c:symbol val="none"/>
          </c:marker>
          <c:cat>
            <c:numRef>
              <c:f>'Fig 46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46 data'!$D$7:$D$48</c:f>
              <c:numCache>
                <c:formatCode>0.0</c:formatCode>
                <c:ptCount val="42"/>
                <c:pt idx="0">
                  <c:v>15</c:v>
                </c:pt>
                <c:pt idx="1">
                  <c:v>15.302471085875201</c:v>
                </c:pt>
                <c:pt idx="2">
                  <c:v>15.8067281023755</c:v>
                </c:pt>
                <c:pt idx="3">
                  <c:v>16.312961799205802</c:v>
                </c:pt>
                <c:pt idx="4">
                  <c:v>16.759588431306401</c:v>
                </c:pt>
                <c:pt idx="5">
                  <c:v>17.156502872342099</c:v>
                </c:pt>
                <c:pt idx="6">
                  <c:v>17.519205909080199</c:v>
                </c:pt>
                <c:pt idx="7">
                  <c:v>17.848583104326401</c:v>
                </c:pt>
                <c:pt idx="8">
                  <c:v>18.1983068070783</c:v>
                </c:pt>
                <c:pt idx="9">
                  <c:v>18.542084904452199</c:v>
                </c:pt>
                <c:pt idx="10">
                  <c:v>18.895480975054301</c:v>
                </c:pt>
                <c:pt idx="11">
                  <c:v>19.2469756214916</c:v>
                </c:pt>
                <c:pt idx="12">
                  <c:v>19.6236872202083</c:v>
                </c:pt>
                <c:pt idx="13">
                  <c:v>19.9933508053834</c:v>
                </c:pt>
                <c:pt idx="14">
                  <c:v>20.318950636517101</c:v>
                </c:pt>
                <c:pt idx="15">
                  <c:v>20.619865999299599</c:v>
                </c:pt>
                <c:pt idx="16">
                  <c:v>20.875321157132099</c:v>
                </c:pt>
                <c:pt idx="17">
                  <c:v>21.115524161461298</c:v>
                </c:pt>
                <c:pt idx="18">
                  <c:v>21.354935645167199</c:v>
                </c:pt>
                <c:pt idx="19">
                  <c:v>21.5814915418574</c:v>
                </c:pt>
                <c:pt idx="20">
                  <c:v>21.8782844795053</c:v>
                </c:pt>
                <c:pt idx="21">
                  <c:v>22.2036455489906</c:v>
                </c:pt>
                <c:pt idx="22">
                  <c:v>22.5361714962302</c:v>
                </c:pt>
                <c:pt idx="23">
                  <c:v>22.899093243935599</c:v>
                </c:pt>
                <c:pt idx="24">
                  <c:v>23.293277171941298</c:v>
                </c:pt>
                <c:pt idx="25">
                  <c:v>23.7066190087424</c:v>
                </c:pt>
                <c:pt idx="26">
                  <c:v>24.140231358319699</c:v>
                </c:pt>
                <c:pt idx="27">
                  <c:v>24.597482997684999</c:v>
                </c:pt>
                <c:pt idx="28">
                  <c:v>25.1043533603135</c:v>
                </c:pt>
                <c:pt idx="29">
                  <c:v>25.6577738422158</c:v>
                </c:pt>
                <c:pt idx="30">
                  <c:v>26.232818730262601</c:v>
                </c:pt>
                <c:pt idx="31">
                  <c:v>26.852361834544499</c:v>
                </c:pt>
                <c:pt idx="32">
                  <c:v>27.4920868563554</c:v>
                </c:pt>
                <c:pt idx="33">
                  <c:v>28.116582251339398</c:v>
                </c:pt>
                <c:pt idx="34">
                  <c:v>28.711392686507001</c:v>
                </c:pt>
                <c:pt idx="35">
                  <c:v>29.2616188690949</c:v>
                </c:pt>
                <c:pt idx="36">
                  <c:v>29.796372181426499</c:v>
                </c:pt>
                <c:pt idx="37">
                  <c:v>30.297678482898</c:v>
                </c:pt>
                <c:pt idx="38">
                  <c:v>30.769447158856199</c:v>
                </c:pt>
                <c:pt idx="39">
                  <c:v>31.2252498728662</c:v>
                </c:pt>
                <c:pt idx="40">
                  <c:v>31.647495648932399</c:v>
                </c:pt>
                <c:pt idx="41">
                  <c:v>32.106754563966703</c:v>
                </c:pt>
              </c:numCache>
            </c:numRef>
          </c:val>
          <c:smooth val="0"/>
          <c:extLst>
            <c:ext xmlns:c16="http://schemas.microsoft.com/office/drawing/2014/chart" uri="{C3380CC4-5D6E-409C-BE32-E72D297353CC}">
              <c16:uniqueId val="{00000001-D979-4805-AE70-9BF357313578}"/>
            </c:ext>
          </c:extLst>
        </c:ser>
        <c:ser>
          <c:idx val="2"/>
          <c:order val="2"/>
          <c:tx>
            <c:strRef>
              <c:f>'Fig 46 data'!$E$5</c:f>
              <c:strCache>
                <c:ptCount val="1"/>
                <c:pt idx="0">
                  <c:v>GST rate (Combination Policy)</c:v>
                </c:pt>
              </c:strCache>
            </c:strRef>
          </c:tx>
          <c:spPr>
            <a:ln w="38100">
              <a:solidFill>
                <a:srgbClr val="3E403A"/>
              </a:solidFill>
            </a:ln>
          </c:spPr>
          <c:marker>
            <c:symbol val="none"/>
          </c:marker>
          <c:cat>
            <c:numRef>
              <c:f>'Fig 46 data'!$B$7:$B$48</c:f>
              <c:numCache>
                <c:formatCode>General</c:formatCode>
                <c:ptCount val="42"/>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numCache>
            </c:numRef>
          </c:cat>
          <c:val>
            <c:numRef>
              <c:f>'Fig 46 data'!$E$7:$E$48</c:f>
              <c:numCache>
                <c:formatCode>0.0</c:formatCode>
                <c:ptCount val="42"/>
                <c:pt idx="0">
                  <c:v>15</c:v>
                </c:pt>
                <c:pt idx="1">
                  <c:v>15.0972611218618</c:v>
                </c:pt>
                <c:pt idx="2">
                  <c:v>15.5635406045823</c:v>
                </c:pt>
                <c:pt idx="3">
                  <c:v>16.017321633037199</c:v>
                </c:pt>
                <c:pt idx="4">
                  <c:v>16.401914507735199</c:v>
                </c:pt>
                <c:pt idx="5">
                  <c:v>16.731075451274599</c:v>
                </c:pt>
                <c:pt idx="6">
                  <c:v>16.305418674247999</c:v>
                </c:pt>
                <c:pt idx="7">
                  <c:v>16.585733852592401</c:v>
                </c:pt>
                <c:pt idx="8">
                  <c:v>16.859365190744299</c:v>
                </c:pt>
                <c:pt idx="9">
                  <c:v>17.1153824465189</c:v>
                </c:pt>
                <c:pt idx="10">
                  <c:v>17.366747209825402</c:v>
                </c:pt>
                <c:pt idx="11">
                  <c:v>16.915399214817</c:v>
                </c:pt>
                <c:pt idx="12">
                  <c:v>17.177647364649101</c:v>
                </c:pt>
                <c:pt idx="13">
                  <c:v>17.431439967552599</c:v>
                </c:pt>
                <c:pt idx="14">
                  <c:v>17.684277758588099</c:v>
                </c:pt>
                <c:pt idx="15">
                  <c:v>17.9169154442143</c:v>
                </c:pt>
                <c:pt idx="16">
                  <c:v>17.4337492401901</c:v>
                </c:pt>
                <c:pt idx="17">
                  <c:v>17.626836859054301</c:v>
                </c:pt>
                <c:pt idx="18">
                  <c:v>17.784659478589798</c:v>
                </c:pt>
                <c:pt idx="19">
                  <c:v>17.906801904291701</c:v>
                </c:pt>
                <c:pt idx="20">
                  <c:v>18.047384720739501</c:v>
                </c:pt>
                <c:pt idx="21">
                  <c:v>18.1995068471713</c:v>
                </c:pt>
                <c:pt idx="22">
                  <c:v>18.337111147195198</c:v>
                </c:pt>
                <c:pt idx="23">
                  <c:v>18.5024431376373</c:v>
                </c:pt>
                <c:pt idx="24">
                  <c:v>18.685832113268301</c:v>
                </c:pt>
                <c:pt idx="25">
                  <c:v>18.885587203854001</c:v>
                </c:pt>
                <c:pt idx="26">
                  <c:v>19.104585042832898</c:v>
                </c:pt>
                <c:pt idx="27">
                  <c:v>19.3493496723909</c:v>
                </c:pt>
                <c:pt idx="28">
                  <c:v>19.615647190169099</c:v>
                </c:pt>
                <c:pt idx="29">
                  <c:v>19.904361543639698</c:v>
                </c:pt>
                <c:pt idx="30">
                  <c:v>20.211126168522298</c:v>
                </c:pt>
                <c:pt idx="31">
                  <c:v>20.553610915344699</c:v>
                </c:pt>
                <c:pt idx="32">
                  <c:v>20.926736100040099</c:v>
                </c:pt>
                <c:pt idx="33">
                  <c:v>21.305824940101498</c:v>
                </c:pt>
                <c:pt idx="34">
                  <c:v>21.701966781737799</c:v>
                </c:pt>
                <c:pt idx="35">
                  <c:v>22.094174246648102</c:v>
                </c:pt>
                <c:pt idx="36">
                  <c:v>22.469645928870101</c:v>
                </c:pt>
                <c:pt idx="37">
                  <c:v>22.815372019720201</c:v>
                </c:pt>
                <c:pt idx="38">
                  <c:v>23.125950703246399</c:v>
                </c:pt>
                <c:pt idx="39">
                  <c:v>23.417445801650601</c:v>
                </c:pt>
                <c:pt idx="40">
                  <c:v>23.6790476600696</c:v>
                </c:pt>
                <c:pt idx="41">
                  <c:v>23.925923104901301</c:v>
                </c:pt>
              </c:numCache>
            </c:numRef>
          </c:val>
          <c:smooth val="0"/>
          <c:extLst>
            <c:ext xmlns:c16="http://schemas.microsoft.com/office/drawing/2014/chart" uri="{C3380CC4-5D6E-409C-BE32-E72D297353CC}">
              <c16:uniqueId val="{00000002-D979-4805-AE70-9BF357313578}"/>
            </c:ext>
          </c:extLst>
        </c:ser>
        <c:dLbls>
          <c:showLegendKey val="0"/>
          <c:showVal val="0"/>
          <c:showCatName val="0"/>
          <c:showSerName val="0"/>
          <c:showPercent val="0"/>
          <c:showBubbleSize val="0"/>
        </c:dLbls>
        <c:smooth val="0"/>
        <c:axId val="32451311"/>
        <c:axId val="32452751"/>
      </c:lineChart>
      <c:catAx>
        <c:axId val="32451311"/>
        <c:scaling>
          <c:orientation val="minMax"/>
        </c:scaling>
        <c:delete val="0"/>
        <c:axPos val="b"/>
        <c:title>
          <c:tx>
            <c:rich>
              <a:bodyPr/>
              <a:lstStyle/>
              <a:p>
                <a:pPr algn="ctr">
                  <a:defRPr sz="2800"/>
                </a:pPr>
                <a:r>
                  <a:rPr lang="en-NZ" sz="2800"/>
                  <a:t>Year ending 30 June</a:t>
                </a:r>
              </a:p>
            </c:rich>
          </c:tx>
          <c:layout>
            <c:manualLayout>
              <c:xMode val="edge"/>
              <c:yMode val="edge"/>
              <c:x val="0.31032054870407211"/>
              <c:y val="0.72569265874930755"/>
            </c:manualLayout>
          </c:layout>
          <c:overlay val="0"/>
        </c:title>
        <c:numFmt formatCode="General" sourceLinked="1"/>
        <c:majorTickMark val="out"/>
        <c:minorTickMark val="none"/>
        <c:tickLblPos val="low"/>
        <c:spPr>
          <a:ln w="9525">
            <a:solidFill>
              <a:schemeClr val="bg1">
                <a:lumMod val="50000"/>
              </a:schemeClr>
            </a:solidFill>
          </a:ln>
        </c:spPr>
        <c:txPr>
          <a:bodyPr/>
          <a:lstStyle/>
          <a:p>
            <a:pPr>
              <a:defRPr sz="2800">
                <a:solidFill>
                  <a:sysClr val="windowText" lastClr="000000"/>
                </a:solidFill>
              </a:defRPr>
            </a:pPr>
            <a:endParaRPr lang="en-US"/>
          </a:p>
        </c:txPr>
        <c:crossAx val="32452751"/>
        <c:crosses val="autoZero"/>
        <c:auto val="1"/>
        <c:lblAlgn val="ctr"/>
        <c:lblOffset val="100"/>
        <c:tickLblSkip val="10"/>
        <c:tickMarkSkip val="10"/>
        <c:noMultiLvlLbl val="0"/>
      </c:catAx>
      <c:valAx>
        <c:axId val="32452751"/>
        <c:scaling>
          <c:orientation val="minMax"/>
          <c:min val="10"/>
        </c:scaling>
        <c:delete val="0"/>
        <c:axPos val="l"/>
        <c:majorGridlines>
          <c:spPr>
            <a:ln w="9525">
              <a:solidFill>
                <a:schemeClr val="bg1">
                  <a:lumMod val="50000"/>
                </a:schemeClr>
              </a:solidFill>
            </a:ln>
          </c:spPr>
        </c:majorGridlines>
        <c:numFmt formatCode="0" sourceLinked="0"/>
        <c:majorTickMark val="out"/>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2800">
                <a:solidFill>
                  <a:sysClr val="windowText" lastClr="000000"/>
                </a:solidFill>
              </a:defRPr>
            </a:pPr>
            <a:endParaRPr lang="en-US"/>
          </a:p>
        </c:txPr>
        <c:crossAx val="32451311"/>
        <c:crosses val="autoZero"/>
        <c:crossBetween val="midCat"/>
        <c:majorUnit val="10"/>
      </c:valAx>
    </c:plotArea>
    <c:legend>
      <c:legendPos val="b"/>
      <c:layout>
        <c:manualLayout>
          <c:xMode val="edge"/>
          <c:yMode val="edge"/>
          <c:x val="0.14156690747473497"/>
          <c:y val="0.80817348561668012"/>
          <c:w val="0.7177734389712207"/>
          <c:h val="0.18131632595052599"/>
        </c:manualLayout>
      </c:layout>
      <c:overlay val="0"/>
      <c:txPr>
        <a:bodyPr/>
        <a:lstStyle/>
        <a:p>
          <a:pPr>
            <a:defRPr sz="2800">
              <a:solidFill>
                <a:sysClr val="windowText" lastClr="000000"/>
              </a:solidFil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ln w="12700">
      <a:noFill/>
    </a:ln>
  </c:spPr>
  <c:txPr>
    <a:bodyPr/>
    <a:lstStyle/>
    <a:p>
      <a:pPr>
        <a:defRPr sz="3600" baseline="0">
          <a:latin typeface="Arial" panose="020B0604020202020204" pitchFamily="34" charset="0"/>
        </a:defRPr>
      </a:pPr>
      <a:endParaRPr lang="en-US"/>
    </a:p>
  </c:txPr>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3.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7.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21.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26.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27.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29.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31.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34.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36.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37.xml"/></Relationships>
</file>

<file path=xl/chartsheets/_rels/sheet21.xml.rels><?xml version="1.0" encoding="UTF-8" standalone="yes"?>
<Relationships xmlns="http://schemas.openxmlformats.org/package/2006/relationships"><Relationship Id="rId1" Type="http://schemas.openxmlformats.org/officeDocument/2006/relationships/drawing" Target="../drawings/drawing38.xml"/></Relationships>
</file>

<file path=xl/chartsheets/_rels/sheet22.xml.rels><?xml version="1.0" encoding="UTF-8" standalone="yes"?>
<Relationships xmlns="http://schemas.openxmlformats.org/package/2006/relationships"><Relationship Id="rId1" Type="http://schemas.openxmlformats.org/officeDocument/2006/relationships/drawing" Target="../drawings/drawing39.xml"/></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40.xml"/></Relationships>
</file>

<file path=xl/chartsheets/_rels/sheet24.xml.rels><?xml version="1.0" encoding="UTF-8" standalone="yes"?>
<Relationships xmlns="http://schemas.openxmlformats.org/package/2006/relationships"><Relationship Id="rId1" Type="http://schemas.openxmlformats.org/officeDocument/2006/relationships/drawing" Target="../drawings/drawing41.xml"/></Relationships>
</file>

<file path=xl/chartsheets/_rels/sheet25.xml.rels><?xml version="1.0" encoding="UTF-8" standalone="yes"?>
<Relationships xmlns="http://schemas.openxmlformats.org/package/2006/relationships"><Relationship Id="rId1" Type="http://schemas.openxmlformats.org/officeDocument/2006/relationships/drawing" Target="../drawings/drawing43.xml"/></Relationships>
</file>

<file path=xl/chartsheets/_rels/sheet26.xml.rels><?xml version="1.0" encoding="UTF-8" standalone="yes"?>
<Relationships xmlns="http://schemas.openxmlformats.org/package/2006/relationships"><Relationship Id="rId1" Type="http://schemas.openxmlformats.org/officeDocument/2006/relationships/drawing" Target="../drawings/drawing44.xml"/></Relationships>
</file>

<file path=xl/chartsheets/_rels/sheet27.xml.rels><?xml version="1.0" encoding="UTF-8" standalone="yes"?>
<Relationships xmlns="http://schemas.openxmlformats.org/package/2006/relationships"><Relationship Id="rId1" Type="http://schemas.openxmlformats.org/officeDocument/2006/relationships/drawing" Target="../drawings/drawing45.xml"/></Relationships>
</file>

<file path=xl/chartsheets/_rels/sheet28.xml.rels><?xml version="1.0" encoding="UTF-8" standalone="yes"?>
<Relationships xmlns="http://schemas.openxmlformats.org/package/2006/relationships"><Relationship Id="rId1" Type="http://schemas.openxmlformats.org/officeDocument/2006/relationships/drawing" Target="../drawings/drawing46.xml"/></Relationships>
</file>

<file path=xl/chartsheets/_rels/sheet29.xml.rels><?xml version="1.0" encoding="UTF-8" standalone="yes"?>
<Relationships xmlns="http://schemas.openxmlformats.org/package/2006/relationships"><Relationship Id="rId1" Type="http://schemas.openxmlformats.org/officeDocument/2006/relationships/drawing" Target="../drawings/drawing47.xml"/></Relationships>
</file>

<file path=xl/chartsheets/_rels/sheet30.xml.rels><?xml version="1.0" encoding="UTF-8" standalone="yes"?>
<Relationships xmlns="http://schemas.openxmlformats.org/package/2006/relationships"><Relationship Id="rId1" Type="http://schemas.openxmlformats.org/officeDocument/2006/relationships/drawing" Target="../drawings/drawing48.xml"/></Relationships>
</file>

<file path=xl/chartsheets/_rels/sheet31.xml.rels><?xml version="1.0" encoding="UTF-8" standalone="yes"?>
<Relationships xmlns="http://schemas.openxmlformats.org/package/2006/relationships"><Relationship Id="rId1" Type="http://schemas.openxmlformats.org/officeDocument/2006/relationships/drawing" Target="../drawings/drawing49.xml"/></Relationships>
</file>

<file path=xl/chartsheets/_rels/sheet32.xml.rels><?xml version="1.0" encoding="UTF-8" standalone="yes"?>
<Relationships xmlns="http://schemas.openxmlformats.org/package/2006/relationships"><Relationship Id="rId1" Type="http://schemas.openxmlformats.org/officeDocument/2006/relationships/drawing" Target="../drawings/drawing51.xml"/></Relationships>
</file>

<file path=xl/chartsheets/_rels/sheet33.xml.rels><?xml version="1.0" encoding="UTF-8" standalone="yes"?>
<Relationships xmlns="http://schemas.openxmlformats.org/package/2006/relationships"><Relationship Id="rId1" Type="http://schemas.openxmlformats.org/officeDocument/2006/relationships/drawing" Target="../drawings/drawing53.xml"/></Relationships>
</file>

<file path=xl/chartsheets/_rels/sheet34.xml.rels><?xml version="1.0" encoding="UTF-8" standalone="yes"?>
<Relationships xmlns="http://schemas.openxmlformats.org/package/2006/relationships"><Relationship Id="rId1" Type="http://schemas.openxmlformats.org/officeDocument/2006/relationships/drawing" Target="../drawings/drawing55.xml"/></Relationships>
</file>

<file path=xl/chartsheets/_rels/sheet35.xml.rels><?xml version="1.0" encoding="UTF-8" standalone="yes"?>
<Relationships xmlns="http://schemas.openxmlformats.org/package/2006/relationships"><Relationship Id="rId1" Type="http://schemas.openxmlformats.org/officeDocument/2006/relationships/drawing" Target="../drawings/drawing57.xml"/></Relationships>
</file>

<file path=xl/chartsheets/_rels/sheet36.xml.rels><?xml version="1.0" encoding="UTF-8" standalone="yes"?>
<Relationships xmlns="http://schemas.openxmlformats.org/package/2006/relationships"><Relationship Id="rId1" Type="http://schemas.openxmlformats.org/officeDocument/2006/relationships/drawing" Target="../drawings/drawing59.xml"/></Relationships>
</file>

<file path=xl/chartsheets/_rels/sheet37.xml.rels><?xml version="1.0" encoding="UTF-8" standalone="yes"?>
<Relationships xmlns="http://schemas.openxmlformats.org/package/2006/relationships"><Relationship Id="rId1" Type="http://schemas.openxmlformats.org/officeDocument/2006/relationships/drawing" Target="../drawings/drawing61.xml"/></Relationships>
</file>

<file path=xl/chartsheets/_rels/sheet38.xml.rels><?xml version="1.0" encoding="UTF-8" standalone="yes"?>
<Relationships xmlns="http://schemas.openxmlformats.org/package/2006/relationships"><Relationship Id="rId1" Type="http://schemas.openxmlformats.org/officeDocument/2006/relationships/drawing" Target="../drawings/drawing62.xml"/></Relationships>
</file>

<file path=xl/chartsheets/_rels/sheet39.xml.rels><?xml version="1.0" encoding="UTF-8" standalone="yes"?>
<Relationships xmlns="http://schemas.openxmlformats.org/package/2006/relationships"><Relationship Id="rId1" Type="http://schemas.openxmlformats.org/officeDocument/2006/relationships/drawing" Target="../drawings/drawing64.xml"/></Relationships>
</file>

<file path=xl/chartsheets/_rels/sheet40.xml.rels><?xml version="1.0" encoding="UTF-8" standalone="yes"?>
<Relationships xmlns="http://schemas.openxmlformats.org/package/2006/relationships"><Relationship Id="rId1" Type="http://schemas.openxmlformats.org/officeDocument/2006/relationships/drawing" Target="../drawings/drawing65.xml"/></Relationships>
</file>

<file path=xl/chartsheets/_rels/sheet41.xml.rels><?xml version="1.0" encoding="UTF-8" standalone="yes"?>
<Relationships xmlns="http://schemas.openxmlformats.org/package/2006/relationships"><Relationship Id="rId1" Type="http://schemas.openxmlformats.org/officeDocument/2006/relationships/drawing" Target="../drawings/drawing67.xml"/></Relationships>
</file>

<file path=xl/chartsheets/_rels/sheet42.xml.rels><?xml version="1.0" encoding="UTF-8" standalone="yes"?>
<Relationships xmlns="http://schemas.openxmlformats.org/package/2006/relationships"><Relationship Id="rId1" Type="http://schemas.openxmlformats.org/officeDocument/2006/relationships/drawing" Target="../drawings/drawing69.xml"/></Relationships>
</file>

<file path=xl/chartsheets/_rels/sheet43.xml.rels><?xml version="1.0" encoding="UTF-8" standalone="yes"?>
<Relationships xmlns="http://schemas.openxmlformats.org/package/2006/relationships"><Relationship Id="rId1" Type="http://schemas.openxmlformats.org/officeDocument/2006/relationships/drawing" Target="../drawings/drawing70.xml"/></Relationships>
</file>

<file path=xl/chartsheets/_rels/sheet44.xml.rels><?xml version="1.0" encoding="UTF-8" standalone="yes"?>
<Relationships xmlns="http://schemas.openxmlformats.org/package/2006/relationships"><Relationship Id="rId1" Type="http://schemas.openxmlformats.org/officeDocument/2006/relationships/drawing" Target="../drawings/drawing72.xml"/></Relationships>
</file>

<file path=xl/chartsheets/_rels/sheet45.xml.rels><?xml version="1.0" encoding="UTF-8" standalone="yes"?>
<Relationships xmlns="http://schemas.openxmlformats.org/package/2006/relationships"><Relationship Id="rId1" Type="http://schemas.openxmlformats.org/officeDocument/2006/relationships/drawing" Target="../drawings/drawing74.xml"/></Relationships>
</file>

<file path=xl/chartsheets/_rels/sheet46.xml.rels><?xml version="1.0" encoding="UTF-8" standalone="yes"?>
<Relationships xmlns="http://schemas.openxmlformats.org/package/2006/relationships"><Relationship Id="rId1" Type="http://schemas.openxmlformats.org/officeDocument/2006/relationships/drawing" Target="../drawings/drawing7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24968D-F7BF-45A4-A09C-A6D1FF48ADA6}">
  <sheetPr codeName="Chart17">
    <tabColor rgb="FF92D050"/>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6C90356-225A-441C-85E8-080366D8E9B7}">
  <sheetPr>
    <tabColor rgb="FF92D050"/>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476F755-23D7-4265-A55D-41C03B5DDD69}">
  <sheetPr>
    <tabColor rgb="FF92D050"/>
  </sheetPr>
  <sheetViews>
    <sheetView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2DBA9B6-91AA-45DF-88AF-CFA4DA5D669A}">
  <sheetPr codeName="Chart19">
    <tabColor rgb="FF92D050"/>
  </sheetPr>
  <sheetViews>
    <sheetView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E902211-3E10-454C-A4C7-BD2E63D235B5}">
  <sheetPr>
    <tabColor rgb="FF92D050"/>
  </sheetPr>
  <sheetViews>
    <sheetView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DAEB4A8-2B54-4F57-A849-2CEEBE486AB7}">
  <sheetPr>
    <tabColor rgb="FF92D050"/>
  </sheetPr>
  <sheetViews>
    <sheetView workbookViewId="0"/>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C7CA9CF-F754-429F-8469-FE9ADA2AED00}">
  <sheetPr>
    <tabColor rgb="FF92D050"/>
  </sheetPr>
  <sheetViews>
    <sheetView workbookViewId="0"/>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82641D-D638-41E7-8B06-99EAD67FABA5}">
  <sheetPr codeName="Chart26">
    <tabColor rgb="FF92D050"/>
  </sheetPr>
  <sheetViews>
    <sheetView workbookViewId="0"/>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9D17835-6132-40D3-820C-387267610DC9}">
  <sheetPr>
    <tabColor rgb="FF92D050"/>
  </sheetPr>
  <sheetViews>
    <sheetView workbookViewId="0"/>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464870A-C559-4423-9CC2-43ABAA72F931}">
  <sheetPr>
    <tabColor rgb="FF92D050"/>
  </sheetPr>
  <sheetViews>
    <sheetView workbookViewId="0"/>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E6AE2C7-A56B-472A-8BA3-32473B72E824}">
  <sheetPr codeName="Chart97">
    <tabColor rgb="FF92D050"/>
  </sheetPr>
  <sheetViews>
    <sheetView workbookViewId="0"/>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7B79612-2210-4A48-B2B7-36853B6361F1}">
  <sheetPr codeName="Chart100">
    <tabColor rgb="FF92D050"/>
  </sheetPr>
  <sheetViews>
    <sheetView workbookViewId="0"/>
  </sheetViews>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6CF62C8-F58E-4083-AE68-2A437E4F3C62}">
  <sheetPr codeName="Chart28">
    <tabColor rgb="FF92D050"/>
  </sheetPr>
  <sheetViews>
    <sheetView workbookViewId="0"/>
  </sheetViews>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25CB102-899E-46B4-8999-338E287A82E3}">
  <sheetPr codeName="Chart6">
    <tabColor rgb="FF92D050"/>
  </sheetPr>
  <sheetViews>
    <sheetView workbookViewId="0"/>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76F8DF3-5B5E-447B-83BE-9F9AE8854F84}">
  <sheetPr codeName="Chart10">
    <tabColor rgb="FF92D050"/>
  </sheetPr>
  <sheetViews>
    <sheetView workbookViewId="0"/>
  </sheetViews>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D8139D4-E2E5-4865-B235-9043BE16B123}">
  <sheetPr codeName="Chart8">
    <tabColor rgb="FF92D050"/>
  </sheetPr>
  <sheetViews>
    <sheetView workbookViewId="0"/>
  </sheetViews>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743326-E52B-4962-A97A-0F960D9C328C}">
  <sheetPr>
    <tabColor rgb="FF92D050"/>
  </sheetPr>
  <sheetViews>
    <sheetView workbookViewId="0"/>
  </sheetViews>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5061DA-C535-4705-A862-58259C76B0D6}">
  <sheetPr codeName="Chart34">
    <tabColor rgb="FF00B0F0"/>
  </sheetPr>
  <sheetViews>
    <sheetView workbookViewId="0"/>
  </sheetViews>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A511E66-0DF0-4F48-8490-EF62393A3B07}">
  <sheetPr codeName="Chart36">
    <tabColor rgb="FF00B0F0"/>
  </sheetPr>
  <sheetViews>
    <sheetView workbookViewId="0"/>
  </sheetViews>
  <pageMargins left="0.7" right="0.7" top="0.75" bottom="0.75" header="0.3" footer="0.3"/>
  <drawing r:id="rId1"/>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4042F48-1384-4D06-9801-FCC36BCA8733}">
  <sheetPr>
    <tabColor rgb="FF00B0F0"/>
  </sheetPr>
  <sheetViews>
    <sheetView workbookViewId="0"/>
  </sheetViews>
  <pageMargins left="0.7" right="0.7" top="0.75" bottom="0.75" header="0.3" footer="0.3"/>
  <drawing r:id="rId1"/>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D73E7D6-71ED-4994-9E04-608DCDA782A5}">
  <sheetPr codeName="Chart40">
    <tabColor rgb="FF00B0F0"/>
  </sheetPr>
  <sheetViews>
    <sheetView workbookViewId="0"/>
  </sheetViews>
  <pageMargins left="0.7" right="0.7" top="0.75" bottom="0.75" header="0.3" footer="0.3"/>
  <drawing r:id="rId1"/>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FA0312F-2539-4713-8A72-E3AF59A82D1F}">
  <sheetPr>
    <tabColor rgb="FF00B0F0"/>
  </sheetPr>
  <sheetViews>
    <sheetView workbookViewId="0"/>
  </sheetViews>
  <pageMargins left="0.7" right="0.7" top="0.75" bottom="0.75" header="0.3" footer="0.3"/>
  <drawing r:id="rId1"/>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72EAA75-B992-4CAC-BC12-3FE9D72A7E37}">
  <sheetPr>
    <tabColor rgb="FF00B0F0"/>
  </sheetPr>
  <sheetViews>
    <sheetView workbookViewId="0"/>
  </sheetViews>
  <pageMargins left="0.7" right="0.7" top="0.75" bottom="0.75" header="0.3" footer="0.3"/>
  <drawing r:id="rId1"/>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450441-6E55-46F4-9972-4A865F57A107}">
  <sheetPr codeName="Chart46">
    <tabColor rgb="FF00B0F0"/>
  </sheetPr>
  <sheetViews>
    <sheetView workbookViewId="0"/>
  </sheetViews>
  <pageMargins left="0.7" right="0.7" top="0.75" bottom="0.75" header="0.3" footer="0.3"/>
  <drawing r:id="rId1"/>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CD7F0DB-85F2-469F-8CBF-AEE523ADF582}">
  <sheetPr codeName="Chart48">
    <tabColor rgb="FF00B0F0"/>
  </sheetPr>
  <sheetViews>
    <sheetView workbookViewId="0"/>
  </sheetViews>
  <pageMargins left="0.7" right="0.7" top="0.75" bottom="0.75" header="0.3" footer="0.3"/>
  <drawing r:id="rId1"/>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DA499C7-7DCE-4F2E-A89F-1CDFFFB55D28}">
  <sheetPr>
    <tabColor rgb="FF00B0F0"/>
  </sheetPr>
  <sheetViews>
    <sheetView workbookViewId="0"/>
  </sheetViews>
  <pageMargins left="0.7" right="0.7" top="0.75" bottom="0.75" header="0.3" footer="0.3"/>
  <drawing r:id="rId1"/>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5F30CC7-2CBD-4154-8C0E-CA6147409B40}">
  <sheetPr>
    <tabColor rgb="FF00B0F0"/>
  </sheetPr>
  <sheetViews>
    <sheetView workbookViewId="0"/>
  </sheetViews>
  <pageMargins left="0.7" right="0.7" top="0.75" bottom="0.75" header="0.3" footer="0.3"/>
  <drawing r:id="rId1"/>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62D2DED-7FA2-423C-9C2E-253198ADBBC1}">
  <sheetPr codeName="Chart54">
    <tabColor rgb="FF00B0F0"/>
  </sheetPr>
  <sheetViews>
    <sheetView workbookViewId="0"/>
  </sheetViews>
  <pageMargins left="0.7" right="0.7" top="0.75" bottom="0.75" header="0.3" footer="0.3"/>
  <drawing r:id="rId1"/>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B219756-4860-456F-A064-82F481328C09}">
  <sheetPr>
    <tabColor rgb="FFFFC000"/>
  </sheetPr>
  <sheetViews>
    <sheetView workbookViewId="0"/>
  </sheetViews>
  <pageMargins left="0.7" right="0.7" top="0.75" bottom="0.75" header="0.3" footer="0.3"/>
  <drawing r:id="rId1"/>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6EE642-1D01-4F48-A3FA-ECF48A6C641B}">
  <sheetPr>
    <tabColor rgb="FFFFC000"/>
  </sheetPr>
  <sheetViews>
    <sheetView workbookViewId="0"/>
  </sheetViews>
  <pageMargins left="0.7" right="0.7" top="0.75" bottom="0.75" header="0.3" footer="0.3"/>
  <drawing r:id="rId1"/>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DF3E03A-67A1-418A-BCB4-80546DDC2A84}">
  <sheetPr>
    <tabColor rgb="FFFFC000"/>
  </sheetPr>
  <sheetViews>
    <sheetView workbookViewId="0"/>
  </sheetViews>
  <pageMargins left="0.7" right="0.7" top="0.75" bottom="0.75" header="0.3" footer="0.3"/>
  <drawing r:id="rId1"/>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7AECC8A-47BC-42F2-883C-82E65C7FDEEC}">
  <sheetPr>
    <tabColor rgb="FFFFC000"/>
  </sheetPr>
  <sheetViews>
    <sheetView workbookViewId="0"/>
  </sheetViews>
  <pageMargins left="0.7" right="0.7" top="0.75" bottom="0.75" header="0.3" footer="0.3"/>
  <drawing r:id="rId1"/>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02006A-EFE4-4E5A-8034-68009439958F}">
  <sheetPr>
    <tabColor rgb="FFFFC000"/>
  </sheetPr>
  <sheetViews>
    <sheetView workbookViewId="0"/>
  </sheetViews>
  <pageMargins left="0.7" right="0.7" top="0.75" bottom="0.75" header="0.3" footer="0.3"/>
  <drawing r:id="rId1"/>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B2A2514-FBEC-4315-B350-7EEED8833C9C}">
  <sheetPr>
    <tabColor rgb="FFFFC000"/>
  </sheetPr>
  <sheetViews>
    <sheetView workbookViewId="0"/>
  </sheetViews>
  <pageMargins left="0.7" right="0.7" top="0.75" bottom="0.75" header="0.3" footer="0.3"/>
  <drawing r:id="rId1"/>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06F495D-7F8A-447A-B4B2-460B5C23DBBA}">
  <sheetPr>
    <tabColor rgb="FFFFC000"/>
  </sheetPr>
  <sheetViews>
    <sheetView workbookViewId="0"/>
  </sheetViews>
  <pageMargins left="0.7" right="0.7" top="0.75" bottom="0.75" header="0.3" footer="0.3"/>
  <drawing r:id="rId1"/>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80AB639-8D91-4384-8958-B98C74BB8DD0}">
  <sheetPr codeName="Chart70">
    <tabColor rgb="FFFFC000"/>
  </sheetPr>
  <sheetViews>
    <sheetView workbookViewId="0"/>
  </sheetViews>
  <pageMargins left="0.7" right="0.7" top="0.75" bottom="0.75" header="0.3" footer="0.3"/>
  <drawing r:id="rId1"/>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6FB99E2-E9AF-48CA-8FD5-1F5D9A4C290D}">
  <sheetPr codeName="Chart72">
    <tabColor rgb="FFFFC000"/>
  </sheetPr>
  <sheetViews>
    <sheetView workbookViewId="0"/>
  </sheetViews>
  <pageMargins left="0.7" right="0.7" top="0.75" bottom="0.75" header="0.3" footer="0.3"/>
  <drawing r:id="rId1"/>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67CF13E-C41B-441E-B24A-A0E509716ADF}">
  <sheetPr>
    <tabColor rgb="FFFFC000"/>
  </sheetPr>
  <sheetViews>
    <sheetView workbookViewId="0"/>
  </sheetViews>
  <pageMargins left="0.7" right="0.7" top="0.75" bottom="0.75" header="0.3" footer="0.3"/>
  <drawing r:id="rId1"/>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254C602-28DF-43BF-8A21-8A53336887AC}">
  <sheetPr>
    <tabColor rgb="FFFFC000"/>
  </sheetPr>
  <sheetViews>
    <sheetView workbookViewId="0"/>
  </sheetViews>
  <pageMargins left="0.7" right="0.7" top="0.75" bottom="0.75" header="0.3" footer="0.3"/>
  <drawing r:id="rId1"/>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1FC83A6-020B-4489-ACE6-D83FF1537C27}">
  <sheetPr codeName="Chart79">
    <tabColor rgb="FFFFC000"/>
  </sheetPr>
  <sheetViews>
    <sheetView workbookViewId="0"/>
  </sheetViews>
  <pageMargins left="0.7" right="0.7" top="0.75" bottom="0.75" header="0.3" footer="0.3"/>
  <drawing r:id="rId1"/>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9B51E79-472C-4B1C-9FF0-F1975FBB34CE}">
  <sheetPr codeName="Chart81">
    <tabColor rgb="FFFFC000"/>
  </sheetPr>
  <sheetViews>
    <sheetView workbookViewId="0"/>
  </sheetViews>
  <pageMargins left="0.7" right="0.7" top="0.75" bottom="0.75" header="0.3" footer="0.3"/>
  <drawing r:id="rId1"/>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20A0F69-EE91-4A68-AE8B-12F357880E90}">
  <sheetPr>
    <tabColor rgb="FFFFC000"/>
  </sheetPr>
  <sheetViews>
    <sheetView workbookViewId="0"/>
  </sheetViews>
  <pageMargins left="0.7" right="0.7" top="0.75" bottom="0.75" header="0.3" footer="0.3"/>
  <drawing r:id="rId1"/>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F156DF8-A501-4356-A8D1-5E7FDB1CE594}">
  <sheetPr>
    <tabColor rgb="FFFFC000"/>
  </sheetPr>
  <sheetViews>
    <sheetView workbookViewId="0"/>
  </sheetViews>
  <pageMargins left="0.7" right="0.7" top="0.75" bottom="0.75" header="0.3" footer="0.3"/>
  <drawing r:id="rId1"/>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44AD348-05A7-407A-8A6B-597505841D53}">
  <sheetPr>
    <tabColor rgb="FFFFC000"/>
  </sheetPr>
  <sheetViews>
    <sheetView workbookViewId="0"/>
  </sheetViews>
  <pageMargins left="0.7" right="0.7" top="0.75" bottom="0.75" header="0.3" footer="0.3"/>
  <drawing r:id="rId1"/>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23AC3D7-86DC-4351-8936-7165D9C5335A}">
  <sheetPr>
    <tabColor rgb="FFFFC000"/>
  </sheetPr>
  <sheetViews>
    <sheetView workbookViewId="0"/>
  </sheetViews>
  <pageMargins left="0.7" right="0.7" top="0.75" bottom="0.75" header="0.3" footer="0.3"/>
  <drawing r:id="rId1"/>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33080A5-AAA7-4CD7-A9DE-4AEB5EC353D8}">
  <sheetPr>
    <tabColor rgb="FFFFC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76.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0</xdr:col>
      <xdr:colOff>1019175</xdr:colOff>
      <xdr:row>12</xdr:row>
      <xdr:rowOff>171450</xdr:rowOff>
    </xdr:to>
    <xdr:pic>
      <xdr:nvPicPr>
        <xdr:cNvPr id="2" name="Picture 1" descr="cc-by">
          <a:extLst>
            <a:ext uri="{FF2B5EF4-FFF2-40B4-BE49-F238E27FC236}">
              <a16:creationId xmlns:a16="http://schemas.microsoft.com/office/drawing/2014/main" id="{6E51A7C8-9212-4A75-8FA7-89F94381D4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06600"/>
          <a:ext cx="1019175" cy="34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86875" cy="6048375"/>
    <xdr:graphicFrame macro="">
      <xdr:nvGraphicFramePr>
        <xdr:cNvPr id="7" name="Chart 1">
          <a:extLst>
            <a:ext uri="{FF2B5EF4-FFF2-40B4-BE49-F238E27FC236}">
              <a16:creationId xmlns:a16="http://schemas.microsoft.com/office/drawing/2014/main" id="{CE49947C-3B7C-4C37-F8F1-9852D5F8BA8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0.91349</cdr:x>
      <cdr:y>0.13355</cdr:y>
    </cdr:from>
    <cdr:to>
      <cdr:x>0.99181</cdr:x>
      <cdr:y>0.1854</cdr:y>
    </cdr:to>
    <cdr:sp macro="" textlink="">
      <cdr:nvSpPr>
        <cdr:cNvPr id="2" name="TextBox 1">
          <a:extLst xmlns:a="http://schemas.openxmlformats.org/drawingml/2006/main">
            <a:ext uri="{FF2B5EF4-FFF2-40B4-BE49-F238E27FC236}">
              <a16:creationId xmlns:a16="http://schemas.microsoft.com/office/drawing/2014/main" id="{731A942F-6170-9167-F91A-1AD7B5D61E03}"/>
            </a:ext>
          </a:extLst>
        </cdr:cNvPr>
        <cdr:cNvSpPr txBox="1"/>
      </cdr:nvSpPr>
      <cdr:spPr>
        <a:xfrm xmlns:a="http://schemas.openxmlformats.org/drawingml/2006/main">
          <a:off x="8496300" y="809625"/>
          <a:ext cx="728382" cy="314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2025</a:t>
          </a:r>
        </a:p>
      </cdr:txBody>
    </cdr:sp>
  </cdr:relSizeAnchor>
  <cdr:relSizeAnchor xmlns:cdr="http://schemas.openxmlformats.org/drawingml/2006/chartDrawing">
    <cdr:from>
      <cdr:x>0.91384</cdr:x>
      <cdr:y>0.24877</cdr:y>
    </cdr:from>
    <cdr:to>
      <cdr:x>0.99215</cdr:x>
      <cdr:y>0.30062</cdr:y>
    </cdr:to>
    <cdr:sp macro="" textlink="">
      <cdr:nvSpPr>
        <cdr:cNvPr id="3" name="TextBox 1">
          <a:extLst xmlns:a="http://schemas.openxmlformats.org/drawingml/2006/main">
            <a:ext uri="{FF2B5EF4-FFF2-40B4-BE49-F238E27FC236}">
              <a16:creationId xmlns:a16="http://schemas.microsoft.com/office/drawing/2014/main" id="{294E595F-F2AA-35CE-8629-E35AE31D64CA}"/>
            </a:ext>
          </a:extLst>
        </cdr:cNvPr>
        <cdr:cNvSpPr txBox="1"/>
      </cdr:nvSpPr>
      <cdr:spPr>
        <a:xfrm xmlns:a="http://schemas.openxmlformats.org/drawingml/2006/main">
          <a:off x="8499475" y="1508125"/>
          <a:ext cx="728382" cy="314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67A854"/>
              </a:solidFill>
              <a:latin typeface="Arial" panose="020B0604020202020204" pitchFamily="34" charset="0"/>
              <a:cs typeface="Arial" panose="020B0604020202020204" pitchFamily="34" charset="0"/>
            </a:rPr>
            <a:t>2021</a:t>
          </a:r>
        </a:p>
      </cdr:txBody>
    </cdr:sp>
  </cdr:relSizeAnchor>
  <cdr:relSizeAnchor xmlns:cdr="http://schemas.openxmlformats.org/drawingml/2006/chartDrawing">
    <cdr:from>
      <cdr:x>0.91179</cdr:x>
      <cdr:y>0.33047</cdr:y>
    </cdr:from>
    <cdr:to>
      <cdr:x>0.9901</cdr:x>
      <cdr:y>0.38232</cdr:y>
    </cdr:to>
    <cdr:sp macro="" textlink="">
      <cdr:nvSpPr>
        <cdr:cNvPr id="4" name="TextBox 1">
          <a:extLst xmlns:a="http://schemas.openxmlformats.org/drawingml/2006/main">
            <a:ext uri="{FF2B5EF4-FFF2-40B4-BE49-F238E27FC236}">
              <a16:creationId xmlns:a16="http://schemas.microsoft.com/office/drawing/2014/main" id="{3AB58FA7-06C3-1520-7F06-FF39FAC8175B}"/>
            </a:ext>
          </a:extLst>
        </cdr:cNvPr>
        <cdr:cNvSpPr txBox="1"/>
      </cdr:nvSpPr>
      <cdr:spPr>
        <a:xfrm xmlns:a="http://schemas.openxmlformats.org/drawingml/2006/main">
          <a:off x="8480425" y="2003425"/>
          <a:ext cx="728382" cy="314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3F403A"/>
              </a:solidFill>
              <a:latin typeface="Arial" panose="020B0604020202020204" pitchFamily="34" charset="0"/>
              <a:cs typeface="Arial" panose="020B0604020202020204" pitchFamily="34" charset="0"/>
            </a:rPr>
            <a:t>2016</a:t>
          </a:r>
        </a:p>
      </cdr:txBody>
    </cdr:sp>
  </cdr:relSizeAnchor>
  <cdr:relSizeAnchor xmlns:cdr="http://schemas.openxmlformats.org/drawingml/2006/chartDrawing">
    <cdr:from>
      <cdr:x>0.91179</cdr:x>
      <cdr:y>0.37289</cdr:y>
    </cdr:from>
    <cdr:to>
      <cdr:x>0.9901</cdr:x>
      <cdr:y>0.42474</cdr:y>
    </cdr:to>
    <cdr:sp macro="" textlink="">
      <cdr:nvSpPr>
        <cdr:cNvPr id="5" name="TextBox 1">
          <a:extLst xmlns:a="http://schemas.openxmlformats.org/drawingml/2006/main">
            <a:ext uri="{FF2B5EF4-FFF2-40B4-BE49-F238E27FC236}">
              <a16:creationId xmlns:a16="http://schemas.microsoft.com/office/drawing/2014/main" id="{3AB58FA7-06C3-1520-7F06-FF39FAC8175B}"/>
            </a:ext>
          </a:extLst>
        </cdr:cNvPr>
        <cdr:cNvSpPr txBox="1"/>
      </cdr:nvSpPr>
      <cdr:spPr>
        <a:xfrm xmlns:a="http://schemas.openxmlformats.org/drawingml/2006/main">
          <a:off x="8480425" y="2260600"/>
          <a:ext cx="728382" cy="314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A9A7A5"/>
              </a:solidFill>
              <a:latin typeface="Arial" panose="020B0604020202020204" pitchFamily="34" charset="0"/>
              <a:cs typeface="Arial" panose="020B0604020202020204" pitchFamily="34" charset="0"/>
            </a:rPr>
            <a:t>2013</a:t>
          </a:r>
        </a:p>
      </cdr:txBody>
    </cdr:sp>
  </cdr:relSizeAnchor>
  <cdr:relSizeAnchor xmlns:cdr="http://schemas.openxmlformats.org/drawingml/2006/chartDrawing">
    <cdr:from>
      <cdr:x>0.91179</cdr:x>
      <cdr:y>0.43102</cdr:y>
    </cdr:from>
    <cdr:to>
      <cdr:x>0.9901</cdr:x>
      <cdr:y>0.48287</cdr:y>
    </cdr:to>
    <cdr:sp macro="" textlink="">
      <cdr:nvSpPr>
        <cdr:cNvPr id="6" name="TextBox 1">
          <a:extLst xmlns:a="http://schemas.openxmlformats.org/drawingml/2006/main">
            <a:ext uri="{FF2B5EF4-FFF2-40B4-BE49-F238E27FC236}">
              <a16:creationId xmlns:a16="http://schemas.microsoft.com/office/drawing/2014/main" id="{3AB58FA7-06C3-1520-7F06-FF39FAC8175B}"/>
            </a:ext>
          </a:extLst>
        </cdr:cNvPr>
        <cdr:cNvSpPr txBox="1"/>
      </cdr:nvSpPr>
      <cdr:spPr>
        <a:xfrm xmlns:a="http://schemas.openxmlformats.org/drawingml/2006/main">
          <a:off x="8480425" y="2613025"/>
          <a:ext cx="728382" cy="3143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8BCE2"/>
              </a:solidFill>
              <a:latin typeface="Arial" panose="020B0604020202020204" pitchFamily="34" charset="0"/>
              <a:cs typeface="Arial" panose="020B0604020202020204" pitchFamily="34" charset="0"/>
            </a:rPr>
            <a:t>2009</a:t>
          </a:r>
        </a:p>
      </cdr:txBody>
    </cdr:sp>
  </cdr:relSizeAnchor>
  <cdr:relSizeAnchor xmlns:cdr="http://schemas.openxmlformats.org/drawingml/2006/chartDrawing">
    <cdr:from>
      <cdr:x>0.91075</cdr:x>
      <cdr:y>0.52424</cdr:y>
    </cdr:from>
    <cdr:to>
      <cdr:x>0.98906</cdr:x>
      <cdr:y>0.57609</cdr:y>
    </cdr:to>
    <cdr:sp macro="" textlink="">
      <cdr:nvSpPr>
        <cdr:cNvPr id="7" name="TextBox 1">
          <a:extLst xmlns:a="http://schemas.openxmlformats.org/drawingml/2006/main">
            <a:ext uri="{FF2B5EF4-FFF2-40B4-BE49-F238E27FC236}">
              <a16:creationId xmlns:a16="http://schemas.microsoft.com/office/drawing/2014/main" id="{3AB58FA7-06C3-1520-7F06-FF39FAC8175B}"/>
            </a:ext>
          </a:extLst>
        </cdr:cNvPr>
        <cdr:cNvSpPr txBox="1"/>
      </cdr:nvSpPr>
      <cdr:spPr>
        <a:xfrm xmlns:a="http://schemas.openxmlformats.org/drawingml/2006/main">
          <a:off x="8455167" y="3169133"/>
          <a:ext cx="727007" cy="3134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2006</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286875" cy="6048375"/>
    <xdr:graphicFrame macro="">
      <xdr:nvGraphicFramePr>
        <xdr:cNvPr id="12" name="Chart 1">
          <a:extLst>
            <a:ext uri="{FF2B5EF4-FFF2-40B4-BE49-F238E27FC236}">
              <a16:creationId xmlns:a16="http://schemas.microsoft.com/office/drawing/2014/main" id="{4A9CF635-3DDF-F72F-F47A-F86300CD79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0.00086</cdr:y>
    </cdr:from>
    <cdr:to>
      <cdr:x>0.15487</cdr:x>
      <cdr:y>0.05001</cdr:y>
    </cdr:to>
    <cdr:sp macro="" textlink="">
      <cdr:nvSpPr>
        <cdr:cNvPr id="2" name="TextBox 1">
          <a:extLst xmlns:a="http://schemas.openxmlformats.org/drawingml/2006/main">
            <a:ext uri="{FF2B5EF4-FFF2-40B4-BE49-F238E27FC236}">
              <a16:creationId xmlns:a16="http://schemas.microsoft.com/office/drawing/2014/main" id="{8987AB3A-69CA-07A8-BF9A-363F3A46B827}"/>
            </a:ext>
          </a:extLst>
        </cdr:cNvPr>
        <cdr:cNvSpPr txBox="1"/>
      </cdr:nvSpPr>
      <cdr:spPr>
        <a:xfrm xmlns:a="http://schemas.openxmlformats.org/drawingml/2006/main">
          <a:off x="0" y="5202"/>
          <a:ext cx="1438275" cy="297277"/>
        </a:xfrm>
        <a:prstGeom xmlns:a="http://schemas.openxmlformats.org/drawingml/2006/main" prst="rect">
          <a:avLst/>
        </a:prstGeom>
      </cdr:spPr>
      <cdr:txBody>
        <a:bodyPr xmlns:a="http://schemas.openxmlformats.org/drawingml/2006/main" vertOverflow="clip" vert="horz" rtlCol="0" anchor="t" anchorCtr="1"/>
        <a:lstStyle xmlns:a="http://schemas.openxmlformats.org/drawingml/2006/main"/>
        <a:p xmlns:a="http://schemas.openxmlformats.org/drawingml/2006/main">
          <a:r>
            <a:rPr lang="en-NZ" sz="1800" b="1" kern="1200">
              <a:solidFill>
                <a:srgbClr val="000000"/>
              </a:solidFill>
              <a:latin typeface="Arial" panose="020B0604020202020204" pitchFamily="34" charset="0"/>
            </a:rPr>
            <a:t>Thousands</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280071" cy="6041571"/>
    <xdr:graphicFrame macro="">
      <xdr:nvGraphicFramePr>
        <xdr:cNvPr id="13" name="Chart 1">
          <a:extLst>
            <a:ext uri="{FF2B5EF4-FFF2-40B4-BE49-F238E27FC236}">
              <a16:creationId xmlns:a16="http://schemas.microsoft.com/office/drawing/2014/main" id="{83F4C21A-EC35-9C04-A327-41A9A60CD20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300882" cy="6062382"/>
    <xdr:graphicFrame macro="">
      <xdr:nvGraphicFramePr>
        <xdr:cNvPr id="10" name="Chart 1">
          <a:extLst>
            <a:ext uri="{FF2B5EF4-FFF2-40B4-BE49-F238E27FC236}">
              <a16:creationId xmlns:a16="http://schemas.microsoft.com/office/drawing/2014/main" id="{3C068B69-025E-4267-4D0E-54F11816EE2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1.07776E-7</cdr:x>
      <cdr:y>0</cdr:y>
    </cdr:from>
    <cdr:to>
      <cdr:x>0.33494</cdr:x>
      <cdr:y>0.06304</cdr:y>
    </cdr:to>
    <cdr:sp macro="" textlink="">
      <cdr:nvSpPr>
        <cdr:cNvPr id="2" name="TextBox 1">
          <a:extLst xmlns:a="http://schemas.openxmlformats.org/drawingml/2006/main">
            <a:ext uri="{FF2B5EF4-FFF2-40B4-BE49-F238E27FC236}">
              <a16:creationId xmlns:a16="http://schemas.microsoft.com/office/drawing/2014/main" id="{3B8E805D-F55D-E5BE-5970-EBC58031D061}"/>
            </a:ext>
          </a:extLst>
        </cdr:cNvPr>
        <cdr:cNvSpPr txBox="1"/>
      </cdr:nvSpPr>
      <cdr:spPr>
        <a:xfrm xmlns:a="http://schemas.openxmlformats.org/drawingml/2006/main">
          <a:off x="1" y="0"/>
          <a:ext cx="3107764"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NZ" sz="1800" b="1" i="0" baseline="0">
              <a:effectLst/>
              <a:latin typeface="Arial" panose="020B0604020202020204" pitchFamily="34" charset="0"/>
              <a:ea typeface="+mn-ea"/>
              <a:cs typeface="Arial" panose="020B0604020202020204" pitchFamily="34" charset="0"/>
            </a:rPr>
            <a:t>% of population age group</a:t>
          </a:r>
          <a:endParaRPr lang="en-NZ" sz="1800">
            <a:effectLst/>
            <a:latin typeface="Arial" panose="020B0604020202020204" pitchFamily="34" charset="0"/>
            <a:cs typeface="Arial" panose="020B0604020202020204" pitchFamily="34" charset="0"/>
          </a:endParaRPr>
        </a:p>
        <a:p xmlns:a="http://schemas.openxmlformats.org/drawingml/2006/main">
          <a:endParaRPr lang="en-NZ" sz="1800" kern="1200">
            <a:latin typeface="Arial" panose="020B0604020202020204" pitchFamily="34" charset="0"/>
            <a:cs typeface="Arial" panose="020B060402020202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9286875" cy="6048375"/>
    <xdr:graphicFrame macro="">
      <xdr:nvGraphicFramePr>
        <xdr:cNvPr id="11" name="Chart 1">
          <a:extLst>
            <a:ext uri="{FF2B5EF4-FFF2-40B4-BE49-F238E27FC236}">
              <a16:creationId xmlns:a16="http://schemas.microsoft.com/office/drawing/2014/main" id="{06156940-AFA1-C572-CC94-746FC46EED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0.0021</cdr:y>
    </cdr:from>
    <cdr:to>
      <cdr:x>0.03633</cdr:x>
      <cdr:y>0.0537</cdr:y>
    </cdr:to>
    <cdr:sp macro="" textlink="">
      <cdr:nvSpPr>
        <cdr:cNvPr id="2" name="TextBox 1">
          <a:extLst xmlns:a="http://schemas.openxmlformats.org/drawingml/2006/main">
            <a:ext uri="{FF2B5EF4-FFF2-40B4-BE49-F238E27FC236}">
              <a16:creationId xmlns:a16="http://schemas.microsoft.com/office/drawing/2014/main" id="{68348796-BA71-4AD2-FA6A-C10478626D75}"/>
            </a:ext>
          </a:extLst>
        </cdr:cNvPr>
        <cdr:cNvSpPr txBox="1"/>
      </cdr:nvSpPr>
      <cdr:spPr>
        <a:xfrm xmlns:a="http://schemas.openxmlformats.org/drawingml/2006/main">
          <a:off x="0" y="12700"/>
          <a:ext cx="337277" cy="311932"/>
        </a:xfrm>
        <a:prstGeom xmlns:a="http://schemas.openxmlformats.org/drawingml/2006/main" prst="rect">
          <a:avLst/>
        </a:prstGeom>
      </cdr:spPr>
      <cdr:txBody>
        <a:bodyPr xmlns:a="http://schemas.openxmlformats.org/drawingml/2006/main" vertOverflow="clip" vert="horz" rtlCol="0" anchor="t" anchorCtr="1"/>
        <a:lstStyle xmlns:a="http://schemas.openxmlformats.org/drawingml/2006/main"/>
        <a:p xmlns:a="http://schemas.openxmlformats.org/drawingml/2006/main">
          <a:r>
            <a:rPr lang="en-NZ" sz="1800" b="1" kern="1200">
              <a:solidFill>
                <a:srgbClr val="000000"/>
              </a:solidFill>
              <a:latin typeface="Arial" panose="020B0604020202020204" pitchFamily="34" charset="0"/>
            </a:rPr>
            <a:t>%</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9300882" cy="6062382"/>
    <xdr:graphicFrame macro="">
      <xdr:nvGraphicFramePr>
        <xdr:cNvPr id="8" name="Chart 1">
          <a:extLst>
            <a:ext uri="{FF2B5EF4-FFF2-40B4-BE49-F238E27FC236}">
              <a16:creationId xmlns:a16="http://schemas.microsoft.com/office/drawing/2014/main" id="{C0EC82BB-912F-D4A5-7DA3-CC75D042025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0.00797</cdr:y>
    </cdr:from>
    <cdr:to>
      <cdr:x>0.03462</cdr:x>
      <cdr:y>0.06586</cdr:y>
    </cdr:to>
    <cdr:sp macro="" textlink="">
      <cdr:nvSpPr>
        <cdr:cNvPr id="2" name="TextBox 1">
          <a:extLst xmlns:a="http://schemas.openxmlformats.org/drawingml/2006/main">
            <a:ext uri="{FF2B5EF4-FFF2-40B4-BE49-F238E27FC236}">
              <a16:creationId xmlns:a16="http://schemas.microsoft.com/office/drawing/2014/main" id="{2317458D-7245-2679-5A00-776D4712B3FE}"/>
            </a:ext>
          </a:extLst>
        </cdr:cNvPr>
        <cdr:cNvSpPr txBox="1"/>
      </cdr:nvSpPr>
      <cdr:spPr>
        <a:xfrm xmlns:a="http://schemas.openxmlformats.org/drawingml/2006/main">
          <a:off x="0" y="48168"/>
          <a:ext cx="321235" cy="349870"/>
        </a:xfrm>
        <a:prstGeom xmlns:a="http://schemas.openxmlformats.org/drawingml/2006/main" prst="rect">
          <a:avLst/>
        </a:prstGeom>
      </cdr:spPr>
      <cdr:txBody>
        <a:bodyPr xmlns:a="http://schemas.openxmlformats.org/drawingml/2006/main" vertOverflow="clip" vert="horz" rtlCol="0" anchor="t" anchorCtr="1"/>
        <a:lstStyle xmlns:a="http://schemas.openxmlformats.org/drawingml/2006/main"/>
        <a:p xmlns:a="http://schemas.openxmlformats.org/drawingml/2006/main">
          <a:r>
            <a:rPr lang="en-NZ" sz="1800" b="1" kern="1200">
              <a:solidFill>
                <a:srgbClr val="000000"/>
              </a:solidFill>
              <a:latin typeface="Arial" panose="020B0604020202020204" pitchFamily="34" charset="0"/>
            </a:rPr>
            <a:t>%</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47B935FF-5428-0C3C-07BF-778A8A6FE55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0.00548</cdr:x>
      <cdr:y>0.0084</cdr:y>
    </cdr:from>
    <cdr:to>
      <cdr:x>0.47997</cdr:x>
      <cdr:y>0.07293</cdr:y>
    </cdr:to>
    <cdr:sp macro="" textlink="">
      <cdr:nvSpPr>
        <cdr:cNvPr id="2" name="TextBox 1">
          <a:extLst xmlns:a="http://schemas.openxmlformats.org/drawingml/2006/main">
            <a:ext uri="{FF2B5EF4-FFF2-40B4-BE49-F238E27FC236}">
              <a16:creationId xmlns:a16="http://schemas.microsoft.com/office/drawing/2014/main" id="{629CD8D0-3B90-AD52-609F-3AEDFF1F837B}"/>
            </a:ext>
          </a:extLst>
        </cdr:cNvPr>
        <cdr:cNvSpPr txBox="1"/>
      </cdr:nvSpPr>
      <cdr:spPr>
        <a:xfrm xmlns:a="http://schemas.openxmlformats.org/drawingml/2006/main">
          <a:off x="50800" y="50800"/>
          <a:ext cx="4400517" cy="39010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NZ" sz="1800" b="1" i="0" baseline="0">
              <a:solidFill>
                <a:sysClr val="windowText" lastClr="000000"/>
              </a:solidFill>
              <a:effectLst/>
              <a:latin typeface="Arial" panose="020B0604020202020204" pitchFamily="34" charset="0"/>
              <a:ea typeface="+mn-ea"/>
              <a:cs typeface="+mn-cs"/>
            </a:rPr>
            <a:t>% point contribution</a:t>
          </a:r>
          <a:endParaRPr lang="en-NZ" sz="1800" b="1" i="0">
            <a:solidFill>
              <a:sysClr val="windowText" lastClr="000000"/>
            </a:solidFill>
            <a:effectLst/>
            <a:latin typeface="Arial" panose="020B0604020202020204" pitchFamily="34" charset="0"/>
          </a:endParaRPr>
        </a:p>
        <a:p xmlns:a="http://schemas.openxmlformats.org/drawingml/2006/main">
          <a:endParaRPr lang="en-NZ" sz="1800" b="1" i="0" kern="1200">
            <a:solidFill>
              <a:sysClr val="windowText" lastClr="000000"/>
            </a:solidFill>
            <a:latin typeface="Arial" panose="020B0604020202020204" pitchFamily="34" charset="0"/>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9286875" cy="6048375"/>
    <xdr:graphicFrame macro="">
      <xdr:nvGraphicFramePr>
        <xdr:cNvPr id="9" name="Chart 1">
          <a:extLst>
            <a:ext uri="{FF2B5EF4-FFF2-40B4-BE49-F238E27FC236}">
              <a16:creationId xmlns:a16="http://schemas.microsoft.com/office/drawing/2014/main" id="{0FE47220-6133-A18C-746F-FC29896B28A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0.92134</cdr:x>
      <cdr:y>0.36725</cdr:y>
    </cdr:from>
    <cdr:to>
      <cdr:x>1</cdr:x>
      <cdr:y>0.41547</cdr:y>
    </cdr:to>
    <cdr:sp macro="" textlink="">
      <cdr:nvSpPr>
        <cdr:cNvPr id="2" name="TextBox 1">
          <a:extLst xmlns:a="http://schemas.openxmlformats.org/drawingml/2006/main">
            <a:ext uri="{FF2B5EF4-FFF2-40B4-BE49-F238E27FC236}">
              <a16:creationId xmlns:a16="http://schemas.microsoft.com/office/drawing/2014/main" id="{2C154C6A-5567-7EF5-2AFD-4899EE1DCF24}"/>
            </a:ext>
          </a:extLst>
        </cdr:cNvPr>
        <cdr:cNvSpPr txBox="1"/>
      </cdr:nvSpPr>
      <cdr:spPr>
        <a:xfrm xmlns:a="http://schemas.openxmlformats.org/drawingml/2006/main">
          <a:off x="8550088" y="2218764"/>
          <a:ext cx="729983" cy="2913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2025</a:t>
          </a:r>
        </a:p>
      </cdr:txBody>
    </cdr:sp>
  </cdr:relSizeAnchor>
  <cdr:relSizeAnchor xmlns:cdr="http://schemas.openxmlformats.org/drawingml/2006/chartDrawing">
    <cdr:from>
      <cdr:x>0.92134</cdr:x>
      <cdr:y>0.17349</cdr:y>
    </cdr:from>
    <cdr:to>
      <cdr:x>1</cdr:x>
      <cdr:y>0.22171</cdr:y>
    </cdr:to>
    <cdr:sp macro="" textlink="">
      <cdr:nvSpPr>
        <cdr:cNvPr id="3" name="TextBox 1">
          <a:extLst xmlns:a="http://schemas.openxmlformats.org/drawingml/2006/main">
            <a:ext uri="{FF2B5EF4-FFF2-40B4-BE49-F238E27FC236}">
              <a16:creationId xmlns:a16="http://schemas.microsoft.com/office/drawing/2014/main" id="{A3BF5DD9-A9CB-1E2A-F555-035CC50D0ADB}"/>
            </a:ext>
          </a:extLst>
        </cdr:cNvPr>
        <cdr:cNvSpPr txBox="1"/>
      </cdr:nvSpPr>
      <cdr:spPr>
        <a:xfrm xmlns:a="http://schemas.openxmlformats.org/drawingml/2006/main">
          <a:off x="8550088" y="1048124"/>
          <a:ext cx="729983" cy="29135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8BCE2"/>
              </a:solidFill>
              <a:latin typeface="Arial" panose="020B0604020202020204" pitchFamily="34" charset="0"/>
              <a:cs typeface="Arial" panose="020B0604020202020204" pitchFamily="34" charset="0"/>
            </a:rPr>
            <a:t>2009</a:t>
          </a:r>
        </a:p>
      </cdr:txBody>
    </cdr:sp>
  </cdr:relSizeAnchor>
  <cdr:relSizeAnchor xmlns:cdr="http://schemas.openxmlformats.org/drawingml/2006/chartDrawing">
    <cdr:from>
      <cdr:x>0.92134</cdr:x>
      <cdr:y>0.333</cdr:y>
    </cdr:from>
    <cdr:to>
      <cdr:x>1</cdr:x>
      <cdr:y>0.38122</cdr:y>
    </cdr:to>
    <cdr:sp macro="" textlink="">
      <cdr:nvSpPr>
        <cdr:cNvPr id="4" name="TextBox 1">
          <a:extLst xmlns:a="http://schemas.openxmlformats.org/drawingml/2006/main">
            <a:ext uri="{FF2B5EF4-FFF2-40B4-BE49-F238E27FC236}">
              <a16:creationId xmlns:a16="http://schemas.microsoft.com/office/drawing/2014/main" id="{A3BF5DD9-A9CB-1E2A-F555-035CC50D0ADB}"/>
            </a:ext>
          </a:extLst>
        </cdr:cNvPr>
        <cdr:cNvSpPr txBox="1"/>
      </cdr:nvSpPr>
      <cdr:spPr>
        <a:xfrm xmlns:a="http://schemas.openxmlformats.org/drawingml/2006/main">
          <a:off x="8550088" y="2011830"/>
          <a:ext cx="729983" cy="29135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67A854"/>
              </a:solidFill>
              <a:latin typeface="Arial" panose="020B0604020202020204" pitchFamily="34" charset="0"/>
              <a:cs typeface="Arial" panose="020B0604020202020204" pitchFamily="34" charset="0"/>
            </a:rPr>
            <a:t>2021</a:t>
          </a:r>
        </a:p>
      </cdr:txBody>
    </cdr:sp>
  </cdr:relSizeAnchor>
  <cdr:relSizeAnchor xmlns:cdr="http://schemas.openxmlformats.org/drawingml/2006/chartDrawing">
    <cdr:from>
      <cdr:x>0.92134</cdr:x>
      <cdr:y>0.49993</cdr:y>
    </cdr:from>
    <cdr:to>
      <cdr:x>1</cdr:x>
      <cdr:y>0.54815</cdr:y>
    </cdr:to>
    <cdr:sp macro="" textlink="">
      <cdr:nvSpPr>
        <cdr:cNvPr id="5" name="TextBox 1">
          <a:extLst xmlns:a="http://schemas.openxmlformats.org/drawingml/2006/main">
            <a:ext uri="{FF2B5EF4-FFF2-40B4-BE49-F238E27FC236}">
              <a16:creationId xmlns:a16="http://schemas.microsoft.com/office/drawing/2014/main" id="{A3BF5DD9-A9CB-1E2A-F555-035CC50D0ADB}"/>
            </a:ext>
          </a:extLst>
        </cdr:cNvPr>
        <cdr:cNvSpPr txBox="1"/>
      </cdr:nvSpPr>
      <cdr:spPr>
        <a:xfrm xmlns:a="http://schemas.openxmlformats.org/drawingml/2006/main">
          <a:off x="8550088" y="3020359"/>
          <a:ext cx="729983" cy="29135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A9A7A5"/>
              </a:solidFill>
              <a:latin typeface="Arial" panose="020B0604020202020204" pitchFamily="34" charset="0"/>
              <a:cs typeface="Arial" panose="020B0604020202020204" pitchFamily="34" charset="0"/>
            </a:rPr>
            <a:t>2013</a:t>
          </a:r>
        </a:p>
      </cdr:txBody>
    </cdr:sp>
  </cdr:relSizeAnchor>
  <cdr:relSizeAnchor xmlns:cdr="http://schemas.openxmlformats.org/drawingml/2006/chartDrawing">
    <cdr:from>
      <cdr:x>0.92134</cdr:x>
      <cdr:y>0.59698</cdr:y>
    </cdr:from>
    <cdr:to>
      <cdr:x>1</cdr:x>
      <cdr:y>0.6452</cdr:y>
    </cdr:to>
    <cdr:sp macro="" textlink="">
      <cdr:nvSpPr>
        <cdr:cNvPr id="6" name="TextBox 1">
          <a:extLst xmlns:a="http://schemas.openxmlformats.org/drawingml/2006/main">
            <a:ext uri="{FF2B5EF4-FFF2-40B4-BE49-F238E27FC236}">
              <a16:creationId xmlns:a16="http://schemas.microsoft.com/office/drawing/2014/main" id="{A3BF5DD9-A9CB-1E2A-F555-035CC50D0ADB}"/>
            </a:ext>
          </a:extLst>
        </cdr:cNvPr>
        <cdr:cNvSpPr txBox="1"/>
      </cdr:nvSpPr>
      <cdr:spPr>
        <a:xfrm xmlns:a="http://schemas.openxmlformats.org/drawingml/2006/main">
          <a:off x="8548626" y="3607992"/>
          <a:ext cx="729845" cy="2914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2006</a:t>
          </a:r>
        </a:p>
      </cdr:txBody>
    </cdr:sp>
  </cdr:relSizeAnchor>
  <cdr:relSizeAnchor xmlns:cdr="http://schemas.openxmlformats.org/drawingml/2006/chartDrawing">
    <cdr:from>
      <cdr:x>0.92134</cdr:x>
      <cdr:y>0.56114</cdr:y>
    </cdr:from>
    <cdr:to>
      <cdr:x>1</cdr:x>
      <cdr:y>0.60937</cdr:y>
    </cdr:to>
    <cdr:sp macro="" textlink="">
      <cdr:nvSpPr>
        <cdr:cNvPr id="7" name="TextBox 1">
          <a:extLst xmlns:a="http://schemas.openxmlformats.org/drawingml/2006/main">
            <a:ext uri="{FF2B5EF4-FFF2-40B4-BE49-F238E27FC236}">
              <a16:creationId xmlns:a16="http://schemas.microsoft.com/office/drawing/2014/main" id="{DE97EBB6-C80A-F95B-ED62-B084F8633DD3}"/>
            </a:ext>
          </a:extLst>
        </cdr:cNvPr>
        <cdr:cNvSpPr txBox="1"/>
      </cdr:nvSpPr>
      <cdr:spPr>
        <a:xfrm xmlns:a="http://schemas.openxmlformats.org/drawingml/2006/main">
          <a:off x="8548626" y="3391378"/>
          <a:ext cx="729845" cy="2914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3F403A"/>
              </a:solidFill>
              <a:latin typeface="Arial" panose="020B0604020202020204" pitchFamily="34" charset="0"/>
              <a:cs typeface="Arial" panose="020B0604020202020204" pitchFamily="34" charset="0"/>
            </a:rPr>
            <a:t>2016</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9300882" cy="6062382"/>
    <xdr:graphicFrame macro="">
      <xdr:nvGraphicFramePr>
        <xdr:cNvPr id="2" name="Chart 1">
          <a:extLst>
            <a:ext uri="{FF2B5EF4-FFF2-40B4-BE49-F238E27FC236}">
              <a16:creationId xmlns:a16="http://schemas.microsoft.com/office/drawing/2014/main" id="{74FEC22A-3F4E-9DAE-5BAE-5845497EFB8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0.85427</cdr:x>
      <cdr:y>0.39184</cdr:y>
    </cdr:from>
    <cdr:to>
      <cdr:x>1</cdr:x>
      <cdr:y>0.44623</cdr:y>
    </cdr:to>
    <cdr:sp macro="" textlink="">
      <cdr:nvSpPr>
        <cdr:cNvPr id="2" name="TextBox 1">
          <a:extLst xmlns:a="http://schemas.openxmlformats.org/drawingml/2006/main">
            <a:ext uri="{FF2B5EF4-FFF2-40B4-BE49-F238E27FC236}">
              <a16:creationId xmlns:a16="http://schemas.microsoft.com/office/drawing/2014/main" id="{7166A081-162C-BFA0-CDE2-62465E744FF5}"/>
            </a:ext>
          </a:extLst>
        </cdr:cNvPr>
        <cdr:cNvSpPr txBox="1"/>
      </cdr:nvSpPr>
      <cdr:spPr>
        <a:xfrm xmlns:a="http://schemas.openxmlformats.org/drawingml/2006/main">
          <a:off x="7926294" y="2368178"/>
          <a:ext cx="1352177" cy="3287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1800" kern="1200">
              <a:solidFill>
                <a:srgbClr val="67A854"/>
              </a:solidFill>
              <a:latin typeface="Arial" panose="020B0604020202020204" pitchFamily="34" charset="0"/>
              <a:cs typeface="Arial" panose="020B0604020202020204" pitchFamily="34" charset="0"/>
            </a:rPr>
            <a:t>2025 </a:t>
          </a:r>
        </a:p>
      </cdr:txBody>
    </cdr:sp>
  </cdr:relSizeAnchor>
  <cdr:relSizeAnchor xmlns:cdr="http://schemas.openxmlformats.org/drawingml/2006/chartDrawing">
    <cdr:from>
      <cdr:x>0.85427</cdr:x>
      <cdr:y>0.42373</cdr:y>
    </cdr:from>
    <cdr:to>
      <cdr:x>1</cdr:x>
      <cdr:y>0.47812</cdr:y>
    </cdr:to>
    <cdr:sp macro="" textlink="">
      <cdr:nvSpPr>
        <cdr:cNvPr id="3" name="TextBox 1">
          <a:extLst xmlns:a="http://schemas.openxmlformats.org/drawingml/2006/main">
            <a:ext uri="{FF2B5EF4-FFF2-40B4-BE49-F238E27FC236}">
              <a16:creationId xmlns:a16="http://schemas.microsoft.com/office/drawing/2014/main" id="{A87C709E-4429-A0B3-99A5-70C3AFB82AE4}"/>
            </a:ext>
          </a:extLst>
        </cdr:cNvPr>
        <cdr:cNvSpPr txBox="1"/>
      </cdr:nvSpPr>
      <cdr:spPr>
        <a:xfrm xmlns:a="http://schemas.openxmlformats.org/drawingml/2006/main">
          <a:off x="7926294" y="2560917"/>
          <a:ext cx="1352177" cy="3287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3F403A"/>
              </a:solidFill>
              <a:latin typeface="Arial" panose="020B0604020202020204" pitchFamily="34" charset="0"/>
              <a:cs typeface="Arial" panose="020B0604020202020204" pitchFamily="34" charset="0"/>
            </a:rPr>
            <a:t>2021 </a:t>
          </a:r>
        </a:p>
      </cdr:txBody>
    </cdr:sp>
  </cdr:relSizeAnchor>
  <cdr:relSizeAnchor xmlns:cdr="http://schemas.openxmlformats.org/drawingml/2006/chartDrawing">
    <cdr:from>
      <cdr:x>0.85346</cdr:x>
      <cdr:y>0.36069</cdr:y>
    </cdr:from>
    <cdr:to>
      <cdr:x>0.99919</cdr:x>
      <cdr:y>0.41508</cdr:y>
    </cdr:to>
    <cdr:sp macro="" textlink="">
      <cdr:nvSpPr>
        <cdr:cNvPr id="4" name="TextBox 1">
          <a:extLst xmlns:a="http://schemas.openxmlformats.org/drawingml/2006/main">
            <a:ext uri="{FF2B5EF4-FFF2-40B4-BE49-F238E27FC236}">
              <a16:creationId xmlns:a16="http://schemas.microsoft.com/office/drawing/2014/main" id="{A87C709E-4429-A0B3-99A5-70C3AFB82AE4}"/>
            </a:ext>
          </a:extLst>
        </cdr:cNvPr>
        <cdr:cNvSpPr txBox="1"/>
      </cdr:nvSpPr>
      <cdr:spPr>
        <a:xfrm xmlns:a="http://schemas.openxmlformats.org/drawingml/2006/main">
          <a:off x="7918821" y="2179918"/>
          <a:ext cx="1352177" cy="3287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A9A7A5"/>
              </a:solidFill>
              <a:latin typeface="Arial" panose="020B0604020202020204" pitchFamily="34" charset="0"/>
              <a:cs typeface="Arial" panose="020B0604020202020204" pitchFamily="34" charset="0"/>
            </a:rPr>
            <a:t>2016 </a:t>
          </a:r>
        </a:p>
      </cdr:txBody>
    </cdr:sp>
  </cdr:relSizeAnchor>
  <cdr:relSizeAnchor xmlns:cdr="http://schemas.openxmlformats.org/drawingml/2006/chartDrawing">
    <cdr:from>
      <cdr:x>0.85266</cdr:x>
      <cdr:y>0.32732</cdr:y>
    </cdr:from>
    <cdr:to>
      <cdr:x>0.99839</cdr:x>
      <cdr:y>0.38171</cdr:y>
    </cdr:to>
    <cdr:sp macro="" textlink="">
      <cdr:nvSpPr>
        <cdr:cNvPr id="5" name="TextBox 1">
          <a:extLst xmlns:a="http://schemas.openxmlformats.org/drawingml/2006/main">
            <a:ext uri="{FF2B5EF4-FFF2-40B4-BE49-F238E27FC236}">
              <a16:creationId xmlns:a16="http://schemas.microsoft.com/office/drawing/2014/main" id="{A87C709E-4429-A0B3-99A5-70C3AFB82AE4}"/>
            </a:ext>
          </a:extLst>
        </cdr:cNvPr>
        <cdr:cNvSpPr txBox="1"/>
      </cdr:nvSpPr>
      <cdr:spPr>
        <a:xfrm xmlns:a="http://schemas.openxmlformats.org/drawingml/2006/main">
          <a:off x="7911353" y="1978212"/>
          <a:ext cx="1352177" cy="3287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8BCE2"/>
              </a:solidFill>
              <a:latin typeface="Arial" panose="020B0604020202020204" pitchFamily="34" charset="0"/>
              <a:cs typeface="Arial" panose="020B0604020202020204" pitchFamily="34" charset="0"/>
            </a:rPr>
            <a:t>2013 </a:t>
          </a:r>
        </a:p>
      </cdr:txBody>
    </cdr:sp>
  </cdr:relSizeAnchor>
  <cdr:relSizeAnchor xmlns:cdr="http://schemas.openxmlformats.org/drawingml/2006/chartDrawing">
    <cdr:from>
      <cdr:x>0.85185</cdr:x>
      <cdr:y>0.28282</cdr:y>
    </cdr:from>
    <cdr:to>
      <cdr:x>0.99758</cdr:x>
      <cdr:y>0.33721</cdr:y>
    </cdr:to>
    <cdr:sp macro="" textlink="">
      <cdr:nvSpPr>
        <cdr:cNvPr id="6" name="TextBox 1">
          <a:extLst xmlns:a="http://schemas.openxmlformats.org/drawingml/2006/main">
            <a:ext uri="{FF2B5EF4-FFF2-40B4-BE49-F238E27FC236}">
              <a16:creationId xmlns:a16="http://schemas.microsoft.com/office/drawing/2014/main" id="{A87C709E-4429-A0B3-99A5-70C3AFB82AE4}"/>
            </a:ext>
          </a:extLst>
        </cdr:cNvPr>
        <cdr:cNvSpPr txBox="1"/>
      </cdr:nvSpPr>
      <cdr:spPr>
        <a:xfrm xmlns:a="http://schemas.openxmlformats.org/drawingml/2006/main">
          <a:off x="7903880" y="1709270"/>
          <a:ext cx="1352177" cy="3287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2009 </a:t>
          </a:r>
        </a:p>
      </cdr:txBody>
    </cdr:sp>
  </cdr:relSizeAnchor>
  <cdr:relSizeAnchor xmlns:cdr="http://schemas.openxmlformats.org/drawingml/2006/chartDrawing">
    <cdr:from>
      <cdr:x>0.85427</cdr:x>
      <cdr:y>0.19506</cdr:y>
    </cdr:from>
    <cdr:to>
      <cdr:x>1</cdr:x>
      <cdr:y>0.24944</cdr:y>
    </cdr:to>
    <cdr:sp macro="" textlink="">
      <cdr:nvSpPr>
        <cdr:cNvPr id="7" name="TextBox 1">
          <a:extLst xmlns:a="http://schemas.openxmlformats.org/drawingml/2006/main">
            <a:ext uri="{FF2B5EF4-FFF2-40B4-BE49-F238E27FC236}">
              <a16:creationId xmlns:a16="http://schemas.microsoft.com/office/drawing/2014/main" id="{A87C709E-4429-A0B3-99A5-70C3AFB82AE4}"/>
            </a:ext>
          </a:extLst>
        </cdr:cNvPr>
        <cdr:cNvSpPr txBox="1"/>
      </cdr:nvSpPr>
      <cdr:spPr>
        <a:xfrm xmlns:a="http://schemas.openxmlformats.org/drawingml/2006/main">
          <a:off x="7926294" y="1178859"/>
          <a:ext cx="1352177" cy="3287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67A854"/>
              </a:solidFill>
              <a:latin typeface="Arial" panose="020B0604020202020204" pitchFamily="34" charset="0"/>
              <a:cs typeface="Arial" panose="020B0604020202020204" pitchFamily="34" charset="0"/>
            </a:rPr>
            <a:t>2006 </a:t>
          </a:r>
        </a:p>
      </cdr:txBody>
    </cdr:sp>
  </cdr:relSizeAnchor>
  <cdr:relSizeAnchor xmlns:cdr="http://schemas.openxmlformats.org/drawingml/2006/chartDrawing">
    <cdr:from>
      <cdr:x>0.62715</cdr:x>
      <cdr:y>0.59803</cdr:y>
    </cdr:from>
    <cdr:to>
      <cdr:x>0.77288</cdr:x>
      <cdr:y>0.65242</cdr:y>
    </cdr:to>
    <cdr:sp macro="" textlink="">
      <cdr:nvSpPr>
        <cdr:cNvPr id="8" name="TextBox 1">
          <a:extLst xmlns:a="http://schemas.openxmlformats.org/drawingml/2006/main">
            <a:ext uri="{FF2B5EF4-FFF2-40B4-BE49-F238E27FC236}">
              <a16:creationId xmlns:a16="http://schemas.microsoft.com/office/drawing/2014/main" id="{89877226-C912-B558-CB1B-A6368B70A165}"/>
            </a:ext>
          </a:extLst>
        </cdr:cNvPr>
        <cdr:cNvSpPr txBox="1"/>
      </cdr:nvSpPr>
      <cdr:spPr>
        <a:xfrm xmlns:a="http://schemas.openxmlformats.org/drawingml/2006/main">
          <a:off x="5833036" y="3625477"/>
          <a:ext cx="1355418" cy="3297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Actual</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9286875" cy="6048375"/>
    <xdr:graphicFrame macro="">
      <xdr:nvGraphicFramePr>
        <xdr:cNvPr id="2" name="Chart 1">
          <a:extLst>
            <a:ext uri="{FF2B5EF4-FFF2-40B4-BE49-F238E27FC236}">
              <a16:creationId xmlns:a16="http://schemas.microsoft.com/office/drawing/2014/main" id="{E312EE24-3578-EC86-0608-100DDDA1900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0.83932</cdr:x>
      <cdr:y>0.39949</cdr:y>
    </cdr:from>
    <cdr:to>
      <cdr:x>1</cdr:x>
      <cdr:y>0.44769</cdr:y>
    </cdr:to>
    <cdr:sp macro="" textlink="">
      <cdr:nvSpPr>
        <cdr:cNvPr id="2" name="TextBox 1">
          <a:extLst xmlns:a="http://schemas.openxmlformats.org/drawingml/2006/main">
            <a:ext uri="{FF2B5EF4-FFF2-40B4-BE49-F238E27FC236}">
              <a16:creationId xmlns:a16="http://schemas.microsoft.com/office/drawing/2014/main" id="{0F25DD18-F74E-24C8-F1C3-68949A4477AB}"/>
            </a:ext>
          </a:extLst>
        </cdr:cNvPr>
        <cdr:cNvSpPr txBox="1"/>
      </cdr:nvSpPr>
      <cdr:spPr>
        <a:xfrm xmlns:a="http://schemas.openxmlformats.org/drawingml/2006/main">
          <a:off x="7795239" y="2415408"/>
          <a:ext cx="1492326" cy="2914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1800" kern="1200">
              <a:solidFill>
                <a:srgbClr val="3F403A"/>
              </a:solidFill>
              <a:latin typeface="Arial" panose="020B0604020202020204" pitchFamily="34" charset="0"/>
              <a:cs typeface="Arial" panose="020B0604020202020204" pitchFamily="34" charset="0"/>
            </a:rPr>
            <a:t>2021 </a:t>
          </a:r>
        </a:p>
      </cdr:txBody>
    </cdr:sp>
  </cdr:relSizeAnchor>
  <cdr:relSizeAnchor xmlns:cdr="http://schemas.openxmlformats.org/drawingml/2006/chartDrawing">
    <cdr:from>
      <cdr:x>0.85637</cdr:x>
      <cdr:y>0.36363</cdr:y>
    </cdr:from>
    <cdr:to>
      <cdr:x>1</cdr:x>
      <cdr:y>0.41297</cdr:y>
    </cdr:to>
    <cdr:sp macro="" textlink="">
      <cdr:nvSpPr>
        <cdr:cNvPr id="3" name="TextBox 2">
          <a:extLst xmlns:a="http://schemas.openxmlformats.org/drawingml/2006/main">
            <a:ext uri="{FF2B5EF4-FFF2-40B4-BE49-F238E27FC236}">
              <a16:creationId xmlns:a16="http://schemas.microsoft.com/office/drawing/2014/main" id="{A1C550FF-95C3-D711-67D9-4748C182EF04}"/>
            </a:ext>
          </a:extLst>
        </cdr:cNvPr>
        <cdr:cNvSpPr txBox="1"/>
      </cdr:nvSpPr>
      <cdr:spPr>
        <a:xfrm xmlns:a="http://schemas.openxmlformats.org/drawingml/2006/main">
          <a:off x="7953592" y="2198605"/>
          <a:ext cx="1333973" cy="298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1800" kern="1200">
              <a:solidFill>
                <a:srgbClr val="67A854"/>
              </a:solidFill>
              <a:latin typeface="Arial" panose="020B0604020202020204" pitchFamily="34" charset="0"/>
              <a:cs typeface="Arial" panose="020B0604020202020204" pitchFamily="34" charset="0"/>
            </a:rPr>
            <a:t>2025 </a:t>
          </a:r>
        </a:p>
      </cdr:txBody>
    </cdr:sp>
  </cdr:relSizeAnchor>
  <cdr:relSizeAnchor xmlns:cdr="http://schemas.openxmlformats.org/drawingml/2006/chartDrawing">
    <cdr:from>
      <cdr:x>0.85896</cdr:x>
      <cdr:y>0.30882</cdr:y>
    </cdr:from>
    <cdr:to>
      <cdr:x>0.99881</cdr:x>
      <cdr:y>0.37004</cdr:y>
    </cdr:to>
    <cdr:sp macro="" textlink="">
      <cdr:nvSpPr>
        <cdr:cNvPr id="4" name="TextBox 3">
          <a:extLst xmlns:a="http://schemas.openxmlformats.org/drawingml/2006/main">
            <a:ext uri="{FF2B5EF4-FFF2-40B4-BE49-F238E27FC236}">
              <a16:creationId xmlns:a16="http://schemas.microsoft.com/office/drawing/2014/main" id="{D70428F0-8A85-CA9B-CE93-09553250FCB7}"/>
            </a:ext>
          </a:extLst>
        </cdr:cNvPr>
        <cdr:cNvSpPr txBox="1"/>
      </cdr:nvSpPr>
      <cdr:spPr>
        <a:xfrm xmlns:a="http://schemas.openxmlformats.org/drawingml/2006/main">
          <a:off x="7977656" y="1867192"/>
          <a:ext cx="1298866" cy="3701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1800" kern="1200">
              <a:solidFill>
                <a:srgbClr val="A9A7A5"/>
              </a:solidFill>
              <a:latin typeface="Arial" panose="020B0604020202020204" pitchFamily="34" charset="0"/>
              <a:cs typeface="Arial" panose="020B0604020202020204" pitchFamily="34" charset="0"/>
            </a:rPr>
            <a:t>2016</a:t>
          </a:r>
          <a:r>
            <a:rPr lang="en-NZ" sz="1800" kern="1200" baseline="0">
              <a:solidFill>
                <a:srgbClr val="A9A7A5"/>
              </a:solidFill>
              <a:latin typeface="Arial" panose="020B0604020202020204" pitchFamily="34" charset="0"/>
              <a:cs typeface="Arial" panose="020B0604020202020204" pitchFamily="34" charset="0"/>
            </a:rPr>
            <a:t> </a:t>
          </a:r>
          <a:endParaRPr lang="en-NZ" sz="1800" kern="1200">
            <a:solidFill>
              <a:srgbClr val="A9A7A5"/>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0.85577</cdr:x>
      <cdr:y>0.27227</cdr:y>
    </cdr:from>
    <cdr:to>
      <cdr:x>1</cdr:x>
      <cdr:y>0.31978</cdr:y>
    </cdr:to>
    <cdr:sp macro="" textlink="">
      <cdr:nvSpPr>
        <cdr:cNvPr id="5" name="TextBox 4">
          <a:extLst xmlns:a="http://schemas.openxmlformats.org/drawingml/2006/main">
            <a:ext uri="{FF2B5EF4-FFF2-40B4-BE49-F238E27FC236}">
              <a16:creationId xmlns:a16="http://schemas.microsoft.com/office/drawing/2014/main" id="{F9BB36DE-9747-197A-3C24-98F77822981B}"/>
            </a:ext>
          </a:extLst>
        </cdr:cNvPr>
        <cdr:cNvSpPr txBox="1"/>
      </cdr:nvSpPr>
      <cdr:spPr>
        <a:xfrm xmlns:a="http://schemas.openxmlformats.org/drawingml/2006/main">
          <a:off x="7948020" y="1646216"/>
          <a:ext cx="1339545" cy="2872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1800" kern="1200">
              <a:solidFill>
                <a:srgbClr val="08BCE2"/>
              </a:solidFill>
              <a:latin typeface="Arial" panose="020B0604020202020204" pitchFamily="34" charset="0"/>
              <a:cs typeface="Arial" panose="020B0604020202020204" pitchFamily="34" charset="0"/>
            </a:rPr>
            <a:t>2013 </a:t>
          </a:r>
        </a:p>
      </cdr:txBody>
    </cdr:sp>
  </cdr:relSizeAnchor>
  <cdr:relSizeAnchor xmlns:cdr="http://schemas.openxmlformats.org/drawingml/2006/chartDrawing">
    <cdr:from>
      <cdr:x>0.85637</cdr:x>
      <cdr:y>0.18566</cdr:y>
    </cdr:from>
    <cdr:to>
      <cdr:x>1</cdr:x>
      <cdr:y>0.23116</cdr:y>
    </cdr:to>
    <cdr:sp macro="" textlink="">
      <cdr:nvSpPr>
        <cdr:cNvPr id="6" name="TextBox 1">
          <a:extLst xmlns:a="http://schemas.openxmlformats.org/drawingml/2006/main">
            <a:ext uri="{FF2B5EF4-FFF2-40B4-BE49-F238E27FC236}">
              <a16:creationId xmlns:a16="http://schemas.microsoft.com/office/drawing/2014/main" id="{48AC55C1-F3E0-845D-E9B0-320C76FE6678}"/>
            </a:ext>
          </a:extLst>
        </cdr:cNvPr>
        <cdr:cNvSpPr txBox="1"/>
      </cdr:nvSpPr>
      <cdr:spPr>
        <a:xfrm xmlns:a="http://schemas.openxmlformats.org/drawingml/2006/main">
          <a:off x="7953592" y="1122528"/>
          <a:ext cx="1333973" cy="2751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2009 </a:t>
          </a:r>
        </a:p>
      </cdr:txBody>
    </cdr:sp>
  </cdr:relSizeAnchor>
  <cdr:relSizeAnchor xmlns:cdr="http://schemas.openxmlformats.org/drawingml/2006/chartDrawing">
    <cdr:from>
      <cdr:x>0.8398</cdr:x>
      <cdr:y>0.0678</cdr:y>
    </cdr:from>
    <cdr:to>
      <cdr:x>1</cdr:x>
      <cdr:y>0.09868</cdr:y>
    </cdr:to>
    <cdr:sp macro="" textlink="">
      <cdr:nvSpPr>
        <cdr:cNvPr id="8" name="TextBox 1">
          <a:extLst xmlns:a="http://schemas.openxmlformats.org/drawingml/2006/main">
            <a:ext uri="{FF2B5EF4-FFF2-40B4-BE49-F238E27FC236}">
              <a16:creationId xmlns:a16="http://schemas.microsoft.com/office/drawing/2014/main" id="{C9BA151A-C08E-A7B1-75F3-1856B9EF242B}"/>
            </a:ext>
          </a:extLst>
        </cdr:cNvPr>
        <cdr:cNvSpPr txBox="1"/>
      </cdr:nvSpPr>
      <cdr:spPr>
        <a:xfrm xmlns:a="http://schemas.openxmlformats.org/drawingml/2006/main">
          <a:off x="7799697" y="409930"/>
          <a:ext cx="1487868" cy="1867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67A854"/>
              </a:solidFill>
              <a:latin typeface="Arial" panose="020B0604020202020204" pitchFamily="34" charset="0"/>
              <a:cs typeface="Arial" panose="020B0604020202020204" pitchFamily="34" charset="0"/>
            </a:rPr>
            <a:t>2006 </a:t>
          </a:r>
        </a:p>
      </cdr:txBody>
    </cdr:sp>
  </cdr:relSizeAnchor>
  <cdr:relSizeAnchor xmlns:cdr="http://schemas.openxmlformats.org/drawingml/2006/chartDrawing">
    <cdr:from>
      <cdr:x>0.643</cdr:x>
      <cdr:y>0.64432</cdr:y>
    </cdr:from>
    <cdr:to>
      <cdr:x>0.77497</cdr:x>
      <cdr:y>0.69881</cdr:y>
    </cdr:to>
    <cdr:sp macro="" textlink="">
      <cdr:nvSpPr>
        <cdr:cNvPr id="7" name="TextBox 1">
          <a:extLst xmlns:a="http://schemas.openxmlformats.org/drawingml/2006/main">
            <a:ext uri="{FF2B5EF4-FFF2-40B4-BE49-F238E27FC236}">
              <a16:creationId xmlns:a16="http://schemas.microsoft.com/office/drawing/2014/main" id="{A7421792-3ADC-A169-FF59-4544C38A30C8}"/>
            </a:ext>
          </a:extLst>
        </cdr:cNvPr>
        <cdr:cNvSpPr txBox="1"/>
      </cdr:nvSpPr>
      <cdr:spPr>
        <a:xfrm xmlns:a="http://schemas.openxmlformats.org/drawingml/2006/main">
          <a:off x="5969419" y="3895043"/>
          <a:ext cx="1225131" cy="3294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1800" kern="1200">
              <a:solidFill>
                <a:srgbClr val="0083AC"/>
              </a:solidFill>
              <a:latin typeface="Arial" panose="020B0604020202020204" pitchFamily="34" charset="0"/>
              <a:cs typeface="Arial" panose="020B0604020202020204" pitchFamily="34" charset="0"/>
            </a:rPr>
            <a:t>Actual</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9286875" cy="6048375"/>
    <xdr:graphicFrame macro="">
      <xdr:nvGraphicFramePr>
        <xdr:cNvPr id="45" name="Chart 1">
          <a:extLst>
            <a:ext uri="{FF2B5EF4-FFF2-40B4-BE49-F238E27FC236}">
              <a16:creationId xmlns:a16="http://schemas.microsoft.com/office/drawing/2014/main" id="{1E0ED11E-98AE-9E72-C770-69A970990D3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cdr:x>
      <cdr:y>0</cdr:y>
    </cdr:from>
    <cdr:to>
      <cdr:x>0.44135</cdr:x>
      <cdr:y>0.09459</cdr:y>
    </cdr:to>
    <cdr:sp macro="" textlink="">
      <cdr:nvSpPr>
        <cdr:cNvPr id="2" name="TextBox 1">
          <a:extLst xmlns:a="http://schemas.openxmlformats.org/drawingml/2006/main">
            <a:ext uri="{FF2B5EF4-FFF2-40B4-BE49-F238E27FC236}">
              <a16:creationId xmlns:a16="http://schemas.microsoft.com/office/drawing/2014/main" id="{C1349D1E-1933-4637-6364-B9F33A8ACDE8}"/>
            </a:ext>
          </a:extLst>
        </cdr:cNvPr>
        <cdr:cNvSpPr txBox="1"/>
      </cdr:nvSpPr>
      <cdr:spPr>
        <a:xfrm xmlns:a="http://schemas.openxmlformats.org/drawingml/2006/main">
          <a:off x="0" y="0"/>
          <a:ext cx="4095750"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2800" b="1" kern="1200" baseline="0">
              <a:solidFill>
                <a:sysClr val="windowText" lastClr="000000"/>
              </a:solidFill>
              <a:latin typeface="Arial" panose="020B0604020202020204" pitchFamily="34" charset="0"/>
            </a:rPr>
            <a:t>Expenditure ($billions)</a:t>
          </a:r>
        </a:p>
      </cdr:txBody>
    </cdr:sp>
  </cdr:relSizeAnchor>
  <cdr:relSizeAnchor xmlns:cdr="http://schemas.openxmlformats.org/drawingml/2006/chartDrawing">
    <cdr:from>
      <cdr:x>0.8651</cdr:x>
      <cdr:y>0.58724</cdr:y>
    </cdr:from>
    <cdr:to>
      <cdr:x>1</cdr:x>
      <cdr:y>0.64181</cdr:y>
    </cdr:to>
    <cdr:sp macro="" textlink="">
      <cdr:nvSpPr>
        <cdr:cNvPr id="3" name="TextBox 1">
          <a:extLst xmlns:a="http://schemas.openxmlformats.org/drawingml/2006/main">
            <a:ext uri="{FF2B5EF4-FFF2-40B4-BE49-F238E27FC236}">
              <a16:creationId xmlns:a16="http://schemas.microsoft.com/office/drawing/2014/main" id="{A7421792-3ADC-A169-FF59-4544C38A30C8}"/>
            </a:ext>
          </a:extLst>
        </cdr:cNvPr>
        <cdr:cNvSpPr txBox="1"/>
      </cdr:nvSpPr>
      <cdr:spPr>
        <a:xfrm xmlns:a="http://schemas.openxmlformats.org/drawingml/2006/main">
          <a:off x="8028214" y="3547837"/>
          <a:ext cx="1251857" cy="3297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0083AC"/>
              </a:solidFill>
              <a:latin typeface="Arial" panose="020B0604020202020204" pitchFamily="34" charset="0"/>
              <a:cs typeface="Arial" panose="020B0604020202020204" pitchFamily="34" charset="0"/>
            </a:rPr>
            <a:t>Actual</a:t>
          </a:r>
        </a:p>
      </cdr:txBody>
    </cdr:sp>
  </cdr:relSizeAnchor>
  <cdr:relSizeAnchor xmlns:cdr="http://schemas.openxmlformats.org/drawingml/2006/chartDrawing">
    <cdr:from>
      <cdr:x>0.83871</cdr:x>
      <cdr:y>0.22913</cdr:y>
    </cdr:from>
    <cdr:to>
      <cdr:x>1</cdr:x>
      <cdr:y>0.28371</cdr:y>
    </cdr:to>
    <cdr:sp macro="" textlink="">
      <cdr:nvSpPr>
        <cdr:cNvPr id="4" name="TextBox 1">
          <a:extLst xmlns:a="http://schemas.openxmlformats.org/drawingml/2006/main">
            <a:ext uri="{FF2B5EF4-FFF2-40B4-BE49-F238E27FC236}">
              <a16:creationId xmlns:a16="http://schemas.microsoft.com/office/drawing/2014/main" id="{A7421792-3ADC-A169-FF59-4544C38A30C8}"/>
            </a:ext>
          </a:extLst>
        </cdr:cNvPr>
        <cdr:cNvSpPr txBox="1"/>
      </cdr:nvSpPr>
      <cdr:spPr>
        <a:xfrm xmlns:a="http://schemas.openxmlformats.org/drawingml/2006/main">
          <a:off x="7783286" y="1384299"/>
          <a:ext cx="1496785" cy="3297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3F403A"/>
              </a:solidFill>
              <a:latin typeface="Arial" panose="020B0604020202020204" pitchFamily="34" charset="0"/>
              <a:cs typeface="Arial" panose="020B0604020202020204" pitchFamily="34" charset="0"/>
            </a:rPr>
            <a:t>{LTFSs}</a:t>
          </a:r>
        </a:p>
      </cdr:txBody>
    </cdr:sp>
  </cdr:relSizeAnchor>
  <cdr:relSizeAnchor xmlns:cdr="http://schemas.openxmlformats.org/drawingml/2006/chartDrawing">
    <cdr:from>
      <cdr:x>0.82805</cdr:x>
      <cdr:y>0.12778</cdr:y>
    </cdr:from>
    <cdr:to>
      <cdr:x>0.97411</cdr:x>
      <cdr:y>0.18235</cdr:y>
    </cdr:to>
    <cdr:sp macro="" textlink="">
      <cdr:nvSpPr>
        <cdr:cNvPr id="5" name="TextBox 1">
          <a:extLst xmlns:a="http://schemas.openxmlformats.org/drawingml/2006/main">
            <a:ext uri="{FF2B5EF4-FFF2-40B4-BE49-F238E27FC236}">
              <a16:creationId xmlns:a16="http://schemas.microsoft.com/office/drawing/2014/main" id="{A7421792-3ADC-A169-FF59-4544C38A30C8}"/>
            </a:ext>
          </a:extLst>
        </cdr:cNvPr>
        <cdr:cNvSpPr txBox="1"/>
      </cdr:nvSpPr>
      <cdr:spPr>
        <a:xfrm xmlns:a="http://schemas.openxmlformats.org/drawingml/2006/main">
          <a:off x="7684408" y="771977"/>
          <a:ext cx="1355418" cy="3297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67A854"/>
              </a:solidFill>
              <a:latin typeface="Arial" panose="020B0604020202020204" pitchFamily="34" charset="0"/>
              <a:cs typeface="Arial" panose="020B0604020202020204" pitchFamily="34" charset="0"/>
            </a:rPr>
            <a:t>2025</a:t>
          </a:r>
        </a:p>
      </cdr:txBody>
    </cdr:sp>
  </cdr:relSizeAnchor>
</c:userShapes>
</file>

<file path=xl/drawings/drawing23.xml><?xml version="1.0" encoding="utf-8"?>
<xdr:wsDr xmlns:xdr="http://schemas.openxmlformats.org/drawingml/2006/spreadsheetDrawing" xmlns:a="http://schemas.openxmlformats.org/drawingml/2006/main">
  <xdr:twoCellAnchor editAs="oneCell">
    <xdr:from>
      <xdr:col>4</xdr:col>
      <xdr:colOff>443633</xdr:colOff>
      <xdr:row>69</xdr:row>
      <xdr:rowOff>126134</xdr:rowOff>
    </xdr:from>
    <xdr:to>
      <xdr:col>14</xdr:col>
      <xdr:colOff>312383</xdr:colOff>
      <xdr:row>90</xdr:row>
      <xdr:rowOff>102602</xdr:rowOff>
    </xdr:to>
    <xdr:pic>
      <xdr:nvPicPr>
        <xdr:cNvPr id="2" name="Picture 1" descr="A graph of a graph showing the difference between a number of times&#10;&#10;AI-generated content may be incorrect.">
          <a:extLst>
            <a:ext uri="{FF2B5EF4-FFF2-40B4-BE49-F238E27FC236}">
              <a16:creationId xmlns:a16="http://schemas.microsoft.com/office/drawing/2014/main" id="{D5C7BF47-7064-E137-9332-AF1662FF89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2088" y="12422043"/>
          <a:ext cx="6230872" cy="3469987"/>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absoluteAnchor>
    <xdr:pos x="0" y="0"/>
    <xdr:ext cx="9300882" cy="6062382"/>
    <xdr:graphicFrame macro="">
      <xdr:nvGraphicFramePr>
        <xdr:cNvPr id="14" name="Chart 1">
          <a:extLst>
            <a:ext uri="{FF2B5EF4-FFF2-40B4-BE49-F238E27FC236}">
              <a16:creationId xmlns:a16="http://schemas.microsoft.com/office/drawing/2014/main" id="{A5643F4C-7671-377D-B433-99FE9961AE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0.88245</cdr:x>
      <cdr:y>0.37338</cdr:y>
    </cdr:from>
    <cdr:to>
      <cdr:x>1</cdr:x>
      <cdr:y>0.4732</cdr:y>
    </cdr:to>
    <cdr:sp macro="" textlink="">
      <cdr:nvSpPr>
        <cdr:cNvPr id="2" name="TextBox 1">
          <a:extLst xmlns:a="http://schemas.openxmlformats.org/drawingml/2006/main">
            <a:ext uri="{FF2B5EF4-FFF2-40B4-BE49-F238E27FC236}">
              <a16:creationId xmlns:a16="http://schemas.microsoft.com/office/drawing/2014/main" id="{CBE47E66-5C71-CA78-30B2-9191CF861940}"/>
            </a:ext>
          </a:extLst>
        </cdr:cNvPr>
        <cdr:cNvSpPr txBox="1"/>
      </cdr:nvSpPr>
      <cdr:spPr>
        <a:xfrm xmlns:a="http://schemas.openxmlformats.org/drawingml/2006/main">
          <a:off x="8187766" y="2256599"/>
          <a:ext cx="1090705" cy="6032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NZ" sz="2800" kern="1200">
              <a:solidFill>
                <a:srgbClr val="67A854"/>
              </a:solidFill>
              <a:latin typeface="Arial" panose="020B0604020202020204" pitchFamily="34" charset="0"/>
              <a:cs typeface="Arial" panose="020B0604020202020204" pitchFamily="34" charset="0"/>
            </a:rPr>
            <a:t>2025</a:t>
          </a:r>
        </a:p>
      </cdr:txBody>
    </cdr:sp>
  </cdr:relSizeAnchor>
  <cdr:relSizeAnchor xmlns:cdr="http://schemas.openxmlformats.org/drawingml/2006/chartDrawing">
    <cdr:from>
      <cdr:x>0.88969</cdr:x>
      <cdr:y>0.32446</cdr:y>
    </cdr:from>
    <cdr:to>
      <cdr:x>0.9988</cdr:x>
      <cdr:y>0.42428</cdr:y>
    </cdr:to>
    <cdr:sp macro="" textlink="">
      <cdr:nvSpPr>
        <cdr:cNvPr id="3" name="TextBox 1">
          <a:extLst xmlns:a="http://schemas.openxmlformats.org/drawingml/2006/main">
            <a:ext uri="{FF2B5EF4-FFF2-40B4-BE49-F238E27FC236}">
              <a16:creationId xmlns:a16="http://schemas.microsoft.com/office/drawing/2014/main" id="{1D19BDA7-B694-E630-F3B1-A416FB52BF55}"/>
            </a:ext>
          </a:extLst>
        </cdr:cNvPr>
        <cdr:cNvSpPr txBox="1"/>
      </cdr:nvSpPr>
      <cdr:spPr>
        <a:xfrm xmlns:a="http://schemas.openxmlformats.org/drawingml/2006/main">
          <a:off x="8255000" y="1960941"/>
          <a:ext cx="1012337" cy="60328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A9A7A5"/>
              </a:solidFill>
              <a:latin typeface="Arial" panose="020B0604020202020204" pitchFamily="34" charset="0"/>
              <a:cs typeface="Arial" panose="020B0604020202020204" pitchFamily="34" charset="0"/>
            </a:rPr>
            <a:t>2016</a:t>
          </a:r>
        </a:p>
      </cdr:txBody>
    </cdr:sp>
  </cdr:relSizeAnchor>
  <cdr:relSizeAnchor xmlns:cdr="http://schemas.openxmlformats.org/drawingml/2006/chartDrawing">
    <cdr:from>
      <cdr:x>0.88808</cdr:x>
      <cdr:y>0.43537</cdr:y>
    </cdr:from>
    <cdr:to>
      <cdr:x>1</cdr:x>
      <cdr:y>0.53518</cdr:y>
    </cdr:to>
    <cdr:sp macro="" textlink="">
      <cdr:nvSpPr>
        <cdr:cNvPr id="4" name="TextBox 1">
          <a:extLst xmlns:a="http://schemas.openxmlformats.org/drawingml/2006/main">
            <a:ext uri="{FF2B5EF4-FFF2-40B4-BE49-F238E27FC236}">
              <a16:creationId xmlns:a16="http://schemas.microsoft.com/office/drawing/2014/main" id="{1D19BDA7-B694-E630-F3B1-A416FB52BF55}"/>
            </a:ext>
          </a:extLst>
        </cdr:cNvPr>
        <cdr:cNvSpPr txBox="1"/>
      </cdr:nvSpPr>
      <cdr:spPr>
        <a:xfrm xmlns:a="http://schemas.openxmlformats.org/drawingml/2006/main">
          <a:off x="8240060" y="2631248"/>
          <a:ext cx="1038411" cy="6032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3F403A"/>
              </a:solidFill>
              <a:latin typeface="Arial" panose="020B0604020202020204" pitchFamily="34" charset="0"/>
              <a:cs typeface="Arial" panose="020B0604020202020204" pitchFamily="34" charset="0"/>
            </a:rPr>
            <a:t>2021</a:t>
          </a:r>
        </a:p>
      </cdr:txBody>
    </cdr:sp>
  </cdr:relSizeAnchor>
  <cdr:relSizeAnchor xmlns:cdr="http://schemas.openxmlformats.org/drawingml/2006/chartDrawing">
    <cdr:from>
      <cdr:x>0.87762</cdr:x>
      <cdr:y>0.27455</cdr:y>
    </cdr:from>
    <cdr:to>
      <cdr:x>1</cdr:x>
      <cdr:y>0.37437</cdr:y>
    </cdr:to>
    <cdr:sp macro="" textlink="">
      <cdr:nvSpPr>
        <cdr:cNvPr id="5" name="TextBox 1">
          <a:extLst xmlns:a="http://schemas.openxmlformats.org/drawingml/2006/main">
            <a:ext uri="{FF2B5EF4-FFF2-40B4-BE49-F238E27FC236}">
              <a16:creationId xmlns:a16="http://schemas.microsoft.com/office/drawing/2014/main" id="{1D19BDA7-B694-E630-F3B1-A416FB52BF55}"/>
            </a:ext>
          </a:extLst>
        </cdr:cNvPr>
        <cdr:cNvSpPr txBox="1"/>
      </cdr:nvSpPr>
      <cdr:spPr>
        <a:xfrm xmlns:a="http://schemas.openxmlformats.org/drawingml/2006/main">
          <a:off x="8142942" y="1659299"/>
          <a:ext cx="1135529" cy="60328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08BCE2"/>
              </a:solidFill>
              <a:latin typeface="Arial" panose="020B0604020202020204" pitchFamily="34" charset="0"/>
              <a:cs typeface="Arial" panose="020B0604020202020204" pitchFamily="34" charset="0"/>
            </a:rPr>
            <a:t>2013</a:t>
          </a:r>
        </a:p>
      </cdr:txBody>
    </cdr:sp>
  </cdr:relSizeAnchor>
  <cdr:relSizeAnchor xmlns:cdr="http://schemas.openxmlformats.org/drawingml/2006/chartDrawing">
    <cdr:from>
      <cdr:x>0.88084</cdr:x>
      <cdr:y>0.22834</cdr:y>
    </cdr:from>
    <cdr:to>
      <cdr:x>1</cdr:x>
      <cdr:y>0.32816</cdr:y>
    </cdr:to>
    <cdr:sp macro="" textlink="">
      <cdr:nvSpPr>
        <cdr:cNvPr id="6" name="TextBox 1">
          <a:extLst xmlns:a="http://schemas.openxmlformats.org/drawingml/2006/main">
            <a:ext uri="{FF2B5EF4-FFF2-40B4-BE49-F238E27FC236}">
              <a16:creationId xmlns:a16="http://schemas.microsoft.com/office/drawing/2014/main" id="{1D19BDA7-B694-E630-F3B1-A416FB52BF55}"/>
            </a:ext>
          </a:extLst>
        </cdr:cNvPr>
        <cdr:cNvSpPr txBox="1"/>
      </cdr:nvSpPr>
      <cdr:spPr>
        <a:xfrm xmlns:a="http://schemas.openxmlformats.org/drawingml/2006/main">
          <a:off x="8172824" y="1380020"/>
          <a:ext cx="1105647" cy="60328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0083AC"/>
              </a:solidFill>
              <a:latin typeface="Arial" panose="020B0604020202020204" pitchFamily="34" charset="0"/>
              <a:cs typeface="Arial" panose="020B0604020202020204" pitchFamily="34" charset="0"/>
            </a:rPr>
            <a:t>2009</a:t>
          </a:r>
        </a:p>
      </cdr:txBody>
    </cdr:sp>
  </cdr:relSizeAnchor>
  <cdr:relSizeAnchor xmlns:cdr="http://schemas.openxmlformats.org/drawingml/2006/chartDrawing">
    <cdr:from>
      <cdr:x>0.88647</cdr:x>
      <cdr:y>0.18213</cdr:y>
    </cdr:from>
    <cdr:to>
      <cdr:x>1</cdr:x>
      <cdr:y>0.28195</cdr:y>
    </cdr:to>
    <cdr:sp macro="" textlink="">
      <cdr:nvSpPr>
        <cdr:cNvPr id="7" name="TextBox 1">
          <a:extLst xmlns:a="http://schemas.openxmlformats.org/drawingml/2006/main">
            <a:ext uri="{FF2B5EF4-FFF2-40B4-BE49-F238E27FC236}">
              <a16:creationId xmlns:a16="http://schemas.microsoft.com/office/drawing/2014/main" id="{1D19BDA7-B694-E630-F3B1-A416FB52BF55}"/>
            </a:ext>
          </a:extLst>
        </cdr:cNvPr>
        <cdr:cNvSpPr txBox="1"/>
      </cdr:nvSpPr>
      <cdr:spPr>
        <a:xfrm xmlns:a="http://schemas.openxmlformats.org/drawingml/2006/main">
          <a:off x="8225118" y="1100740"/>
          <a:ext cx="1053353" cy="60328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67A854"/>
              </a:solidFill>
              <a:latin typeface="Arial" panose="020B0604020202020204" pitchFamily="34" charset="0"/>
              <a:cs typeface="Arial" panose="020B0604020202020204" pitchFamily="34" charset="0"/>
            </a:rPr>
            <a:t>2006</a:t>
          </a:r>
        </a:p>
      </cdr:txBody>
    </cdr:sp>
  </cdr:relSizeAnchor>
  <cdr:relSizeAnchor xmlns:cdr="http://schemas.openxmlformats.org/drawingml/2006/chartDrawing">
    <cdr:from>
      <cdr:x>0.86329</cdr:x>
      <cdr:y>0.57215</cdr:y>
    </cdr:from>
    <cdr:to>
      <cdr:x>0.9988</cdr:x>
      <cdr:y>0.67197</cdr:y>
    </cdr:to>
    <cdr:sp macro="" textlink="">
      <cdr:nvSpPr>
        <cdr:cNvPr id="8" name="TextBox 1">
          <a:extLst xmlns:a="http://schemas.openxmlformats.org/drawingml/2006/main">
            <a:ext uri="{FF2B5EF4-FFF2-40B4-BE49-F238E27FC236}">
              <a16:creationId xmlns:a16="http://schemas.microsoft.com/office/drawing/2014/main" id="{1D19BDA7-B694-E630-F3B1-A416FB52BF55}"/>
            </a:ext>
          </a:extLst>
        </cdr:cNvPr>
        <cdr:cNvSpPr txBox="1"/>
      </cdr:nvSpPr>
      <cdr:spPr>
        <a:xfrm xmlns:a="http://schemas.openxmlformats.org/drawingml/2006/main">
          <a:off x="8029386" y="3468595"/>
          <a:ext cx="1260289" cy="6051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NZ" sz="2800" kern="1200">
              <a:solidFill>
                <a:srgbClr val="0083AC"/>
              </a:solidFill>
              <a:latin typeface="Arial" panose="020B0604020202020204" pitchFamily="34" charset="0"/>
              <a:cs typeface="Arial" panose="020B0604020202020204" pitchFamily="34" charset="0"/>
            </a:rPr>
            <a:t>Actual</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9280071" cy="6041571"/>
    <xdr:graphicFrame macro="">
      <xdr:nvGraphicFramePr>
        <xdr:cNvPr id="24" name="Chart 1">
          <a:extLst>
            <a:ext uri="{FF2B5EF4-FFF2-40B4-BE49-F238E27FC236}">
              <a16:creationId xmlns:a16="http://schemas.microsoft.com/office/drawing/2014/main" id="{6394E8C8-1A34-841E-1367-A86CC0FD9AB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xdr:wsDr xmlns:xdr="http://schemas.openxmlformats.org/drawingml/2006/spreadsheetDrawing" xmlns:a="http://schemas.openxmlformats.org/drawingml/2006/main">
  <xdr:absoluteAnchor>
    <xdr:pos x="0" y="0"/>
    <xdr:ext cx="9280071" cy="6041571"/>
    <xdr:graphicFrame macro="">
      <xdr:nvGraphicFramePr>
        <xdr:cNvPr id="3" name="Chart 1">
          <a:extLst>
            <a:ext uri="{FF2B5EF4-FFF2-40B4-BE49-F238E27FC236}">
              <a16:creationId xmlns:a16="http://schemas.microsoft.com/office/drawing/2014/main" id="{B4A76B72-2990-66C2-823C-622D15ADAC1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0.24392</cdr:x>
      <cdr:y>0.02714</cdr:y>
    </cdr:from>
    <cdr:to>
      <cdr:x>0.51391</cdr:x>
      <cdr:y>0.09855</cdr:y>
    </cdr:to>
    <cdr:sp macro="" textlink="">
      <cdr:nvSpPr>
        <cdr:cNvPr id="2" name="TextBox 1">
          <a:extLst xmlns:a="http://schemas.openxmlformats.org/drawingml/2006/main">
            <a:ext uri="{FF2B5EF4-FFF2-40B4-BE49-F238E27FC236}">
              <a16:creationId xmlns:a16="http://schemas.microsoft.com/office/drawing/2014/main" id="{319D71CC-ACDE-8A94-8506-7A051E9721EC}"/>
            </a:ext>
          </a:extLst>
        </cdr:cNvPr>
        <cdr:cNvSpPr txBox="1"/>
      </cdr:nvSpPr>
      <cdr:spPr>
        <a:xfrm xmlns:a="http://schemas.openxmlformats.org/drawingml/2006/main">
          <a:off x="2268682" y="164523"/>
          <a:ext cx="2511136" cy="4329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100" kern="1200"/>
        </a:p>
      </cdr:txBody>
    </cdr:sp>
  </cdr:relSizeAnchor>
  <cdr:relSizeAnchor xmlns:cdr="http://schemas.openxmlformats.org/drawingml/2006/chartDrawing">
    <cdr:from>
      <cdr:x>0</cdr:x>
      <cdr:y>0</cdr:y>
    </cdr:from>
    <cdr:to>
      <cdr:x>0.22623</cdr:x>
      <cdr:y>0.06713</cdr:y>
    </cdr:to>
    <cdr:sp macro="" textlink="">
      <cdr:nvSpPr>
        <cdr:cNvPr id="3" name="TextBox 2">
          <a:extLst xmlns:a="http://schemas.openxmlformats.org/drawingml/2006/main">
            <a:ext uri="{FF2B5EF4-FFF2-40B4-BE49-F238E27FC236}">
              <a16:creationId xmlns:a16="http://schemas.microsoft.com/office/drawing/2014/main" id="{D82855F1-BE23-5B96-0AE1-FF1372BC123A}"/>
            </a:ext>
          </a:extLst>
        </cdr:cNvPr>
        <cdr:cNvSpPr txBox="1"/>
      </cdr:nvSpPr>
      <cdr:spPr>
        <a:xfrm xmlns:a="http://schemas.openxmlformats.org/drawingml/2006/main">
          <a:off x="0" y="0"/>
          <a:ext cx="2104159" cy="40697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b="1" kern="1200" baseline="0">
              <a:solidFill>
                <a:sysClr val="windowText" lastClr="000000"/>
              </a:solidFill>
              <a:latin typeface="Arial" panose="020B0604020202020204" pitchFamily="34" charset="0"/>
            </a:rPr>
            <a:t>$ (2018/19 prices)</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9300882" cy="6062382"/>
    <xdr:graphicFrame macro="">
      <xdr:nvGraphicFramePr>
        <xdr:cNvPr id="20" name="Chart 1">
          <a:extLst>
            <a:ext uri="{FF2B5EF4-FFF2-40B4-BE49-F238E27FC236}">
              <a16:creationId xmlns:a16="http://schemas.microsoft.com/office/drawing/2014/main" id="{67DC3395-C078-7890-FE15-CFFD0924987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xdr:wsDr xmlns:xdr="http://schemas.openxmlformats.org/drawingml/2006/spreadsheetDrawing" xmlns:a="http://schemas.openxmlformats.org/drawingml/2006/main">
  <xdr:absoluteAnchor>
    <xdr:pos x="0" y="0"/>
    <xdr:ext cx="9280071" cy="6041571"/>
    <xdr:graphicFrame macro="">
      <xdr:nvGraphicFramePr>
        <xdr:cNvPr id="11" name="Chart 1">
          <a:extLst>
            <a:ext uri="{FF2B5EF4-FFF2-40B4-BE49-F238E27FC236}">
              <a16:creationId xmlns:a16="http://schemas.microsoft.com/office/drawing/2014/main" id="{D27EBE7C-C838-3964-58CD-C45833EC39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xdr:wsDr xmlns:xdr="http://schemas.openxmlformats.org/drawingml/2006/spreadsheetDrawing" xmlns:a="http://schemas.openxmlformats.org/drawingml/2006/main">
  <xdr:absoluteAnchor>
    <xdr:pos x="0" y="0"/>
    <xdr:ext cx="9286875" cy="6048375"/>
    <xdr:graphicFrame macro="">
      <xdr:nvGraphicFramePr>
        <xdr:cNvPr id="17" name="Chart 1">
          <a:extLst>
            <a:ext uri="{FF2B5EF4-FFF2-40B4-BE49-F238E27FC236}">
              <a16:creationId xmlns:a16="http://schemas.microsoft.com/office/drawing/2014/main" id="{F279CBB1-268D-9C1D-1AC9-8100539229C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1.6546E-7</cdr:y>
    </cdr:from>
    <cdr:to>
      <cdr:x>0.24342</cdr:x>
      <cdr:y>0.0781</cdr:y>
    </cdr:to>
    <cdr:sp macro="" textlink="">
      <cdr:nvSpPr>
        <cdr:cNvPr id="2" name="TextBox 1">
          <a:extLst xmlns:a="http://schemas.openxmlformats.org/drawingml/2006/main">
            <a:ext uri="{FF2B5EF4-FFF2-40B4-BE49-F238E27FC236}">
              <a16:creationId xmlns:a16="http://schemas.microsoft.com/office/drawing/2014/main" id="{0D52E4B4-6CA0-BF9A-4B51-1329BE4958F6}"/>
            </a:ext>
          </a:extLst>
        </cdr:cNvPr>
        <cdr:cNvSpPr txBox="1"/>
      </cdr:nvSpPr>
      <cdr:spPr>
        <a:xfrm xmlns:a="http://schemas.openxmlformats.org/drawingml/2006/main">
          <a:off x="0" y="1"/>
          <a:ext cx="2259027" cy="4720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b="1" kern="1200" baseline="0">
              <a:solidFill>
                <a:sysClr val="windowText" lastClr="000000"/>
              </a:solidFill>
              <a:latin typeface="Arial" panose="020B0604020202020204" pitchFamily="34" charset="0"/>
            </a:rPr>
            <a:t>$Thousands</a:t>
          </a:r>
        </a:p>
      </cdr:txBody>
    </cdr:sp>
  </cdr:relSizeAnchor>
</c:userShapes>
</file>

<file path=xl/drawings/drawing33.xml><?xml version="1.0" encoding="utf-8"?>
<xdr:wsDr xmlns:xdr="http://schemas.openxmlformats.org/drawingml/2006/spreadsheetDrawing" xmlns:a="http://schemas.openxmlformats.org/drawingml/2006/main">
  <xdr:twoCellAnchor>
    <xdr:from>
      <xdr:col>20</xdr:col>
      <xdr:colOff>358774</xdr:colOff>
      <xdr:row>89</xdr:row>
      <xdr:rowOff>114300</xdr:rowOff>
    </xdr:from>
    <xdr:to>
      <xdr:col>31</xdr:col>
      <xdr:colOff>393699</xdr:colOff>
      <xdr:row>114</xdr:row>
      <xdr:rowOff>12700</xdr:rowOff>
    </xdr:to>
    <xdr:graphicFrame macro="">
      <xdr:nvGraphicFramePr>
        <xdr:cNvPr id="3" name="Chart 2">
          <a:extLst>
            <a:ext uri="{FF2B5EF4-FFF2-40B4-BE49-F238E27FC236}">
              <a16:creationId xmlns:a16="http://schemas.microsoft.com/office/drawing/2014/main" id="{7E012818-EF33-A2D6-B0E8-7B64F7F83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absoluteAnchor>
    <xdr:pos x="0" y="0"/>
    <xdr:ext cx="9280071" cy="6041571"/>
    <xdr:graphicFrame macro="">
      <xdr:nvGraphicFramePr>
        <xdr:cNvPr id="44" name="Chart 1">
          <a:extLst>
            <a:ext uri="{FF2B5EF4-FFF2-40B4-BE49-F238E27FC236}">
              <a16:creationId xmlns:a16="http://schemas.microsoft.com/office/drawing/2014/main" id="{56B23F96-8D9C-A828-7C16-FA7A1B53754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0.08131</cdr:x>
      <cdr:y>0.16278</cdr:y>
    </cdr:from>
    <cdr:to>
      <cdr:x>0.3687</cdr:x>
      <cdr:y>0.21581</cdr:y>
    </cdr:to>
    <cdr:sp macro="" textlink="">
      <cdr:nvSpPr>
        <cdr:cNvPr id="2" name="TextBox 1">
          <a:extLst xmlns:a="http://schemas.openxmlformats.org/drawingml/2006/main">
            <a:ext uri="{FF2B5EF4-FFF2-40B4-BE49-F238E27FC236}">
              <a16:creationId xmlns:a16="http://schemas.microsoft.com/office/drawing/2014/main" id="{70A6CEDA-D145-34F0-0DF1-7F5A739BBDAF}"/>
            </a:ext>
          </a:extLst>
        </cdr:cNvPr>
        <cdr:cNvSpPr txBox="1"/>
      </cdr:nvSpPr>
      <cdr:spPr>
        <a:xfrm xmlns:a="http://schemas.openxmlformats.org/drawingml/2006/main">
          <a:off x="754587" y="983445"/>
          <a:ext cx="2667000" cy="3203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kern="1200" baseline="0">
              <a:solidFill>
                <a:sysClr val="windowText" lastClr="000000"/>
              </a:solidFill>
              <a:latin typeface="Arial" panose="020B0604020202020204" pitchFamily="34" charset="0"/>
            </a:rPr>
            <a:t>Outturn and forecast</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9286875" cy="6048375"/>
    <xdr:graphicFrame macro="">
      <xdr:nvGraphicFramePr>
        <xdr:cNvPr id="11" name="Chart 1">
          <a:extLst>
            <a:ext uri="{FF2B5EF4-FFF2-40B4-BE49-F238E27FC236}">
              <a16:creationId xmlns:a16="http://schemas.microsoft.com/office/drawing/2014/main" id="{B27D3C3A-BB73-23D5-AF7E-0E79BD71445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xdr:wsDr xmlns:xdr="http://schemas.openxmlformats.org/drawingml/2006/spreadsheetDrawing" xmlns:a="http://schemas.openxmlformats.org/drawingml/2006/main">
  <xdr:absoluteAnchor>
    <xdr:pos x="0" y="0"/>
    <xdr:ext cx="9286875" cy="6048375"/>
    <xdr:graphicFrame macro="">
      <xdr:nvGraphicFramePr>
        <xdr:cNvPr id="12" name="Chart 1">
          <a:extLst>
            <a:ext uri="{FF2B5EF4-FFF2-40B4-BE49-F238E27FC236}">
              <a16:creationId xmlns:a16="http://schemas.microsoft.com/office/drawing/2014/main" id="{B6D3880B-121A-AA95-53E5-4C9A1C548A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xdr:wsDr xmlns:xdr="http://schemas.openxmlformats.org/drawingml/2006/spreadsheetDrawing" xmlns:a="http://schemas.openxmlformats.org/drawingml/2006/main">
  <xdr:absoluteAnchor>
    <xdr:pos x="0" y="0"/>
    <xdr:ext cx="9280071" cy="6041571"/>
    <xdr:graphicFrame macro="">
      <xdr:nvGraphicFramePr>
        <xdr:cNvPr id="9" name="Chart 1">
          <a:extLst>
            <a:ext uri="{FF2B5EF4-FFF2-40B4-BE49-F238E27FC236}">
              <a16:creationId xmlns:a16="http://schemas.microsoft.com/office/drawing/2014/main" id="{96D8B7FE-7E1D-8316-6BA1-4F92652F0CF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xdr:wsDr xmlns:xdr="http://schemas.openxmlformats.org/drawingml/2006/spreadsheetDrawing" xmlns:a="http://schemas.openxmlformats.org/drawingml/2006/main">
  <xdr:absoluteAnchor>
    <xdr:pos x="0" y="0"/>
    <xdr:ext cx="9280071" cy="6041571"/>
    <xdr:graphicFrame macro="">
      <xdr:nvGraphicFramePr>
        <xdr:cNvPr id="12" name="Chart 1">
          <a:extLst>
            <a:ext uri="{FF2B5EF4-FFF2-40B4-BE49-F238E27FC236}">
              <a16:creationId xmlns:a16="http://schemas.microsoft.com/office/drawing/2014/main" id="{F3685427-6145-7EE3-C6A0-D2D63A635F2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xdr:wsDr xmlns:xdr="http://schemas.openxmlformats.org/drawingml/2006/spreadsheetDrawing" xmlns:a="http://schemas.openxmlformats.org/drawingml/2006/main">
  <xdr:absoluteAnchor>
    <xdr:pos x="0" y="0"/>
    <xdr:ext cx="9280071" cy="6041571"/>
    <xdr:graphicFrame macro="">
      <xdr:nvGraphicFramePr>
        <xdr:cNvPr id="5" name="Chart 1">
          <a:extLst>
            <a:ext uri="{FF2B5EF4-FFF2-40B4-BE49-F238E27FC236}">
              <a16:creationId xmlns:a16="http://schemas.microsoft.com/office/drawing/2014/main" id="{516013CB-A1F9-BBF7-327E-4EF600BE21B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xdr:wsDr xmlns:xdr="http://schemas.openxmlformats.org/drawingml/2006/spreadsheetDrawing" xmlns:a="http://schemas.openxmlformats.org/drawingml/2006/main">
  <xdr:absoluteAnchor>
    <xdr:pos x="0" y="0"/>
    <xdr:ext cx="9280071" cy="6041571"/>
    <xdr:graphicFrame macro="">
      <xdr:nvGraphicFramePr>
        <xdr:cNvPr id="55" name="Chart 1">
          <a:extLst>
            <a:ext uri="{FF2B5EF4-FFF2-40B4-BE49-F238E27FC236}">
              <a16:creationId xmlns:a16="http://schemas.microsoft.com/office/drawing/2014/main" id="{CAD79460-4CE6-E746-0F62-CD1DF868CCC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0.12971</cdr:x>
      <cdr:y>0.12181</cdr:y>
    </cdr:from>
    <cdr:to>
      <cdr:x>0.39459</cdr:x>
      <cdr:y>0.20924</cdr:y>
    </cdr:to>
    <cdr:sp macro="" textlink="">
      <cdr:nvSpPr>
        <cdr:cNvPr id="2" name="TextBox 1">
          <a:extLst xmlns:a="http://schemas.openxmlformats.org/drawingml/2006/main">
            <a:ext uri="{FF2B5EF4-FFF2-40B4-BE49-F238E27FC236}">
              <a16:creationId xmlns:a16="http://schemas.microsoft.com/office/drawing/2014/main" id="{9B0C6DB0-4B45-5516-0D3E-8405F0E73EBA}"/>
            </a:ext>
          </a:extLst>
        </cdr:cNvPr>
        <cdr:cNvSpPr txBox="1"/>
      </cdr:nvSpPr>
      <cdr:spPr>
        <a:xfrm xmlns:a="http://schemas.openxmlformats.org/drawingml/2006/main">
          <a:off x="1204008" y="736233"/>
          <a:ext cx="2458788" cy="528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kern="1200" baseline="0">
              <a:solidFill>
                <a:sysClr val="windowText" lastClr="000000"/>
              </a:solidFill>
              <a:latin typeface="Arial" panose="020B0604020202020204" pitchFamily="34" charset="0"/>
            </a:rPr>
            <a:t>Outturn and forecast</a:t>
          </a: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9300882" cy="6062382"/>
    <xdr:graphicFrame macro="">
      <xdr:nvGraphicFramePr>
        <xdr:cNvPr id="3" name="Chart 1">
          <a:extLst>
            <a:ext uri="{FF2B5EF4-FFF2-40B4-BE49-F238E27FC236}">
              <a16:creationId xmlns:a16="http://schemas.microsoft.com/office/drawing/2014/main" id="{3C8D18E2-834A-28D0-D2E6-CA56C6E543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xdr:wsDr xmlns:xdr="http://schemas.openxmlformats.org/drawingml/2006/spreadsheetDrawing" xmlns:a="http://schemas.openxmlformats.org/drawingml/2006/main">
  <xdr:absoluteAnchor>
    <xdr:pos x="0" y="0"/>
    <xdr:ext cx="9284804" cy="6046304"/>
    <xdr:graphicFrame macro="">
      <xdr:nvGraphicFramePr>
        <xdr:cNvPr id="10" name="Chart 1">
          <a:extLst>
            <a:ext uri="{FF2B5EF4-FFF2-40B4-BE49-F238E27FC236}">
              <a16:creationId xmlns:a16="http://schemas.microsoft.com/office/drawing/2014/main" id="{C3CC283C-0AE3-F192-F0A8-88F18798B44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5.xml><?xml version="1.0" encoding="utf-8"?>
<xdr:wsDr xmlns:xdr="http://schemas.openxmlformats.org/drawingml/2006/spreadsheetDrawing" xmlns:a="http://schemas.openxmlformats.org/drawingml/2006/main">
  <xdr:absoluteAnchor>
    <xdr:pos x="0" y="0"/>
    <xdr:ext cx="9292878" cy="6051176"/>
    <xdr:graphicFrame macro="">
      <xdr:nvGraphicFramePr>
        <xdr:cNvPr id="3" name="Chart 1">
          <a:extLst>
            <a:ext uri="{FF2B5EF4-FFF2-40B4-BE49-F238E27FC236}">
              <a16:creationId xmlns:a16="http://schemas.microsoft.com/office/drawing/2014/main" id="{8966B6DE-DC5F-D6B4-20DC-0482B51454C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xdr:wsDr xmlns:xdr="http://schemas.openxmlformats.org/drawingml/2006/spreadsheetDrawing" xmlns:a="http://schemas.openxmlformats.org/drawingml/2006/main">
  <xdr:absoluteAnchor>
    <xdr:pos x="0" y="0"/>
    <xdr:ext cx="9286875" cy="6048375"/>
    <xdr:graphicFrame macro="">
      <xdr:nvGraphicFramePr>
        <xdr:cNvPr id="9" name="Chart 1">
          <a:extLst>
            <a:ext uri="{FF2B5EF4-FFF2-40B4-BE49-F238E27FC236}">
              <a16:creationId xmlns:a16="http://schemas.microsoft.com/office/drawing/2014/main" id="{05E70A99-5734-A2C9-D0AE-1F45FACFCF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7.xml><?xml version="1.0" encoding="utf-8"?>
<xdr:wsDr xmlns:xdr="http://schemas.openxmlformats.org/drawingml/2006/spreadsheetDrawing" xmlns:a="http://schemas.openxmlformats.org/drawingml/2006/main">
  <xdr:absoluteAnchor>
    <xdr:pos x="0" y="0"/>
    <xdr:ext cx="9286875" cy="6048375"/>
    <xdr:graphicFrame macro="">
      <xdr:nvGraphicFramePr>
        <xdr:cNvPr id="4" name="Chart 1">
          <a:extLst>
            <a:ext uri="{FF2B5EF4-FFF2-40B4-BE49-F238E27FC236}">
              <a16:creationId xmlns:a16="http://schemas.microsoft.com/office/drawing/2014/main" id="{9D583C29-0DE2-6499-5E02-815ED62CCA9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C29EB630-DB5C-BBF3-5BBA-490E6C8A40F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9.xml><?xml version="1.0" encoding="utf-8"?>
<xdr:wsDr xmlns:xdr="http://schemas.openxmlformats.org/drawingml/2006/spreadsheetDrawing" xmlns:a="http://schemas.openxmlformats.org/drawingml/2006/main">
  <xdr:absoluteAnchor>
    <xdr:pos x="0" y="0"/>
    <xdr:ext cx="9286875" cy="6048375"/>
    <xdr:graphicFrame macro="">
      <xdr:nvGraphicFramePr>
        <xdr:cNvPr id="12" name="Chart 1">
          <a:extLst>
            <a:ext uri="{FF2B5EF4-FFF2-40B4-BE49-F238E27FC236}">
              <a16:creationId xmlns:a16="http://schemas.microsoft.com/office/drawing/2014/main" id="{0CFDD5E4-543C-9D1D-A576-F59E34AEC3F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cdr:x>
      <cdr:y>0</cdr:y>
    </cdr:from>
    <cdr:to>
      <cdr:x>0.42476</cdr:x>
      <cdr:y>0.06473</cdr:y>
    </cdr:to>
    <cdr:sp macro="" textlink="">
      <cdr:nvSpPr>
        <cdr:cNvPr id="2" name="TextBox 1">
          <a:extLst xmlns:a="http://schemas.openxmlformats.org/drawingml/2006/main">
            <a:ext uri="{FF2B5EF4-FFF2-40B4-BE49-F238E27FC236}">
              <a16:creationId xmlns:a16="http://schemas.microsoft.com/office/drawing/2014/main" id="{293059AB-21F2-AAA1-76E1-5B84955ED36C}"/>
            </a:ext>
          </a:extLst>
        </cdr:cNvPr>
        <cdr:cNvSpPr txBox="1"/>
      </cdr:nvSpPr>
      <cdr:spPr>
        <a:xfrm xmlns:a="http://schemas.openxmlformats.org/drawingml/2006/main">
          <a:off x="0" y="0"/>
          <a:ext cx="3943350" cy="3913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b="1" i="0" kern="1200" baseline="0">
              <a:solidFill>
                <a:sysClr val="windowText" lastClr="000000"/>
              </a:solidFill>
              <a:latin typeface="Arial" panose="020B0604020202020204" pitchFamily="34" charset="0"/>
            </a:rPr>
            <a:t>Change in lifetime consumption %</a:t>
          </a:r>
        </a:p>
      </cdr:txBody>
    </cdr:sp>
  </cdr:relSizeAnchor>
</c:userShapes>
</file>

<file path=xl/drawings/drawing51.xml><?xml version="1.0" encoding="utf-8"?>
<xdr:wsDr xmlns:xdr="http://schemas.openxmlformats.org/drawingml/2006/spreadsheetDrawing" xmlns:a="http://schemas.openxmlformats.org/drawingml/2006/main">
  <xdr:absoluteAnchor>
    <xdr:pos x="0" y="0"/>
    <xdr:ext cx="9300882" cy="6062382"/>
    <xdr:graphicFrame macro="">
      <xdr:nvGraphicFramePr>
        <xdr:cNvPr id="4" name="Chart 1">
          <a:extLst>
            <a:ext uri="{FF2B5EF4-FFF2-40B4-BE49-F238E27FC236}">
              <a16:creationId xmlns:a16="http://schemas.microsoft.com/office/drawing/2014/main" id="{A37CBDD6-C0CA-7AEC-ADE1-DCCC41824FF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cdr:x>
      <cdr:y>0</cdr:y>
    </cdr:from>
    <cdr:to>
      <cdr:x>0.6843</cdr:x>
      <cdr:y>0.11576</cdr:y>
    </cdr:to>
    <cdr:sp macro="" textlink="">
      <cdr:nvSpPr>
        <cdr:cNvPr id="2" name="TextBox 1">
          <a:extLst xmlns:a="http://schemas.openxmlformats.org/drawingml/2006/main">
            <a:ext uri="{FF2B5EF4-FFF2-40B4-BE49-F238E27FC236}">
              <a16:creationId xmlns:a16="http://schemas.microsoft.com/office/drawing/2014/main" id="{293059AB-21F2-AAA1-76E1-5B84955ED36C}"/>
            </a:ext>
          </a:extLst>
        </cdr:cNvPr>
        <cdr:cNvSpPr txBox="1"/>
      </cdr:nvSpPr>
      <cdr:spPr>
        <a:xfrm xmlns:a="http://schemas.openxmlformats.org/drawingml/2006/main">
          <a:off x="0" y="0"/>
          <a:ext cx="6350000" cy="69924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2800" b="1" i="0" kern="1200" baseline="0">
              <a:solidFill>
                <a:sysClr val="windowText" lastClr="000000"/>
              </a:solidFill>
              <a:latin typeface="Arial" panose="020B0604020202020204" pitchFamily="34" charset="0"/>
            </a:rPr>
            <a:t>Change in lifetime consumption (%)</a:t>
          </a:r>
        </a:p>
      </cdr:txBody>
    </cdr:sp>
  </cdr:relSizeAnchor>
</c:userShapes>
</file>

<file path=xl/drawings/drawing53.xml><?xml version="1.0" encoding="utf-8"?>
<xdr:wsDr xmlns:xdr="http://schemas.openxmlformats.org/drawingml/2006/spreadsheetDrawing" xmlns:a="http://schemas.openxmlformats.org/drawingml/2006/main">
  <xdr:absoluteAnchor>
    <xdr:pos x="0" y="0"/>
    <xdr:ext cx="9286875" cy="6048375"/>
    <xdr:graphicFrame macro="">
      <xdr:nvGraphicFramePr>
        <xdr:cNvPr id="15" name="Chart 1">
          <a:extLst>
            <a:ext uri="{FF2B5EF4-FFF2-40B4-BE49-F238E27FC236}">
              <a16:creationId xmlns:a16="http://schemas.microsoft.com/office/drawing/2014/main" id="{455DC2DE-999C-81A0-44E4-4C5404F6ADF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cdr:x>
      <cdr:y>0</cdr:y>
    </cdr:from>
    <cdr:to>
      <cdr:x>0.68143</cdr:x>
      <cdr:y>0.11437</cdr:y>
    </cdr:to>
    <cdr:sp macro="" textlink="">
      <cdr:nvSpPr>
        <cdr:cNvPr id="2" name="TextBox 1">
          <a:extLst xmlns:a="http://schemas.openxmlformats.org/drawingml/2006/main">
            <a:ext uri="{FF2B5EF4-FFF2-40B4-BE49-F238E27FC236}">
              <a16:creationId xmlns:a16="http://schemas.microsoft.com/office/drawing/2014/main" id="{293059AB-21F2-AAA1-76E1-5B84955ED36C}"/>
            </a:ext>
          </a:extLst>
        </cdr:cNvPr>
        <cdr:cNvSpPr txBox="1"/>
      </cdr:nvSpPr>
      <cdr:spPr>
        <a:xfrm xmlns:a="http://schemas.openxmlformats.org/drawingml/2006/main">
          <a:off x="0" y="0"/>
          <a:ext cx="6323318" cy="6908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2800" b="1" i="0" kern="1200" baseline="0">
              <a:solidFill>
                <a:sysClr val="windowText" lastClr="000000"/>
              </a:solidFill>
              <a:latin typeface="Arial" panose="020B0604020202020204" pitchFamily="34" charset="0"/>
            </a:rPr>
            <a:t>Change in lifetime consumption (%)</a:t>
          </a: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9292878" cy="6051176"/>
    <xdr:graphicFrame macro="">
      <xdr:nvGraphicFramePr>
        <xdr:cNvPr id="13" name="Chart 1">
          <a:extLst>
            <a:ext uri="{FF2B5EF4-FFF2-40B4-BE49-F238E27FC236}">
              <a16:creationId xmlns:a16="http://schemas.microsoft.com/office/drawing/2014/main" id="{7EF3DE02-0A2E-976C-BD3E-D2714BB5767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cdr:x>
      <cdr:y>0</cdr:y>
    </cdr:from>
    <cdr:to>
      <cdr:x>0.67338</cdr:x>
      <cdr:y>0.09656</cdr:y>
    </cdr:to>
    <cdr:sp macro="" textlink="">
      <cdr:nvSpPr>
        <cdr:cNvPr id="2" name="TextBox 1">
          <a:extLst xmlns:a="http://schemas.openxmlformats.org/drawingml/2006/main">
            <a:ext uri="{FF2B5EF4-FFF2-40B4-BE49-F238E27FC236}">
              <a16:creationId xmlns:a16="http://schemas.microsoft.com/office/drawing/2014/main" id="{293059AB-21F2-AAA1-76E1-5B84955ED36C}"/>
            </a:ext>
          </a:extLst>
        </cdr:cNvPr>
        <cdr:cNvSpPr txBox="1"/>
      </cdr:nvSpPr>
      <cdr:spPr>
        <a:xfrm xmlns:a="http://schemas.openxmlformats.org/drawingml/2006/main">
          <a:off x="0" y="0"/>
          <a:ext cx="6248612" cy="5832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2800" b="1" i="0" kern="1200" baseline="0">
              <a:solidFill>
                <a:sysClr val="windowText" lastClr="000000"/>
              </a:solidFill>
              <a:latin typeface="Arial" panose="020B0604020202020204" pitchFamily="34" charset="0"/>
            </a:rPr>
            <a:t>Change in lifetime consumption (%)</a:t>
          </a: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9292878" cy="6051176"/>
    <xdr:graphicFrame macro="">
      <xdr:nvGraphicFramePr>
        <xdr:cNvPr id="18" name="Chart 1">
          <a:extLst>
            <a:ext uri="{FF2B5EF4-FFF2-40B4-BE49-F238E27FC236}">
              <a16:creationId xmlns:a16="http://schemas.microsoft.com/office/drawing/2014/main" id="{8BB5CBEB-E9BD-4E88-B386-B3FB0545B0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cdr:x>
      <cdr:y>0</cdr:y>
    </cdr:from>
    <cdr:to>
      <cdr:x>0.86141</cdr:x>
      <cdr:y>0.09524</cdr:y>
    </cdr:to>
    <cdr:sp macro="" textlink="">
      <cdr:nvSpPr>
        <cdr:cNvPr id="2" name="TextBox 1">
          <a:extLst xmlns:a="http://schemas.openxmlformats.org/drawingml/2006/main">
            <a:ext uri="{FF2B5EF4-FFF2-40B4-BE49-F238E27FC236}">
              <a16:creationId xmlns:a16="http://schemas.microsoft.com/office/drawing/2014/main" id="{293059AB-21F2-AAA1-76E1-5B84955ED36C}"/>
            </a:ext>
          </a:extLst>
        </cdr:cNvPr>
        <cdr:cNvSpPr txBox="1"/>
      </cdr:nvSpPr>
      <cdr:spPr>
        <a:xfrm xmlns:a="http://schemas.openxmlformats.org/drawingml/2006/main">
          <a:off x="0" y="0"/>
          <a:ext cx="7993529" cy="57529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2800" b="1" i="0" kern="1200" baseline="0">
              <a:solidFill>
                <a:sysClr val="windowText" lastClr="000000"/>
              </a:solidFill>
              <a:latin typeface="Arial" panose="020B0604020202020204" pitchFamily="34" charset="0"/>
            </a:rPr>
            <a:t>Change in lifetime consumption (%)</a:t>
          </a:r>
        </a:p>
      </cdr:txBody>
    </cdr:sp>
  </cdr:relSizeAnchor>
</c:userShapes>
</file>

<file path=xl/drawings/drawing59.xml><?xml version="1.0" encoding="utf-8"?>
<xdr:wsDr xmlns:xdr="http://schemas.openxmlformats.org/drawingml/2006/spreadsheetDrawing" xmlns:a="http://schemas.openxmlformats.org/drawingml/2006/main">
  <xdr:absoluteAnchor>
    <xdr:pos x="0" y="0"/>
    <xdr:ext cx="9286875" cy="6048375"/>
    <xdr:graphicFrame macro="">
      <xdr:nvGraphicFramePr>
        <xdr:cNvPr id="10" name="Chart 1">
          <a:extLst>
            <a:ext uri="{FF2B5EF4-FFF2-40B4-BE49-F238E27FC236}">
              <a16:creationId xmlns:a16="http://schemas.microsoft.com/office/drawing/2014/main" id="{E1298CAE-76CE-39F9-3D9B-881641F4EE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0.26491</cdr:x>
      <cdr:y>0.497</cdr:y>
    </cdr:from>
    <cdr:to>
      <cdr:x>0.40371</cdr:x>
      <cdr:y>0.57357</cdr:y>
    </cdr:to>
    <cdr:sp macro="" textlink="">
      <cdr:nvSpPr>
        <cdr:cNvPr id="2" name="TextBox 1">
          <a:extLst xmlns:a="http://schemas.openxmlformats.org/drawingml/2006/main">
            <a:ext uri="{FF2B5EF4-FFF2-40B4-BE49-F238E27FC236}">
              <a16:creationId xmlns:a16="http://schemas.microsoft.com/office/drawing/2014/main" id="{A499E6A6-6DEB-8385-5936-EA09014755FF}"/>
            </a:ext>
          </a:extLst>
        </cdr:cNvPr>
        <cdr:cNvSpPr txBox="1"/>
      </cdr:nvSpPr>
      <cdr:spPr>
        <a:xfrm xmlns:a="http://schemas.openxmlformats.org/drawingml/2006/main">
          <a:off x="2458357" y="3002643"/>
          <a:ext cx="1288143" cy="462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100" kern="1200"/>
        </a:p>
      </cdr:txBody>
    </cdr:sp>
  </cdr:relSizeAnchor>
  <cdr:relSizeAnchor xmlns:cdr="http://schemas.openxmlformats.org/drawingml/2006/chartDrawing">
    <cdr:from>
      <cdr:x>0.22245</cdr:x>
      <cdr:y>0.4575</cdr:y>
    </cdr:from>
    <cdr:to>
      <cdr:x>0.42773</cdr:x>
      <cdr:y>0.50776</cdr:y>
    </cdr:to>
    <cdr:sp macro="" textlink="">
      <cdr:nvSpPr>
        <cdr:cNvPr id="3" name="TextBox 2">
          <a:extLst xmlns:a="http://schemas.openxmlformats.org/drawingml/2006/main">
            <a:ext uri="{FF2B5EF4-FFF2-40B4-BE49-F238E27FC236}">
              <a16:creationId xmlns:a16="http://schemas.microsoft.com/office/drawing/2014/main" id="{8834AA29-93FE-279A-1A08-8B7020DB6B42}"/>
            </a:ext>
          </a:extLst>
        </cdr:cNvPr>
        <cdr:cNvSpPr txBox="1"/>
      </cdr:nvSpPr>
      <cdr:spPr>
        <a:xfrm xmlns:a="http://schemas.openxmlformats.org/drawingml/2006/main">
          <a:off x="2065122" y="2765681"/>
          <a:ext cx="1905758" cy="3038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kern="1200">
              <a:latin typeface="Arial" panose="020B0604020202020204" pitchFamily="34" charset="0"/>
              <a:cs typeface="Arial" panose="020B0604020202020204" pitchFamily="34" charset="0"/>
            </a:rPr>
            <a:t>Contributions</a:t>
          </a:r>
        </a:p>
      </cdr:txBody>
    </cdr:sp>
  </cdr:relSizeAnchor>
  <cdr:relSizeAnchor xmlns:cdr="http://schemas.openxmlformats.org/drawingml/2006/chartDrawing">
    <cdr:from>
      <cdr:x>0.10175</cdr:x>
      <cdr:y>0.13618</cdr:y>
    </cdr:from>
    <cdr:to>
      <cdr:x>0.35582</cdr:x>
      <cdr:y>0.18553</cdr:y>
    </cdr:to>
    <cdr:sp macro="" textlink="">
      <cdr:nvSpPr>
        <cdr:cNvPr id="4" name="TextBox 3">
          <a:extLst xmlns:a="http://schemas.openxmlformats.org/drawingml/2006/main">
            <a:ext uri="{FF2B5EF4-FFF2-40B4-BE49-F238E27FC236}">
              <a16:creationId xmlns:a16="http://schemas.microsoft.com/office/drawing/2014/main" id="{44515585-0F6E-6841-F44A-F45F8E83D3B3}"/>
            </a:ext>
          </a:extLst>
        </cdr:cNvPr>
        <cdr:cNvSpPr txBox="1"/>
      </cdr:nvSpPr>
      <cdr:spPr>
        <a:xfrm xmlns:a="http://schemas.openxmlformats.org/drawingml/2006/main">
          <a:off x="944217" y="822738"/>
          <a:ext cx="2357783" cy="2981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kern="1200">
              <a:solidFill>
                <a:sysClr val="windowText" lastClr="000000"/>
              </a:solidFill>
              <a:latin typeface="Arial" panose="020B0604020202020204" pitchFamily="34" charset="0"/>
              <a:cs typeface="Arial" panose="020B0604020202020204" pitchFamily="34" charset="0"/>
            </a:rPr>
            <a:t>Outturn and forecast</a:t>
          </a:r>
        </a:p>
      </cdr:txBody>
    </cdr:sp>
  </cdr:relSizeAnchor>
  <cdr:relSizeAnchor xmlns:cdr="http://schemas.openxmlformats.org/drawingml/2006/chartDrawing">
    <cdr:from>
      <cdr:x>0.76965</cdr:x>
      <cdr:y>0.28978</cdr:y>
    </cdr:from>
    <cdr:to>
      <cdr:x>0.93256</cdr:x>
      <cdr:y>0.34005</cdr:y>
    </cdr:to>
    <cdr:sp macro="" textlink="">
      <cdr:nvSpPr>
        <cdr:cNvPr id="5" name="TextBox 1">
          <a:extLst xmlns:a="http://schemas.openxmlformats.org/drawingml/2006/main">
            <a:ext uri="{FF2B5EF4-FFF2-40B4-BE49-F238E27FC236}">
              <a16:creationId xmlns:a16="http://schemas.microsoft.com/office/drawing/2014/main" id="{74F18FEE-1959-B897-1BD1-F3CF190AE4F6}"/>
            </a:ext>
          </a:extLst>
        </cdr:cNvPr>
        <cdr:cNvSpPr txBox="1"/>
      </cdr:nvSpPr>
      <cdr:spPr>
        <a:xfrm xmlns:a="http://schemas.openxmlformats.org/drawingml/2006/main">
          <a:off x="7145181" y="1751785"/>
          <a:ext cx="1512408" cy="30389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Withdrawals</a:t>
          </a:r>
        </a:p>
      </cdr:txBody>
    </cdr:sp>
  </cdr:relSizeAnchor>
  <cdr:relSizeAnchor xmlns:cdr="http://schemas.openxmlformats.org/drawingml/2006/chartDrawing">
    <cdr:from>
      <cdr:x>0.1564</cdr:x>
      <cdr:y>0.4319</cdr:y>
    </cdr:from>
    <cdr:to>
      <cdr:x>0.22661</cdr:x>
      <cdr:y>0.47212</cdr:y>
    </cdr:to>
    <cdr:cxnSp macro="">
      <cdr:nvCxnSpPr>
        <cdr:cNvPr id="7" name="Straight Arrow Connector 6">
          <a:extLst xmlns:a="http://schemas.openxmlformats.org/drawingml/2006/main">
            <a:ext uri="{FF2B5EF4-FFF2-40B4-BE49-F238E27FC236}">
              <a16:creationId xmlns:a16="http://schemas.microsoft.com/office/drawing/2014/main" id="{C1EFDB22-30A0-52D4-990E-6A9E06153AA6}"/>
            </a:ext>
          </a:extLst>
        </cdr:cNvPr>
        <cdr:cNvCxnSpPr/>
      </cdr:nvCxnSpPr>
      <cdr:spPr>
        <a:xfrm xmlns:a="http://schemas.openxmlformats.org/drawingml/2006/main" flipH="1" flipV="1">
          <a:off x="1451934" y="2610924"/>
          <a:ext cx="651808" cy="243138"/>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0.35871</cdr:x>
      <cdr:y>0.36427</cdr:y>
    </cdr:from>
    <cdr:to>
      <cdr:x>0.3593</cdr:x>
      <cdr:y>0.46846</cdr:y>
    </cdr:to>
    <cdr:cxnSp macro="">
      <cdr:nvCxnSpPr>
        <cdr:cNvPr id="8" name="Straight Arrow Connector 7">
          <a:extLst xmlns:a="http://schemas.openxmlformats.org/drawingml/2006/main">
            <a:ext uri="{FF2B5EF4-FFF2-40B4-BE49-F238E27FC236}">
              <a16:creationId xmlns:a16="http://schemas.microsoft.com/office/drawing/2014/main" id="{31A7B17B-5978-BE3A-A9A2-60AB1D3F3C7C}"/>
            </a:ext>
          </a:extLst>
        </cdr:cNvPr>
        <cdr:cNvCxnSpPr/>
      </cdr:nvCxnSpPr>
      <cdr:spPr>
        <a:xfrm xmlns:a="http://schemas.openxmlformats.org/drawingml/2006/main" flipV="1">
          <a:off x="3330119" y="2202087"/>
          <a:ext cx="5477" cy="629849"/>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0.88746</cdr:x>
      <cdr:y>0.20734</cdr:y>
    </cdr:from>
    <cdr:to>
      <cdr:x>0.90341</cdr:x>
      <cdr:y>0.28887</cdr:y>
    </cdr:to>
    <cdr:cxnSp macro="">
      <cdr:nvCxnSpPr>
        <cdr:cNvPr id="11" name="Straight Arrow Connector 10">
          <a:extLst xmlns:a="http://schemas.openxmlformats.org/drawingml/2006/main">
            <a:ext uri="{FF2B5EF4-FFF2-40B4-BE49-F238E27FC236}">
              <a16:creationId xmlns:a16="http://schemas.microsoft.com/office/drawing/2014/main" id="{31A7B17B-5978-BE3A-A9A2-60AB1D3F3C7C}"/>
            </a:ext>
          </a:extLst>
        </cdr:cNvPr>
        <cdr:cNvCxnSpPr/>
      </cdr:nvCxnSpPr>
      <cdr:spPr>
        <a:xfrm xmlns:a="http://schemas.openxmlformats.org/drawingml/2006/main" flipV="1">
          <a:off x="8238894" y="1253419"/>
          <a:ext cx="148075" cy="492865"/>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61.xml><?xml version="1.0" encoding="utf-8"?>
<xdr:wsDr xmlns:xdr="http://schemas.openxmlformats.org/drawingml/2006/spreadsheetDrawing" xmlns:a="http://schemas.openxmlformats.org/drawingml/2006/main">
  <xdr:absoluteAnchor>
    <xdr:pos x="0" y="0"/>
    <xdr:ext cx="9300882" cy="6062382"/>
    <xdr:graphicFrame macro="">
      <xdr:nvGraphicFramePr>
        <xdr:cNvPr id="9" name="Chart 1">
          <a:extLst>
            <a:ext uri="{FF2B5EF4-FFF2-40B4-BE49-F238E27FC236}">
              <a16:creationId xmlns:a16="http://schemas.microsoft.com/office/drawing/2014/main" id="{5A547908-294C-5D9B-BDAF-DB9D4CD9B76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xdr:wsDr xmlns:xdr="http://schemas.openxmlformats.org/drawingml/2006/spreadsheetDrawing" xmlns:a="http://schemas.openxmlformats.org/drawingml/2006/main">
  <xdr:absoluteAnchor>
    <xdr:pos x="0" y="0"/>
    <xdr:ext cx="9300882" cy="6062382"/>
    <xdr:graphicFrame macro="">
      <xdr:nvGraphicFramePr>
        <xdr:cNvPr id="13" name="Chart 1">
          <a:extLst>
            <a:ext uri="{FF2B5EF4-FFF2-40B4-BE49-F238E27FC236}">
              <a16:creationId xmlns:a16="http://schemas.microsoft.com/office/drawing/2014/main" id="{AC236C0A-A43F-4FBA-CFF7-1732007B00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3.xml><?xml version="1.0" encoding="utf-8"?>
<c:userShapes xmlns:c="http://schemas.openxmlformats.org/drawingml/2006/chart">
  <cdr:relSizeAnchor xmlns:cdr="http://schemas.openxmlformats.org/drawingml/2006/chartDrawing">
    <cdr:from>
      <cdr:x>0</cdr:x>
      <cdr:y>0</cdr:y>
    </cdr:from>
    <cdr:to>
      <cdr:x>0.44203</cdr:x>
      <cdr:y>0.06473</cdr:y>
    </cdr:to>
    <cdr:sp macro="" textlink="">
      <cdr:nvSpPr>
        <cdr:cNvPr id="2" name="TextBox 1">
          <a:extLst xmlns:a="http://schemas.openxmlformats.org/drawingml/2006/main">
            <a:ext uri="{FF2B5EF4-FFF2-40B4-BE49-F238E27FC236}">
              <a16:creationId xmlns:a16="http://schemas.microsoft.com/office/drawing/2014/main" id="{293059AB-21F2-AAA1-76E1-5B84955ED36C}"/>
            </a:ext>
          </a:extLst>
        </cdr:cNvPr>
        <cdr:cNvSpPr txBox="1"/>
      </cdr:nvSpPr>
      <cdr:spPr>
        <a:xfrm xmlns:a="http://schemas.openxmlformats.org/drawingml/2006/main">
          <a:off x="0" y="0"/>
          <a:ext cx="4101353" cy="3912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b="1" i="0" kern="1200" baseline="0">
              <a:solidFill>
                <a:sysClr val="windowText" lastClr="000000"/>
              </a:solidFill>
              <a:latin typeface="Arial" panose="020B0604020202020204" pitchFamily="34" charset="0"/>
            </a:rPr>
            <a:t>Change in lifetime consumption (%)</a:t>
          </a:r>
        </a:p>
      </cdr:txBody>
    </cdr:sp>
  </cdr:relSizeAnchor>
</c:userShapes>
</file>

<file path=xl/drawings/drawing64.xml><?xml version="1.0" encoding="utf-8"?>
<xdr:wsDr xmlns:xdr="http://schemas.openxmlformats.org/drawingml/2006/spreadsheetDrawing" xmlns:a="http://schemas.openxmlformats.org/drawingml/2006/main">
  <xdr:absoluteAnchor>
    <xdr:pos x="0" y="0"/>
    <xdr:ext cx="9286875" cy="6048375"/>
    <xdr:graphicFrame macro="">
      <xdr:nvGraphicFramePr>
        <xdr:cNvPr id="2" name="Chart 1">
          <a:extLst>
            <a:ext uri="{FF2B5EF4-FFF2-40B4-BE49-F238E27FC236}">
              <a16:creationId xmlns:a16="http://schemas.microsoft.com/office/drawing/2014/main" id="{2E3FB325-18F5-7A92-6D3F-24950AD8A1C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5.xml><?xml version="1.0" encoding="utf-8"?>
<xdr:wsDr xmlns:xdr="http://schemas.openxmlformats.org/drawingml/2006/spreadsheetDrawing" xmlns:a="http://schemas.openxmlformats.org/drawingml/2006/main">
  <xdr:absoluteAnchor>
    <xdr:pos x="0" y="0"/>
    <xdr:ext cx="9280071" cy="6041571"/>
    <xdr:graphicFrame macro="">
      <xdr:nvGraphicFramePr>
        <xdr:cNvPr id="10" name="Chart 1">
          <a:extLst>
            <a:ext uri="{FF2B5EF4-FFF2-40B4-BE49-F238E27FC236}">
              <a16:creationId xmlns:a16="http://schemas.microsoft.com/office/drawing/2014/main" id="{99305064-D143-4851-6F46-483CFCFD437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0.00098</cdr:x>
      <cdr:y>0.0045</cdr:y>
    </cdr:from>
    <cdr:to>
      <cdr:x>0.29326</cdr:x>
      <cdr:y>0.06156</cdr:y>
    </cdr:to>
    <cdr:sp macro="" textlink="">
      <cdr:nvSpPr>
        <cdr:cNvPr id="2" name="TextBox 1">
          <a:extLst xmlns:a="http://schemas.openxmlformats.org/drawingml/2006/main">
            <a:ext uri="{FF2B5EF4-FFF2-40B4-BE49-F238E27FC236}">
              <a16:creationId xmlns:a16="http://schemas.microsoft.com/office/drawing/2014/main" id="{B7B01AB4-5614-9DCA-FABA-A35234A130C9}"/>
            </a:ext>
          </a:extLst>
        </cdr:cNvPr>
        <cdr:cNvSpPr txBox="1"/>
      </cdr:nvSpPr>
      <cdr:spPr>
        <a:xfrm xmlns:a="http://schemas.openxmlformats.org/drawingml/2006/main">
          <a:off x="9072" y="27214"/>
          <a:ext cx="2712357" cy="3447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b="1" kern="1200">
              <a:latin typeface="Arial" panose="020B0604020202020204" pitchFamily="34" charset="0"/>
              <a:cs typeface="Arial" panose="020B0604020202020204" pitchFamily="34" charset="0"/>
            </a:rPr>
            <a:t>% of</a:t>
          </a:r>
          <a:r>
            <a:rPr lang="en-NZ" sz="1800" b="1" kern="1200" baseline="0">
              <a:latin typeface="Arial" panose="020B0604020202020204" pitchFamily="34" charset="0"/>
              <a:cs typeface="Arial" panose="020B0604020202020204" pitchFamily="34" charset="0"/>
            </a:rPr>
            <a:t> average wage</a:t>
          </a:r>
          <a:endParaRPr lang="en-NZ" sz="1800" b="1" kern="1200">
            <a:latin typeface="Arial" panose="020B0604020202020204" pitchFamily="34" charset="0"/>
            <a:cs typeface="Arial" panose="020B0604020202020204" pitchFamily="34" charset="0"/>
          </a:endParaRPr>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9286875" cy="6048375"/>
    <xdr:graphicFrame macro="">
      <xdr:nvGraphicFramePr>
        <xdr:cNvPr id="2" name="Chart 1">
          <a:extLst>
            <a:ext uri="{FF2B5EF4-FFF2-40B4-BE49-F238E27FC236}">
              <a16:creationId xmlns:a16="http://schemas.microsoft.com/office/drawing/2014/main" id="{AD0A48D1-70F6-534A-21D4-6C56E72565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0.38643</cdr:x>
      <cdr:y>0.29859</cdr:y>
    </cdr:from>
    <cdr:to>
      <cdr:x>0.41231</cdr:x>
      <cdr:y>0.93728</cdr:y>
    </cdr:to>
    <cdr:sp macro="" textlink="">
      <cdr:nvSpPr>
        <cdr:cNvPr id="2" name="Rectangle 1">
          <a:extLst xmlns:a="http://schemas.openxmlformats.org/drawingml/2006/main">
            <a:ext uri="{FF2B5EF4-FFF2-40B4-BE49-F238E27FC236}">
              <a16:creationId xmlns:a16="http://schemas.microsoft.com/office/drawing/2014/main" id="{F5187881-3E34-BCBF-EAB9-F99462313762}"/>
            </a:ext>
          </a:extLst>
        </cdr:cNvPr>
        <cdr:cNvSpPr/>
      </cdr:nvSpPr>
      <cdr:spPr>
        <a:xfrm xmlns:a="http://schemas.openxmlformats.org/drawingml/2006/main">
          <a:off x="3585882" y="1803614"/>
          <a:ext cx="240126" cy="3858025"/>
        </a:xfrm>
        <a:prstGeom xmlns:a="http://schemas.openxmlformats.org/drawingml/2006/main" prst="rect">
          <a:avLst/>
        </a:prstGeom>
        <a:noFill xmlns:a="http://schemas.openxmlformats.org/drawingml/2006/main"/>
        <a:ln xmlns:a="http://schemas.openxmlformats.org/drawingml/2006/main" w="28575">
          <a:solidFill>
            <a:srgbClr val="FF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NZ" kern="1200"/>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9300882" cy="6062382"/>
    <xdr:graphicFrame macro="">
      <xdr:nvGraphicFramePr>
        <xdr:cNvPr id="2" name="Chart 1">
          <a:extLst>
            <a:ext uri="{FF2B5EF4-FFF2-40B4-BE49-F238E27FC236}">
              <a16:creationId xmlns:a16="http://schemas.microsoft.com/office/drawing/2014/main" id="{DBDE3EFC-51D2-8BCB-1620-AE3E05BE1C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xdr:wsDr xmlns:xdr="http://schemas.openxmlformats.org/drawingml/2006/spreadsheetDrawing" xmlns:a="http://schemas.openxmlformats.org/drawingml/2006/main">
  <xdr:absoluteAnchor>
    <xdr:pos x="0" y="0"/>
    <xdr:ext cx="9280071" cy="6041571"/>
    <xdr:graphicFrame macro="">
      <xdr:nvGraphicFramePr>
        <xdr:cNvPr id="17" name="Chart 1">
          <a:extLst>
            <a:ext uri="{FF2B5EF4-FFF2-40B4-BE49-F238E27FC236}">
              <a16:creationId xmlns:a16="http://schemas.microsoft.com/office/drawing/2014/main" id="{8FA1C6C5-466E-4A93-125F-1332BEFBEED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1.xml><?xml version="1.0" encoding="utf-8"?>
<c:userShapes xmlns:c="http://schemas.openxmlformats.org/drawingml/2006/chart">
  <cdr:relSizeAnchor xmlns:cdr="http://schemas.openxmlformats.org/drawingml/2006/chartDrawing">
    <cdr:from>
      <cdr:x>1.07758E-7</cdr:x>
      <cdr:y>0</cdr:y>
    </cdr:from>
    <cdr:to>
      <cdr:x>0.20381</cdr:x>
      <cdr:y>0.09484</cdr:y>
    </cdr:to>
    <cdr:sp macro="" textlink="">
      <cdr:nvSpPr>
        <cdr:cNvPr id="2" name="TextBox 1">
          <a:extLst xmlns:a="http://schemas.openxmlformats.org/drawingml/2006/main">
            <a:ext uri="{FF2B5EF4-FFF2-40B4-BE49-F238E27FC236}">
              <a16:creationId xmlns:a16="http://schemas.microsoft.com/office/drawing/2014/main" id="{049DCF15-E347-A4A1-16AD-2CECFE1B4638}"/>
            </a:ext>
          </a:extLst>
        </cdr:cNvPr>
        <cdr:cNvSpPr txBox="1"/>
      </cdr:nvSpPr>
      <cdr:spPr>
        <a:xfrm xmlns:a="http://schemas.openxmlformats.org/drawingml/2006/main">
          <a:off x="1" y="0"/>
          <a:ext cx="1891392" cy="572983"/>
        </a:xfrm>
        <a:prstGeom xmlns:a="http://schemas.openxmlformats.org/drawingml/2006/main" prst="rect">
          <a:avLst/>
        </a:prstGeom>
      </cdr:spPr>
      <cdr:txBody>
        <a:bodyPr xmlns:a="http://schemas.openxmlformats.org/drawingml/2006/main" vertOverflow="clip" vert="horz" rtlCol="0" anchor="t" anchorCtr="1"/>
        <a:lstStyle xmlns:a="http://schemas.openxmlformats.org/drawingml/2006/main"/>
        <a:p xmlns:a="http://schemas.openxmlformats.org/drawingml/2006/main">
          <a:r>
            <a:rPr lang="en-NZ" sz="2800" b="1" kern="1200">
              <a:solidFill>
                <a:srgbClr val="000000"/>
              </a:solidFill>
              <a:latin typeface="Arial" panose="020B0604020202020204" pitchFamily="34" charset="0"/>
            </a:rPr>
            <a:t>% of GDP</a:t>
          </a:r>
        </a:p>
      </cdr:txBody>
    </cdr:sp>
  </cdr:relSizeAnchor>
</c:userShapes>
</file>

<file path=xl/drawings/drawing72.xml><?xml version="1.0" encoding="utf-8"?>
<xdr:wsDr xmlns:xdr="http://schemas.openxmlformats.org/drawingml/2006/spreadsheetDrawing" xmlns:a="http://schemas.openxmlformats.org/drawingml/2006/main">
  <xdr:absoluteAnchor>
    <xdr:pos x="0" y="0"/>
    <xdr:ext cx="9286875" cy="6048375"/>
    <xdr:graphicFrame macro="">
      <xdr:nvGraphicFramePr>
        <xdr:cNvPr id="3" name="Chart 1">
          <a:extLst>
            <a:ext uri="{FF2B5EF4-FFF2-40B4-BE49-F238E27FC236}">
              <a16:creationId xmlns:a16="http://schemas.microsoft.com/office/drawing/2014/main" id="{A745240A-91FE-DBF6-5E24-47E04CA28A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3.xml><?xml version="1.0" encoding="utf-8"?>
<c:userShapes xmlns:c="http://schemas.openxmlformats.org/drawingml/2006/chart">
  <cdr:relSizeAnchor xmlns:cdr="http://schemas.openxmlformats.org/drawingml/2006/chartDrawing">
    <cdr:from>
      <cdr:x>1.07609E-7</cdr:x>
      <cdr:y>0</cdr:y>
    </cdr:from>
    <cdr:to>
      <cdr:x>0.19638</cdr:x>
      <cdr:y>0.08229</cdr:y>
    </cdr:to>
    <cdr:sp macro="" textlink="">
      <cdr:nvSpPr>
        <cdr:cNvPr id="2" name="TextBox 1">
          <a:extLst xmlns:a="http://schemas.openxmlformats.org/drawingml/2006/main">
            <a:ext uri="{FF2B5EF4-FFF2-40B4-BE49-F238E27FC236}">
              <a16:creationId xmlns:a16="http://schemas.microsoft.com/office/drawing/2014/main" id="{5A3B796C-AF22-321C-C80F-C85351C8DAA6}"/>
            </a:ext>
          </a:extLst>
        </cdr:cNvPr>
        <cdr:cNvSpPr txBox="1"/>
      </cdr:nvSpPr>
      <cdr:spPr>
        <a:xfrm xmlns:a="http://schemas.openxmlformats.org/drawingml/2006/main">
          <a:off x="1" y="0"/>
          <a:ext cx="1824958" cy="497951"/>
        </a:xfrm>
        <a:prstGeom xmlns:a="http://schemas.openxmlformats.org/drawingml/2006/main" prst="rect">
          <a:avLst/>
        </a:prstGeom>
      </cdr:spPr>
      <cdr:txBody>
        <a:bodyPr xmlns:a="http://schemas.openxmlformats.org/drawingml/2006/main" vertOverflow="clip" vert="horz" rtlCol="0" anchor="t" anchorCtr="1"/>
        <a:lstStyle xmlns:a="http://schemas.openxmlformats.org/drawingml/2006/main"/>
        <a:p xmlns:a="http://schemas.openxmlformats.org/drawingml/2006/main">
          <a:r>
            <a:rPr lang="en-NZ" sz="2800" b="1" kern="1200">
              <a:solidFill>
                <a:srgbClr val="000000"/>
              </a:solidFill>
              <a:latin typeface="Arial" panose="020B0604020202020204" pitchFamily="34" charset="0"/>
            </a:rPr>
            <a:t>% of GDP</a:t>
          </a:r>
        </a:p>
      </cdr:txBody>
    </cdr:sp>
  </cdr:relSizeAnchor>
</c:userShapes>
</file>

<file path=xl/drawings/drawing74.xml><?xml version="1.0" encoding="utf-8"?>
<xdr:wsDr xmlns:xdr="http://schemas.openxmlformats.org/drawingml/2006/spreadsheetDrawing" xmlns:a="http://schemas.openxmlformats.org/drawingml/2006/main">
  <xdr:absoluteAnchor>
    <xdr:pos x="0" y="0"/>
    <xdr:ext cx="9292878" cy="6051176"/>
    <xdr:graphicFrame macro="">
      <xdr:nvGraphicFramePr>
        <xdr:cNvPr id="19" name="Chart 1">
          <a:extLst>
            <a:ext uri="{FF2B5EF4-FFF2-40B4-BE49-F238E27FC236}">
              <a16:creationId xmlns:a16="http://schemas.microsoft.com/office/drawing/2014/main" id="{2952DE91-C13F-C706-4467-EE1959FA945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5.xml><?xml version="1.0" encoding="utf-8"?>
<c:userShapes xmlns:c="http://schemas.openxmlformats.org/drawingml/2006/chart">
  <cdr:relSizeAnchor xmlns:cdr="http://schemas.openxmlformats.org/drawingml/2006/chartDrawing">
    <cdr:from>
      <cdr:x>0</cdr:x>
      <cdr:y>0</cdr:y>
    </cdr:from>
    <cdr:to>
      <cdr:x>0.20155</cdr:x>
      <cdr:y>0.08926</cdr:y>
    </cdr:to>
    <cdr:sp macro="" textlink="">
      <cdr:nvSpPr>
        <cdr:cNvPr id="2" name="TextBox 1">
          <a:extLst xmlns:a="http://schemas.openxmlformats.org/drawingml/2006/main">
            <a:ext uri="{FF2B5EF4-FFF2-40B4-BE49-F238E27FC236}">
              <a16:creationId xmlns:a16="http://schemas.microsoft.com/office/drawing/2014/main" id="{E5A77D55-58FA-8F5F-08DF-257F5D41718E}"/>
            </a:ext>
          </a:extLst>
        </cdr:cNvPr>
        <cdr:cNvSpPr txBox="1"/>
      </cdr:nvSpPr>
      <cdr:spPr>
        <a:xfrm xmlns:a="http://schemas.openxmlformats.org/drawingml/2006/main">
          <a:off x="0" y="0"/>
          <a:ext cx="1872983" cy="540128"/>
        </a:xfrm>
        <a:prstGeom xmlns:a="http://schemas.openxmlformats.org/drawingml/2006/main" prst="rect">
          <a:avLst/>
        </a:prstGeom>
      </cdr:spPr>
      <cdr:txBody>
        <a:bodyPr xmlns:a="http://schemas.openxmlformats.org/drawingml/2006/main" vertOverflow="clip" vert="horz" rtlCol="0" anchor="t" anchorCtr="1"/>
        <a:lstStyle xmlns:a="http://schemas.openxmlformats.org/drawingml/2006/main"/>
        <a:p xmlns:a="http://schemas.openxmlformats.org/drawingml/2006/main">
          <a:pPr algn="l"/>
          <a:r>
            <a:rPr lang="en-NZ" sz="2800" b="1" kern="1200">
              <a:solidFill>
                <a:srgbClr val="000000"/>
              </a:solidFill>
              <a:latin typeface="Arial" panose="020B0604020202020204" pitchFamily="34" charset="0"/>
            </a:rPr>
            <a:t>%</a:t>
          </a:r>
          <a:r>
            <a:rPr lang="en-NZ" sz="2800" b="1" kern="1200" baseline="0">
              <a:solidFill>
                <a:srgbClr val="000000"/>
              </a:solidFill>
              <a:latin typeface="Arial" panose="020B0604020202020204" pitchFamily="34" charset="0"/>
            </a:rPr>
            <a:t> of GDP</a:t>
          </a:r>
          <a:endParaRPr lang="en-NZ" sz="2800" b="1" kern="1200">
            <a:solidFill>
              <a:srgbClr val="000000"/>
            </a:solidFill>
            <a:latin typeface="Arial" panose="020B0604020202020204" pitchFamily="34" charset="0"/>
          </a:endParaRPr>
        </a:p>
      </cdr:txBody>
    </cdr:sp>
  </cdr:relSizeAnchor>
</c:userShapes>
</file>

<file path=xl/drawings/drawing76.xml><?xml version="1.0" encoding="utf-8"?>
<xdr:wsDr xmlns:xdr="http://schemas.openxmlformats.org/drawingml/2006/spreadsheetDrawing" xmlns:a="http://schemas.openxmlformats.org/drawingml/2006/main">
  <xdr:absoluteAnchor>
    <xdr:pos x="0" y="0"/>
    <xdr:ext cx="9286875" cy="6048375"/>
    <xdr:graphicFrame macro="">
      <xdr:nvGraphicFramePr>
        <xdr:cNvPr id="30" name="Chart 1">
          <a:extLst>
            <a:ext uri="{FF2B5EF4-FFF2-40B4-BE49-F238E27FC236}">
              <a16:creationId xmlns:a16="http://schemas.microsoft.com/office/drawing/2014/main" id="{8FA194E9-463D-1A98-F259-BE2EA5184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7.xml><?xml version="1.0" encoding="utf-8"?>
<c:userShapes xmlns:c="http://schemas.openxmlformats.org/drawingml/2006/chart">
  <cdr:relSizeAnchor xmlns:cdr="http://schemas.openxmlformats.org/drawingml/2006/chartDrawing">
    <cdr:from>
      <cdr:x>0.00427</cdr:x>
      <cdr:y>0</cdr:y>
    </cdr:from>
    <cdr:to>
      <cdr:x>0.05339</cdr:x>
      <cdr:y>0.09763</cdr:y>
    </cdr:to>
    <cdr:sp macro="" textlink="">
      <cdr:nvSpPr>
        <cdr:cNvPr id="2" name="TextBox 1">
          <a:extLst xmlns:a="http://schemas.openxmlformats.org/drawingml/2006/main">
            <a:ext uri="{FF2B5EF4-FFF2-40B4-BE49-F238E27FC236}">
              <a16:creationId xmlns:a16="http://schemas.microsoft.com/office/drawing/2014/main" id="{BD61983F-BB3D-4715-927B-B309DD752C4C}"/>
            </a:ext>
          </a:extLst>
        </cdr:cNvPr>
        <cdr:cNvSpPr txBox="1"/>
      </cdr:nvSpPr>
      <cdr:spPr>
        <a:xfrm xmlns:a="http://schemas.openxmlformats.org/drawingml/2006/main">
          <a:off x="39700" y="0"/>
          <a:ext cx="456466" cy="590776"/>
        </a:xfrm>
        <a:prstGeom xmlns:a="http://schemas.openxmlformats.org/drawingml/2006/main" prst="rect">
          <a:avLst/>
        </a:prstGeom>
      </cdr:spPr>
      <cdr:txBody>
        <a:bodyPr xmlns:a="http://schemas.openxmlformats.org/drawingml/2006/main" vertOverflow="clip" vert="horz" rtlCol="0" anchor="t" anchorCtr="1"/>
        <a:lstStyle xmlns:a="http://schemas.openxmlformats.org/drawingml/2006/main"/>
        <a:p xmlns:a="http://schemas.openxmlformats.org/drawingml/2006/main">
          <a:r>
            <a:rPr lang="en-NZ" sz="2800" b="1" kern="1200">
              <a:solidFill>
                <a:srgbClr val="000000"/>
              </a:solidFill>
              <a:latin typeface="Arial" panose="020B0604020202020204" pitchFamily="34" charset="0"/>
            </a:rPr>
            <a:t>%</a:t>
          </a:r>
        </a:p>
      </cdr:txBody>
    </cdr:sp>
  </cdr:relSizeAnchor>
</c:userShapes>
</file>

<file path=xl/persons/person.xml><?xml version="1.0" encoding="utf-8"?>
<personList xmlns="http://schemas.microsoft.com/office/spreadsheetml/2018/threadedcomments" xmlns:x="http://schemas.openxmlformats.org/spreadsheetml/2006/main">
  <person displayName="Carlos So [TSY]" id="{FDF92482-85B7-4833-B162-CE851B8FCCBE}" userId="S::Carlos.So@treasury.govt.nz::82a356ca-85e9-48bf-ab8a-38d3f8d1368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C18" dT="2025-07-21T01:42:21.71" personId="{FDF92482-85B7-4833-B162-CE851B8FCCBE}" id="{EFE6CE4C-DC03-4C4B-B173-EA7A5CE97E52}">
    <text xml:space="preserve">Note: numbers between 2005-2018  in 2016, 2021 and 2025 sourced from Tsy fiscal time series (1972-2014) data. </text>
  </threadedComment>
  <threadedComment ref="D18" dT="2025-07-21T01:42:21.71" personId="{FDF92482-85B7-4833-B162-CE851B8FCCBE}" id="{FF70F6AC-007D-457D-BCB6-79EBCAFBC02C}">
    <text xml:space="preserve">Note: numbers between 2005-2018  in 2016, 2021 and 2025 sourced from Tsy fiscal time series (1972-2014) data. </text>
  </threadedComment>
</ThreadedComments>
</file>

<file path=xl/threadedComments/threadedComment2.xml><?xml version="1.0" encoding="utf-8"?>
<ThreadedComments xmlns="http://schemas.microsoft.com/office/spreadsheetml/2018/threadedcomments" xmlns:x="http://schemas.openxmlformats.org/spreadsheetml/2006/main">
  <threadedComment ref="W19" dT="2025-08-17T23:39:39.19" personId="{FDF92482-85B7-4833-B162-CE851B8FCCBE}" id="{86F2E9F7-08AD-4A4E-87F3-DB55D09CBEEA}">
    <text>Table 5.2 BEFU 2021 for years 2016-2018
https://www.treasury.govt.nz/sites/default/files/2021-05/befu21.pdf</text>
    <extLst>
      <x:ext xmlns:xltc2="http://schemas.microsoft.com/office/spreadsheetml/2020/threadedcomments2" uri="{F7C98A9C-CBB3-438F-8F68-D28B6AF4A901}">
        <xltc2:checksum>2059651179</xltc2:checksum>
        <xltc2:hyperlink startIndex="41" length="67" url="https://www.treasury.govt.nz/sites/default/files/2021-05/befu21.pdf"/>
      </x:ext>
    </extLs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treasury.govt.nz/publications/ltfp/he-tirohanga-mokopuna-2025"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3.xml"/><Relationship Id="rId4" Type="http://schemas.microsoft.com/office/2017/10/relationships/threadedComment" Target="../threadedComments/threadedComment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05CF-90AD-43AD-A674-F9C947274F1F}">
  <sheetPr codeName="Sheet1"/>
  <dimension ref="A1:A15"/>
  <sheetViews>
    <sheetView showGridLines="0" tabSelected="1" workbookViewId="0"/>
  </sheetViews>
  <sheetFormatPr defaultRowHeight="15" x14ac:dyDescent="0.25"/>
  <cols>
    <col min="1" max="1" width="145.140625" customWidth="1"/>
  </cols>
  <sheetData>
    <row r="1" spans="1:1" ht="18" x14ac:dyDescent="0.25">
      <c r="A1" s="64" t="s">
        <v>371</v>
      </c>
    </row>
    <row r="2" spans="1:1" x14ac:dyDescent="0.25">
      <c r="A2" s="65" t="s">
        <v>213</v>
      </c>
    </row>
    <row r="3" spans="1:1" x14ac:dyDescent="0.25">
      <c r="A3" s="65"/>
    </row>
    <row r="4" spans="1:1" x14ac:dyDescent="0.25">
      <c r="A4" s="65" t="s">
        <v>209</v>
      </c>
    </row>
    <row r="5" spans="1:1" x14ac:dyDescent="0.25">
      <c r="A5" s="106" t="s">
        <v>370</v>
      </c>
    </row>
    <row r="6" spans="1:1" x14ac:dyDescent="0.25">
      <c r="A6" s="66"/>
    </row>
    <row r="7" spans="1:1" x14ac:dyDescent="0.25">
      <c r="A7" s="65"/>
    </row>
    <row r="8" spans="1:1" x14ac:dyDescent="0.25">
      <c r="A8" s="65" t="s">
        <v>372</v>
      </c>
    </row>
    <row r="9" spans="1:1" x14ac:dyDescent="0.25">
      <c r="A9" s="67"/>
    </row>
    <row r="10" spans="1:1" x14ac:dyDescent="0.25">
      <c r="A10" s="67"/>
    </row>
    <row r="11" spans="1:1" x14ac:dyDescent="0.25">
      <c r="A11" s="68" t="s">
        <v>210</v>
      </c>
    </row>
    <row r="12" spans="1:1" x14ac:dyDescent="0.25">
      <c r="A12" s="69"/>
    </row>
    <row r="13" spans="1:1" x14ac:dyDescent="0.25">
      <c r="A13" s="69"/>
    </row>
    <row r="14" spans="1:1" ht="25.5" x14ac:dyDescent="0.25">
      <c r="A14" s="70" t="s">
        <v>211</v>
      </c>
    </row>
    <row r="15" spans="1:1" ht="39" x14ac:dyDescent="0.25">
      <c r="A15" s="69" t="s">
        <v>212</v>
      </c>
    </row>
  </sheetData>
  <hyperlinks>
    <hyperlink ref="A5" r:id="rId1" xr:uid="{FAED0B4B-571F-4D03-9928-6D71C93612E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995A-2372-41E2-A7DE-BE1FEC56B52F}">
  <dimension ref="A1:B47"/>
  <sheetViews>
    <sheetView showGridLines="0" zoomScale="115" zoomScaleNormal="115" workbookViewId="0"/>
  </sheetViews>
  <sheetFormatPr defaultColWidth="8.7109375" defaultRowHeight="16.5" x14ac:dyDescent="0.3"/>
  <cols>
    <col min="1" max="1" width="13.85546875" style="1" customWidth="1"/>
    <col min="2" max="2" width="81.140625" style="1" customWidth="1"/>
    <col min="3" max="16384" width="8.7109375" style="1"/>
  </cols>
  <sheetData>
    <row r="1" spans="1:2" s="13" customFormat="1" x14ac:dyDescent="0.3">
      <c r="A1" s="105" t="s">
        <v>214</v>
      </c>
      <c r="B1" s="105" t="s">
        <v>215</v>
      </c>
    </row>
    <row r="2" spans="1:2" x14ac:dyDescent="0.3">
      <c r="A2" s="104" t="s">
        <v>216</v>
      </c>
      <c r="B2" s="1" t="s">
        <v>315</v>
      </c>
    </row>
    <row r="3" spans="1:2" x14ac:dyDescent="0.3">
      <c r="A3" s="104" t="s">
        <v>217</v>
      </c>
      <c r="B3" s="1" t="s">
        <v>316</v>
      </c>
    </row>
    <row r="4" spans="1:2" x14ac:dyDescent="0.3">
      <c r="A4" s="104" t="s">
        <v>218</v>
      </c>
      <c r="B4" s="1" t="s">
        <v>317</v>
      </c>
    </row>
    <row r="5" spans="1:2" x14ac:dyDescent="0.3">
      <c r="A5" s="104" t="s">
        <v>219</v>
      </c>
      <c r="B5" s="1" t="s">
        <v>318</v>
      </c>
    </row>
    <row r="6" spans="1:2" x14ac:dyDescent="0.3">
      <c r="A6" s="104" t="s">
        <v>220</v>
      </c>
      <c r="B6" s="1" t="s">
        <v>320</v>
      </c>
    </row>
    <row r="7" spans="1:2" x14ac:dyDescent="0.3">
      <c r="A7" s="104" t="s">
        <v>221</v>
      </c>
      <c r="B7" s="1" t="s">
        <v>321</v>
      </c>
    </row>
    <row r="8" spans="1:2" x14ac:dyDescent="0.3">
      <c r="A8" s="104" t="s">
        <v>222</v>
      </c>
      <c r="B8" s="1" t="s">
        <v>322</v>
      </c>
    </row>
    <row r="9" spans="1:2" x14ac:dyDescent="0.3">
      <c r="A9" s="104" t="s">
        <v>223</v>
      </c>
      <c r="B9" s="1" t="s">
        <v>323</v>
      </c>
    </row>
    <row r="10" spans="1:2" x14ac:dyDescent="0.3">
      <c r="A10" s="104" t="s">
        <v>224</v>
      </c>
      <c r="B10" s="1" t="s">
        <v>324</v>
      </c>
    </row>
    <row r="11" spans="1:2" x14ac:dyDescent="0.3">
      <c r="A11" s="104" t="s">
        <v>225</v>
      </c>
      <c r="B11" s="1" t="s">
        <v>325</v>
      </c>
    </row>
    <row r="12" spans="1:2" x14ac:dyDescent="0.3">
      <c r="A12" s="104" t="s">
        <v>226</v>
      </c>
      <c r="B12" s="1" t="s">
        <v>329</v>
      </c>
    </row>
    <row r="13" spans="1:2" x14ac:dyDescent="0.3">
      <c r="A13" s="104" t="s">
        <v>227</v>
      </c>
      <c r="B13" s="1" t="s">
        <v>329</v>
      </c>
    </row>
    <row r="14" spans="1:2" x14ac:dyDescent="0.3">
      <c r="A14" s="104" t="s">
        <v>228</v>
      </c>
      <c r="B14" s="1" t="s">
        <v>327</v>
      </c>
    </row>
    <row r="15" spans="1:2" x14ac:dyDescent="0.3">
      <c r="A15" s="104" t="s">
        <v>229</v>
      </c>
      <c r="B15" s="1" t="s">
        <v>331</v>
      </c>
    </row>
    <row r="16" spans="1:2" x14ac:dyDescent="0.3">
      <c r="A16" s="104" t="s">
        <v>230</v>
      </c>
      <c r="B16" s="1" t="s">
        <v>333</v>
      </c>
    </row>
    <row r="17" spans="1:2" x14ac:dyDescent="0.3">
      <c r="A17" s="104" t="s">
        <v>231</v>
      </c>
      <c r="B17" s="1" t="s">
        <v>335</v>
      </c>
    </row>
    <row r="18" spans="1:2" x14ac:dyDescent="0.3">
      <c r="A18" s="104" t="s">
        <v>232</v>
      </c>
      <c r="B18" s="1" t="s">
        <v>336</v>
      </c>
    </row>
    <row r="19" spans="1:2" x14ac:dyDescent="0.3">
      <c r="A19" s="104" t="s">
        <v>233</v>
      </c>
      <c r="B19" s="1" t="s">
        <v>338</v>
      </c>
    </row>
    <row r="20" spans="1:2" x14ac:dyDescent="0.3">
      <c r="A20" s="104" t="s">
        <v>234</v>
      </c>
      <c r="B20" s="1" t="s">
        <v>339</v>
      </c>
    </row>
    <row r="21" spans="1:2" x14ac:dyDescent="0.3">
      <c r="A21" s="104" t="s">
        <v>235</v>
      </c>
      <c r="B21" s="1" t="s">
        <v>340</v>
      </c>
    </row>
    <row r="22" spans="1:2" x14ac:dyDescent="0.3">
      <c r="A22" s="104" t="s">
        <v>236</v>
      </c>
      <c r="B22" s="1" t="s">
        <v>341</v>
      </c>
    </row>
    <row r="23" spans="1:2" x14ac:dyDescent="0.3">
      <c r="A23" s="104" t="s">
        <v>237</v>
      </c>
      <c r="B23" s="1" t="s">
        <v>342</v>
      </c>
    </row>
    <row r="24" spans="1:2" x14ac:dyDescent="0.3">
      <c r="A24" s="104" t="s">
        <v>238</v>
      </c>
      <c r="B24" s="1" t="s">
        <v>343</v>
      </c>
    </row>
    <row r="25" spans="1:2" x14ac:dyDescent="0.3">
      <c r="A25" s="104" t="s">
        <v>239</v>
      </c>
      <c r="B25" s="1" t="s">
        <v>345</v>
      </c>
    </row>
    <row r="26" spans="1:2" x14ac:dyDescent="0.3">
      <c r="A26" s="104" t="s">
        <v>240</v>
      </c>
      <c r="B26" s="1" t="s">
        <v>346</v>
      </c>
    </row>
    <row r="27" spans="1:2" x14ac:dyDescent="0.3">
      <c r="A27" s="104" t="s">
        <v>241</v>
      </c>
      <c r="B27" s="1" t="s">
        <v>347</v>
      </c>
    </row>
    <row r="28" spans="1:2" x14ac:dyDescent="0.3">
      <c r="A28" s="104" t="s">
        <v>242</v>
      </c>
      <c r="B28" s="1" t="s">
        <v>348</v>
      </c>
    </row>
    <row r="29" spans="1:2" x14ac:dyDescent="0.3">
      <c r="A29" s="104" t="s">
        <v>243</v>
      </c>
      <c r="B29" s="1" t="s">
        <v>349</v>
      </c>
    </row>
    <row r="30" spans="1:2" x14ac:dyDescent="0.3">
      <c r="A30" s="104" t="s">
        <v>244</v>
      </c>
      <c r="B30" s="1" t="s">
        <v>350</v>
      </c>
    </row>
    <row r="31" spans="1:2" x14ac:dyDescent="0.3">
      <c r="A31" s="104" t="s">
        <v>245</v>
      </c>
      <c r="B31" s="1" t="s">
        <v>351</v>
      </c>
    </row>
    <row r="32" spans="1:2" x14ac:dyDescent="0.3">
      <c r="A32" s="104" t="s">
        <v>246</v>
      </c>
      <c r="B32" s="1" t="s">
        <v>352</v>
      </c>
    </row>
    <row r="33" spans="1:2" x14ac:dyDescent="0.3">
      <c r="A33" s="104" t="s">
        <v>247</v>
      </c>
      <c r="B33" s="1" t="s">
        <v>353</v>
      </c>
    </row>
    <row r="34" spans="1:2" x14ac:dyDescent="0.3">
      <c r="A34" s="104" t="s">
        <v>248</v>
      </c>
      <c r="B34" s="1" t="s">
        <v>354</v>
      </c>
    </row>
    <row r="35" spans="1:2" x14ac:dyDescent="0.3">
      <c r="A35" s="104" t="s">
        <v>249</v>
      </c>
      <c r="B35" s="1" t="s">
        <v>355</v>
      </c>
    </row>
    <row r="36" spans="1:2" x14ac:dyDescent="0.3">
      <c r="A36" s="104" t="s">
        <v>250</v>
      </c>
      <c r="B36" s="1" t="s">
        <v>356</v>
      </c>
    </row>
    <row r="37" spans="1:2" x14ac:dyDescent="0.3">
      <c r="A37" s="104" t="s">
        <v>251</v>
      </c>
      <c r="B37" s="1" t="s">
        <v>357</v>
      </c>
    </row>
    <row r="38" spans="1:2" x14ac:dyDescent="0.3">
      <c r="A38" s="104" t="s">
        <v>252</v>
      </c>
      <c r="B38" s="1" t="s">
        <v>360</v>
      </c>
    </row>
    <row r="39" spans="1:2" x14ac:dyDescent="0.3">
      <c r="A39" s="104" t="s">
        <v>253</v>
      </c>
      <c r="B39" s="1" t="s">
        <v>359</v>
      </c>
    </row>
    <row r="40" spans="1:2" x14ac:dyDescent="0.3">
      <c r="A40" s="104" t="s">
        <v>254</v>
      </c>
      <c r="B40" s="1" t="s">
        <v>369</v>
      </c>
    </row>
    <row r="41" spans="1:2" x14ac:dyDescent="0.3">
      <c r="A41" s="104" t="s">
        <v>255</v>
      </c>
      <c r="B41" s="1" t="s">
        <v>361</v>
      </c>
    </row>
    <row r="42" spans="1:2" x14ac:dyDescent="0.3">
      <c r="A42" s="104" t="s">
        <v>256</v>
      </c>
      <c r="B42" s="1" t="s">
        <v>362</v>
      </c>
    </row>
    <row r="43" spans="1:2" x14ac:dyDescent="0.3">
      <c r="A43" s="104" t="s">
        <v>257</v>
      </c>
      <c r="B43" s="1" t="s">
        <v>363</v>
      </c>
    </row>
    <row r="44" spans="1:2" x14ac:dyDescent="0.3">
      <c r="A44" s="104" t="s">
        <v>258</v>
      </c>
      <c r="B44" s="1" t="s">
        <v>364</v>
      </c>
    </row>
    <row r="45" spans="1:2" x14ac:dyDescent="0.3">
      <c r="A45" s="104" t="s">
        <v>259</v>
      </c>
      <c r="B45" s="1" t="s">
        <v>365</v>
      </c>
    </row>
    <row r="46" spans="1:2" x14ac:dyDescent="0.3">
      <c r="A46" s="104" t="s">
        <v>260</v>
      </c>
      <c r="B46" s="1" t="s">
        <v>366</v>
      </c>
    </row>
    <row r="47" spans="1:2" x14ac:dyDescent="0.3">
      <c r="A47" s="104" t="s">
        <v>261</v>
      </c>
      <c r="B47" s="1" t="s">
        <v>314</v>
      </c>
    </row>
  </sheetData>
  <phoneticPr fontId="18" type="noConversion"/>
  <hyperlinks>
    <hyperlink ref="A2" location="'Fig 1 data'!A1" display="Fig 1" xr:uid="{3400938E-B8A5-4B10-92CD-16DA06B8A0A7}"/>
    <hyperlink ref="A3" location="'Fig 2 data'!A1" display="Fig 2" xr:uid="{9CF02A0D-6F77-43EE-98B2-5FE7FE59D3DE}"/>
    <hyperlink ref="A4" location="'Fig 3 data'!A1" display="Fig 3" xr:uid="{4AFFCE98-083B-4CC8-9C6E-C4FEACD29A0A}"/>
    <hyperlink ref="A5" location="'Fig 4 data'!A1" display="Fig 4" xr:uid="{B4698507-DD72-4544-8813-2E7B9A0BED38}"/>
    <hyperlink ref="A6" location="'Fig 5 data'!A1" display="Fig 5" xr:uid="{17CEE617-8090-4DF1-9AB0-456690D6E96E}"/>
    <hyperlink ref="A7" location="'Fig 6 data'!A1" display="Fig 6" xr:uid="{14901AF4-FFFA-46A9-A75E-27DEFBF89392}"/>
    <hyperlink ref="A8" location="'Fig 7 data'!A1" display="Fig 7" xr:uid="{44E5E3DB-C691-4460-847F-B25C05D6D9A2}"/>
    <hyperlink ref="A9" location="'Fig 8 data'!A1" display="Fig 8" xr:uid="{C5DD450B-AA98-4E32-828C-7A72E8504BE7}"/>
    <hyperlink ref="A10" location="'Fig 9 data'!A1" display="Fig 9" xr:uid="{02F93EAF-0E75-4A29-8BD0-D733EA2A6C23}"/>
    <hyperlink ref="A11" location="'Fig 10 data'!A1" display="Fig 10" xr:uid="{4288471F-8963-4EDA-9A44-1839EAF8DC63}"/>
    <hyperlink ref="A12" location="'Fig 11 data'!A1" display="Fig 11" xr:uid="{B4C249ED-C563-4D5C-A18C-584DF8AA8A2A}"/>
    <hyperlink ref="A13" location="'Fig 12 data'!A1" display="Fig 12" xr:uid="{F91ED8E3-43F9-437F-9167-60B3DD550984}"/>
    <hyperlink ref="A14" location="'Fig 13 data'!A1" display="Fig 13" xr:uid="{058555CD-C7CD-4A8D-8DE2-C73390843D23}"/>
    <hyperlink ref="A15" location="'Fig 14 data'!A1" display="Fig 14" xr:uid="{DAAFC45C-6ED1-4350-B7A7-90F0C57847EC}"/>
    <hyperlink ref="A16" location="'Fig 15 data'!A1" display="Fig 15" xr:uid="{FB523BDA-896D-41BA-A20E-14A675E72565}"/>
    <hyperlink ref="A17" location="'Fig 16 data'!A1" display="Fig 16" xr:uid="{2F1E4C64-7D7B-4270-8459-A8A3F7374A39}"/>
    <hyperlink ref="A18" location="'Fig 17 data'!A1" display="Fig 17" xr:uid="{28913903-86CC-45A0-AEEB-1D27F060DB99}"/>
    <hyperlink ref="A19" location="'Fig 18 data'!A1" display="Fig 18" xr:uid="{FA67DFB8-365B-4A1A-BDAB-2309DE03647B}"/>
    <hyperlink ref="A20" location="'Fig 19 data'!A1" display="Fig 19" xr:uid="{656BB2E4-122B-42E0-AC83-EDB3FC0702E8}"/>
    <hyperlink ref="A21" location="'Fig 20 data'!A1" display="Fig 20" xr:uid="{AFF5D83B-B745-48E5-9F70-12DB0F2F154E}"/>
    <hyperlink ref="A22" location="'Fig 21 data'!A1" display="Fig 21" xr:uid="{C9AA2782-F371-4DA9-956D-6EACEFF75FAE}"/>
    <hyperlink ref="A23" location="'Fig 22 data'!A1" display="Fig 22" xr:uid="{BF213230-2404-4ADE-962B-F80D1589A2BF}"/>
    <hyperlink ref="A24" location="'Fig 23 data'!A1" display="Fig 23" xr:uid="{4AF24794-49B9-41F6-935A-4B455D328168}"/>
    <hyperlink ref="A25" location="'Fig 24 data'!A1" display="Fig 24" xr:uid="{0802CE59-C179-4817-A0BD-75FA270FD23D}"/>
    <hyperlink ref="A26" location="'Fig 25 data'!A1" display="Fig 25" xr:uid="{98AA5672-781F-4250-8BBF-DC859FB1531A}"/>
    <hyperlink ref="A27" location="'Fig 26 data'!A1" display="Fig 26" xr:uid="{9D6FF928-172F-4E22-83A0-FA09FF052757}"/>
    <hyperlink ref="A28" location="'Fig 27 data'!A1" display="Fig 27" xr:uid="{EBD875BF-9CEA-4168-8A99-E9EFA50895CF}"/>
    <hyperlink ref="A29" location="'Fig 28 data'!A1" display="Fig 28" xr:uid="{21F2730F-3B8E-42CA-82E4-3A35E035C86D}"/>
    <hyperlink ref="A30" location="'Fig 29 data'!A1" display="Fig 29" xr:uid="{6E8376AA-7A66-4613-B7F3-BEBBAF1C0701}"/>
    <hyperlink ref="A31" location="'Fig 30 data'!A1" display="Fig 30" xr:uid="{5136FDAB-7B3B-40D1-B85D-A98373E8B990}"/>
    <hyperlink ref="A32" location="'Fig 31 data'!A1" display="Fig 31" xr:uid="{0B589204-8322-4572-9437-7D4CEE997DC5}"/>
    <hyperlink ref="A33" location="'Fig 32 data'!A1" display="Fig 32" xr:uid="{0415F8EF-DD3D-432D-9E14-2559D48C38A1}"/>
    <hyperlink ref="A34" location="'Fig 33 data'!A1" display="Fig 33" xr:uid="{EFC513FE-DA26-4995-8A7D-60854460AD6D}"/>
    <hyperlink ref="A35" location="'Fig 34 data'!A1" display="Fig 34" xr:uid="{EAEB7826-5A93-41A2-B553-0E4C754A9772}"/>
    <hyperlink ref="A36" location="'Fig 35 data'!A1" display="Fig 35" xr:uid="{EC06680A-3C78-474B-88FF-AB14C041D1EF}"/>
    <hyperlink ref="A37" location="'Fig 36 data'!A1" display="Fig 36" xr:uid="{094481A5-E215-4161-8FBC-768FA1586854}"/>
    <hyperlink ref="A38" location="'Fig 37 data'!A1" display="Fig 37" xr:uid="{2E5583CB-F275-413A-A5F5-EF4C01EBD33F}"/>
    <hyperlink ref="A39" location="'Fig 38 data'!A1" display="Fig 38" xr:uid="{A823D80B-EEAE-441B-86D8-254338425B71}"/>
    <hyperlink ref="A40" location="'Fig 39 data'!A1" display="Fig 39" xr:uid="{756838E3-BE74-4CA8-931C-B0B28769F031}"/>
    <hyperlink ref="A41" location="'Fig 40 data'!A1" display="Fig 40" xr:uid="{0FE18D92-1829-4A09-B43E-1F88B6CB8009}"/>
    <hyperlink ref="A42" location="'Fig 41 data'!A1" display="Fig 41" xr:uid="{53B48B32-4C92-4F71-A9BF-91F0125D4134}"/>
    <hyperlink ref="A43" location="'Fig 42 data'!A1" display="Fig 42" xr:uid="{8E2E68B5-1262-405B-B8FE-3AD977B982AD}"/>
    <hyperlink ref="A44" location="'Fig 43 data'!A1" display="Fig 43" xr:uid="{AAC050C9-17C9-4411-892A-3517C022DAE5}"/>
    <hyperlink ref="A45" location="'Fig 44 data'!A1" display="Fig 44" xr:uid="{0A738B05-2657-4253-9A44-D2B71A70D6E3}"/>
    <hyperlink ref="A46" location="'Fig 45 data'!A1" display="Fig 45" xr:uid="{391F7D5C-6969-47EE-AE18-3BF683464CE2}"/>
    <hyperlink ref="A47" location="'Fig 46 data'!A1" display="Fig 46" xr:uid="{74968471-C607-422C-9759-02A162F97DD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018E-A5EB-40D9-ACBE-8ACC5EC421F6}">
  <sheetPr codeName="Sheet18"/>
  <dimension ref="B2:X104"/>
  <sheetViews>
    <sheetView showGridLines="0" zoomScaleNormal="100" workbookViewId="0"/>
  </sheetViews>
  <sheetFormatPr defaultColWidth="8.7109375" defaultRowHeight="16.5" x14ac:dyDescent="0.3"/>
  <cols>
    <col min="1" max="10" width="8.7109375" style="1"/>
    <col min="11" max="11" width="8.7109375" style="29"/>
    <col min="12" max="12" width="8.5703125" style="29" customWidth="1"/>
    <col min="13" max="16384" width="8.7109375" style="1"/>
  </cols>
  <sheetData>
    <row r="2" spans="2:24" ht="14.45" customHeight="1" x14ac:dyDescent="0.3">
      <c r="B2" s="9" t="s">
        <v>270</v>
      </c>
      <c r="C2" s="8"/>
      <c r="D2" s="8"/>
      <c r="E2" s="8"/>
      <c r="F2" s="8"/>
      <c r="G2" s="8"/>
      <c r="H2" s="8"/>
      <c r="I2" s="8"/>
      <c r="J2" s="8"/>
      <c r="L2" s="114"/>
      <c r="M2" s="114"/>
      <c r="N2" s="114"/>
      <c r="O2" s="114"/>
      <c r="P2" s="114"/>
      <c r="Q2" s="114"/>
      <c r="R2" s="114"/>
      <c r="S2" s="114"/>
      <c r="T2" s="114"/>
      <c r="U2" s="114"/>
      <c r="V2" s="114"/>
      <c r="W2" s="114"/>
      <c r="X2" s="114"/>
    </row>
    <row r="3" spans="2:24" x14ac:dyDescent="0.3">
      <c r="B3" s="8" t="s">
        <v>273</v>
      </c>
      <c r="C3" s="8"/>
      <c r="D3" s="8"/>
      <c r="E3" s="8"/>
      <c r="F3" s="8"/>
      <c r="G3" s="8"/>
      <c r="H3" s="8"/>
      <c r="I3" s="8"/>
      <c r="J3" s="8"/>
    </row>
    <row r="4" spans="2:24" ht="14.45" customHeight="1" x14ac:dyDescent="0.3">
      <c r="S4" s="113"/>
      <c r="T4" s="113"/>
      <c r="U4" s="113"/>
      <c r="V4" s="113"/>
      <c r="W4" s="113"/>
      <c r="X4" s="113"/>
    </row>
    <row r="5" spans="2:24" x14ac:dyDescent="0.3">
      <c r="C5" s="1">
        <v>2025</v>
      </c>
      <c r="D5" s="1">
        <v>2021</v>
      </c>
      <c r="E5" s="1">
        <v>2016</v>
      </c>
      <c r="F5" s="1">
        <v>2013</v>
      </c>
      <c r="G5" s="1">
        <v>2009</v>
      </c>
      <c r="H5" s="1">
        <v>2006</v>
      </c>
    </row>
    <row r="6" spans="2:24" x14ac:dyDescent="0.3">
      <c r="C6" s="1" t="s">
        <v>155</v>
      </c>
      <c r="D6" s="1" t="s">
        <v>155</v>
      </c>
      <c r="E6" s="1" t="s">
        <v>155</v>
      </c>
      <c r="F6" s="1" t="s">
        <v>155</v>
      </c>
      <c r="G6" s="1" t="s">
        <v>155</v>
      </c>
      <c r="H6" s="1" t="s">
        <v>155</v>
      </c>
    </row>
    <row r="7" spans="2:24" x14ac:dyDescent="0.3">
      <c r="B7" s="11">
        <v>2004</v>
      </c>
      <c r="H7" s="4">
        <v>4.0613600000000005</v>
      </c>
      <c r="Q7" s="4"/>
      <c r="X7" s="78"/>
    </row>
    <row r="8" spans="2:24" x14ac:dyDescent="0.3">
      <c r="B8" s="11">
        <v>2005</v>
      </c>
      <c r="H8" s="4">
        <v>4.09598</v>
      </c>
      <c r="Q8" s="4"/>
      <c r="X8" s="78"/>
    </row>
    <row r="9" spans="2:24" x14ac:dyDescent="0.3">
      <c r="B9" s="11">
        <v>2006</v>
      </c>
      <c r="C9" s="4">
        <v>4.1669000000000009</v>
      </c>
      <c r="D9" s="4">
        <v>4.1864799999999978</v>
      </c>
      <c r="E9" s="4">
        <v>4.1846300000000003</v>
      </c>
      <c r="F9" s="4">
        <v>4.1846300000000003</v>
      </c>
      <c r="G9" s="4">
        <v>4.1846300000000003</v>
      </c>
      <c r="H9" s="4">
        <v>4.1265700000000001</v>
      </c>
      <c r="L9" s="87"/>
      <c r="M9" s="4"/>
      <c r="N9" s="4"/>
      <c r="O9" s="4"/>
      <c r="P9" s="4"/>
      <c r="Q9" s="4"/>
      <c r="S9" s="78"/>
      <c r="T9" s="78"/>
      <c r="U9" s="78"/>
      <c r="V9" s="78"/>
      <c r="W9" s="78"/>
      <c r="X9" s="78"/>
    </row>
    <row r="10" spans="2:24" x14ac:dyDescent="0.3">
      <c r="B10" s="11">
        <v>2007</v>
      </c>
      <c r="C10" s="4">
        <v>4.2119999999999989</v>
      </c>
      <c r="D10" s="4">
        <v>4.2258099999999965</v>
      </c>
      <c r="E10" s="4">
        <v>4.2238600000000002</v>
      </c>
      <c r="F10" s="4">
        <v>4.2282799999999998</v>
      </c>
      <c r="G10" s="4">
        <v>4.2282799999999998</v>
      </c>
      <c r="H10" s="4">
        <v>4.1560100000000002</v>
      </c>
      <c r="L10" s="87"/>
      <c r="M10" s="4"/>
      <c r="N10" s="4"/>
      <c r="O10" s="4"/>
      <c r="P10" s="4"/>
      <c r="Q10" s="4"/>
      <c r="S10" s="78"/>
      <c r="T10" s="78"/>
      <c r="U10" s="78"/>
      <c r="V10" s="78"/>
      <c r="W10" s="78"/>
      <c r="X10" s="78"/>
    </row>
    <row r="11" spans="2:24" x14ac:dyDescent="0.3">
      <c r="B11" s="11">
        <v>2008</v>
      </c>
      <c r="C11" s="4">
        <v>4.248899999999999</v>
      </c>
      <c r="D11" s="4">
        <v>4.2619699999999998</v>
      </c>
      <c r="E11" s="4">
        <v>4.2597500000000004</v>
      </c>
      <c r="F11" s="4">
        <v>4.2688800000000002</v>
      </c>
      <c r="G11" s="4">
        <v>4.2686599999999997</v>
      </c>
      <c r="H11" s="4">
        <v>4.1883100000000004</v>
      </c>
      <c r="L11" s="87"/>
      <c r="M11" s="4"/>
      <c r="N11" s="4"/>
      <c r="O11" s="4"/>
      <c r="P11" s="4"/>
      <c r="Q11" s="4"/>
      <c r="S11" s="78"/>
      <c r="T11" s="78"/>
      <c r="U11" s="78"/>
      <c r="V11" s="78"/>
      <c r="W11" s="78"/>
      <c r="X11" s="78"/>
    </row>
    <row r="12" spans="2:24" x14ac:dyDescent="0.3">
      <c r="B12" s="11">
        <v>2009</v>
      </c>
      <c r="C12" s="4">
        <v>4.286500000000002</v>
      </c>
      <c r="D12" s="4">
        <v>4.3049300000000015</v>
      </c>
      <c r="E12" s="4">
        <v>4.3025900000000004</v>
      </c>
      <c r="F12" s="4">
        <v>4.3157899999999998</v>
      </c>
      <c r="G12" s="4">
        <v>4.3140999999999998</v>
      </c>
      <c r="H12" s="4">
        <v>4.2237200000000001</v>
      </c>
      <c r="L12" s="87"/>
      <c r="M12" s="4"/>
      <c r="N12" s="4"/>
      <c r="O12" s="4"/>
      <c r="P12" s="4"/>
      <c r="Q12" s="4"/>
      <c r="S12" s="78"/>
      <c r="T12" s="78"/>
      <c r="U12" s="78"/>
      <c r="V12" s="78"/>
      <c r="W12" s="78"/>
      <c r="X12" s="78"/>
    </row>
    <row r="13" spans="2:24" x14ac:dyDescent="0.3">
      <c r="B13" s="11">
        <v>2010</v>
      </c>
      <c r="C13" s="4">
        <v>4.3364999999999965</v>
      </c>
      <c r="D13" s="4">
        <v>4.353159999999999</v>
      </c>
      <c r="E13" s="4">
        <v>4.35067</v>
      </c>
      <c r="F13" s="4">
        <v>4.36782</v>
      </c>
      <c r="G13" s="4">
        <v>4.3637100000000002</v>
      </c>
      <c r="H13" s="4">
        <v>4.2582899999999997</v>
      </c>
      <c r="L13" s="87"/>
      <c r="M13" s="4"/>
      <c r="N13" s="4"/>
      <c r="O13" s="4"/>
      <c r="P13" s="4"/>
      <c r="Q13" s="4"/>
      <c r="S13" s="78"/>
      <c r="T13" s="78"/>
      <c r="U13" s="78"/>
      <c r="V13" s="78"/>
      <c r="W13" s="78"/>
      <c r="X13" s="78"/>
    </row>
    <row r="14" spans="2:24" x14ac:dyDescent="0.3">
      <c r="B14" s="11">
        <v>2011</v>
      </c>
      <c r="C14" s="4">
        <v>4.3758000000000008</v>
      </c>
      <c r="D14" s="4">
        <v>4.3864800000000006</v>
      </c>
      <c r="E14" s="4">
        <v>4.3839699999999997</v>
      </c>
      <c r="F14" s="4">
        <v>4.4050799999999999</v>
      </c>
      <c r="G14" s="4">
        <v>4.4072800000000001</v>
      </c>
      <c r="H14" s="4">
        <v>4.2919200000000002</v>
      </c>
      <c r="L14" s="87"/>
      <c r="M14" s="4"/>
      <c r="N14" s="4"/>
      <c r="O14" s="4"/>
      <c r="P14" s="4"/>
      <c r="Q14" s="4"/>
      <c r="S14" s="78"/>
      <c r="T14" s="78"/>
      <c r="U14" s="78"/>
      <c r="V14" s="78"/>
      <c r="W14" s="78"/>
      <c r="X14" s="78"/>
    </row>
    <row r="15" spans="2:24" x14ac:dyDescent="0.3">
      <c r="B15" s="11">
        <v>2012</v>
      </c>
      <c r="C15" s="4">
        <v>4.4014999999999986</v>
      </c>
      <c r="D15" s="4">
        <v>4.4105299999999996</v>
      </c>
      <c r="E15" s="4">
        <v>4.4079800000000002</v>
      </c>
      <c r="F15" s="4">
        <v>4.4333299999999998</v>
      </c>
      <c r="G15" s="4">
        <v>4.4499000000000004</v>
      </c>
      <c r="H15" s="4">
        <v>4.3247499999999999</v>
      </c>
      <c r="L15" s="87"/>
      <c r="M15" s="4"/>
      <c r="N15" s="4"/>
      <c r="O15" s="4"/>
      <c r="P15" s="4"/>
      <c r="Q15" s="4"/>
      <c r="S15" s="78"/>
      <c r="T15" s="78"/>
      <c r="U15" s="78"/>
      <c r="V15" s="78"/>
      <c r="W15" s="78"/>
      <c r="X15" s="78"/>
    </row>
    <row r="16" spans="2:24" x14ac:dyDescent="0.3">
      <c r="B16" s="11">
        <v>2013</v>
      </c>
      <c r="C16" s="4">
        <v>4.4298999999999955</v>
      </c>
      <c r="D16" s="4">
        <v>4.4445400000000017</v>
      </c>
      <c r="E16" s="4">
        <v>4.4420999999999999</v>
      </c>
      <c r="F16" s="4">
        <v>4.4640599999999999</v>
      </c>
      <c r="G16" s="4">
        <v>4.4915700000000003</v>
      </c>
      <c r="H16" s="4">
        <v>4.35684</v>
      </c>
      <c r="L16" s="87"/>
      <c r="M16" s="4"/>
      <c r="N16" s="4"/>
      <c r="O16" s="4"/>
      <c r="P16" s="4"/>
      <c r="Q16" s="4"/>
      <c r="S16" s="78"/>
      <c r="T16" s="78"/>
      <c r="U16" s="78"/>
      <c r="V16" s="78"/>
      <c r="W16" s="78"/>
      <c r="X16" s="78"/>
    </row>
    <row r="17" spans="2:24" x14ac:dyDescent="0.3">
      <c r="B17" s="11">
        <v>2014</v>
      </c>
      <c r="C17" s="4">
        <v>4.4881999999999991</v>
      </c>
      <c r="D17" s="4">
        <v>4.5190299999999999</v>
      </c>
      <c r="E17" s="4">
        <v>4.5097800000000001</v>
      </c>
      <c r="F17" s="4">
        <v>4.5015000000000001</v>
      </c>
      <c r="G17" s="4">
        <v>4.5323900000000004</v>
      </c>
      <c r="H17" s="4">
        <v>4.3880699999999999</v>
      </c>
      <c r="L17" s="87"/>
      <c r="M17" s="4"/>
      <c r="N17" s="4"/>
      <c r="O17" s="4"/>
      <c r="P17" s="4"/>
      <c r="Q17" s="4"/>
      <c r="S17" s="78"/>
      <c r="T17" s="78"/>
      <c r="U17" s="78"/>
      <c r="V17" s="78"/>
      <c r="W17" s="78"/>
      <c r="X17" s="78"/>
    </row>
    <row r="18" spans="2:24" x14ac:dyDescent="0.3">
      <c r="B18" s="11">
        <v>2015</v>
      </c>
      <c r="C18" s="4">
        <v>4.5764999999999993</v>
      </c>
      <c r="D18" s="4">
        <v>4.612000000000001</v>
      </c>
      <c r="E18" s="4">
        <v>4.5924199999999997</v>
      </c>
      <c r="F18" s="4">
        <v>4.5438900000000002</v>
      </c>
      <c r="G18" s="4">
        <v>4.5724299999999998</v>
      </c>
      <c r="H18" s="4">
        <v>4.4185699999999999</v>
      </c>
      <c r="L18" s="87"/>
      <c r="M18" s="4"/>
      <c r="N18" s="4"/>
      <c r="O18" s="4"/>
      <c r="P18" s="4"/>
      <c r="Q18" s="4"/>
      <c r="S18" s="78"/>
      <c r="T18" s="78"/>
      <c r="U18" s="78"/>
      <c r="V18" s="78"/>
      <c r="W18" s="78"/>
      <c r="X18" s="78"/>
    </row>
    <row r="19" spans="2:24" x14ac:dyDescent="0.3">
      <c r="B19" s="11">
        <v>2016</v>
      </c>
      <c r="C19" s="4">
        <v>4.6772000000000018</v>
      </c>
      <c r="D19" s="4">
        <v>4.716660000000001</v>
      </c>
      <c r="E19" s="4">
        <v>4.6548299999999996</v>
      </c>
      <c r="F19" s="4">
        <v>4.5861900000000002</v>
      </c>
      <c r="G19" s="4">
        <v>4.6117499999999998</v>
      </c>
      <c r="H19" s="4">
        <v>4.4484599999999999</v>
      </c>
      <c r="L19" s="87"/>
      <c r="M19" s="4"/>
      <c r="N19" s="4"/>
      <c r="O19" s="4"/>
      <c r="P19" s="4"/>
      <c r="Q19" s="4"/>
      <c r="S19" s="78"/>
      <c r="T19" s="78"/>
      <c r="U19" s="78"/>
      <c r="V19" s="78"/>
      <c r="W19" s="78"/>
      <c r="X19" s="78"/>
    </row>
    <row r="20" spans="2:24" x14ac:dyDescent="0.3">
      <c r="B20" s="11">
        <v>2017</v>
      </c>
      <c r="C20" s="4">
        <v>4.7797000000000001</v>
      </c>
      <c r="D20" s="4">
        <v>4.8160600000000002</v>
      </c>
      <c r="E20" s="4">
        <v>4.6965899999999996</v>
      </c>
      <c r="F20" s="4">
        <v>4.6284999999999998</v>
      </c>
      <c r="G20" s="4">
        <v>4.6502100000000004</v>
      </c>
      <c r="H20" s="4">
        <v>4.47804</v>
      </c>
      <c r="L20" s="87"/>
      <c r="M20" s="4"/>
      <c r="N20" s="4"/>
      <c r="O20" s="4"/>
      <c r="P20" s="4"/>
      <c r="Q20" s="4"/>
      <c r="S20" s="78"/>
      <c r="T20" s="78"/>
      <c r="U20" s="78"/>
      <c r="V20" s="78"/>
      <c r="W20" s="78"/>
      <c r="X20" s="78"/>
    </row>
    <row r="21" spans="2:24" x14ac:dyDescent="0.3">
      <c r="B21" s="11">
        <v>2018</v>
      </c>
      <c r="C21" s="4">
        <v>4.870600000000004</v>
      </c>
      <c r="D21" s="4">
        <v>4.9029499999999988</v>
      </c>
      <c r="E21" s="4">
        <v>4.7384300000000001</v>
      </c>
      <c r="F21" s="4">
        <v>4.6709899999999998</v>
      </c>
      <c r="G21" s="4">
        <v>4.6882000000000001</v>
      </c>
      <c r="H21" s="4">
        <v>4.5074199999999998</v>
      </c>
      <c r="L21" s="87"/>
      <c r="M21" s="4"/>
      <c r="N21" s="4"/>
      <c r="O21" s="4"/>
      <c r="P21" s="4"/>
      <c r="Q21" s="4"/>
      <c r="S21" s="78"/>
      <c r="T21" s="78"/>
      <c r="U21" s="78"/>
      <c r="V21" s="78"/>
      <c r="W21" s="78"/>
      <c r="X21" s="78"/>
    </row>
    <row r="22" spans="2:24" x14ac:dyDescent="0.3">
      <c r="B22" s="11">
        <v>2019</v>
      </c>
      <c r="C22" s="4">
        <v>4.9516999999999989</v>
      </c>
      <c r="D22" s="4">
        <v>4.9814499999999997</v>
      </c>
      <c r="E22" s="4">
        <v>4.7805200000000001</v>
      </c>
      <c r="F22" s="4">
        <v>4.7134499999999999</v>
      </c>
      <c r="G22" s="4">
        <v>4.7253499999999997</v>
      </c>
      <c r="H22" s="4">
        <v>4.5366</v>
      </c>
      <c r="L22" s="87"/>
      <c r="M22" s="4"/>
      <c r="N22" s="4"/>
      <c r="O22" s="4"/>
      <c r="P22" s="4"/>
      <c r="Q22" s="4"/>
      <c r="S22" s="78"/>
      <c r="T22" s="78"/>
      <c r="U22" s="78"/>
      <c r="V22" s="78"/>
      <c r="W22" s="78"/>
      <c r="X22" s="78"/>
    </row>
    <row r="23" spans="2:24" x14ac:dyDescent="0.3">
      <c r="B23" s="11">
        <v>2020</v>
      </c>
      <c r="C23" s="4">
        <v>5.055100000000003</v>
      </c>
      <c r="D23" s="4">
        <v>5.0957999999999997</v>
      </c>
      <c r="E23" s="4">
        <v>4.8225300000000004</v>
      </c>
      <c r="F23" s="4">
        <v>4.7558100000000003</v>
      </c>
      <c r="G23" s="4">
        <v>4.7618200000000002</v>
      </c>
      <c r="H23" s="4">
        <v>4.56555</v>
      </c>
      <c r="L23" s="87"/>
      <c r="M23" s="4"/>
      <c r="N23" s="4"/>
      <c r="O23" s="4"/>
      <c r="P23" s="4"/>
      <c r="Q23" s="4"/>
      <c r="S23" s="78"/>
      <c r="T23" s="78"/>
      <c r="U23" s="78"/>
      <c r="V23" s="78"/>
      <c r="W23" s="78"/>
      <c r="X23" s="78"/>
    </row>
    <row r="24" spans="2:24" x14ac:dyDescent="0.3">
      <c r="B24" s="11">
        <v>2021</v>
      </c>
      <c r="C24" s="4">
        <v>5.1053999999999977</v>
      </c>
      <c r="D24" s="4">
        <v>5.1296000000000008</v>
      </c>
      <c r="E24" s="4">
        <v>4.8647600000000004</v>
      </c>
      <c r="F24" s="4">
        <v>4.7980099999999997</v>
      </c>
      <c r="G24" s="4">
        <v>4.7974399999999999</v>
      </c>
      <c r="H24" s="4">
        <v>4.5939300000000003</v>
      </c>
      <c r="L24" s="87"/>
      <c r="M24" s="4"/>
      <c r="N24" s="4"/>
      <c r="O24" s="4"/>
      <c r="P24" s="4"/>
      <c r="Q24" s="4"/>
      <c r="S24" s="78"/>
      <c r="T24" s="78"/>
      <c r="U24" s="78"/>
      <c r="V24" s="78"/>
      <c r="W24" s="78"/>
      <c r="X24" s="78"/>
    </row>
    <row r="25" spans="2:24" x14ac:dyDescent="0.3">
      <c r="B25" s="11">
        <v>2022</v>
      </c>
      <c r="C25" s="4">
        <v>5.1159000000000026</v>
      </c>
      <c r="D25" s="4">
        <v>5.173099999999998</v>
      </c>
      <c r="E25" s="4">
        <v>4.90686</v>
      </c>
      <c r="F25" s="4">
        <v>4.8400299999999996</v>
      </c>
      <c r="G25" s="4">
        <v>4.83263</v>
      </c>
      <c r="H25" s="4">
        <v>4.6222200000000004</v>
      </c>
      <c r="L25" s="87"/>
      <c r="M25" s="4"/>
      <c r="N25" s="4"/>
      <c r="O25" s="4"/>
      <c r="P25" s="4"/>
      <c r="Q25" s="4"/>
      <c r="S25" s="78"/>
      <c r="T25" s="78"/>
      <c r="U25" s="78"/>
      <c r="V25" s="78"/>
      <c r="W25" s="78"/>
      <c r="X25" s="78"/>
    </row>
    <row r="26" spans="2:24" x14ac:dyDescent="0.3">
      <c r="B26" s="11">
        <v>2023</v>
      </c>
      <c r="C26" s="4">
        <v>5.186099999999997</v>
      </c>
      <c r="D26" s="4">
        <v>5.2261000000000051</v>
      </c>
      <c r="E26" s="4">
        <v>4.9488899999999996</v>
      </c>
      <c r="F26" s="4">
        <v>4.8817899999999996</v>
      </c>
      <c r="G26" s="4">
        <v>4.8668500000000003</v>
      </c>
      <c r="H26" s="4">
        <v>4.6500399999999997</v>
      </c>
      <c r="L26" s="87"/>
      <c r="M26" s="4"/>
      <c r="N26" s="4"/>
      <c r="O26" s="4"/>
      <c r="P26" s="4"/>
      <c r="Q26" s="4"/>
      <c r="S26" s="78"/>
      <c r="T26" s="78"/>
      <c r="U26" s="78"/>
      <c r="V26" s="78"/>
      <c r="W26" s="78"/>
      <c r="X26" s="78"/>
    </row>
    <row r="27" spans="2:24" x14ac:dyDescent="0.3">
      <c r="B27" s="11">
        <v>2024</v>
      </c>
      <c r="C27" s="4">
        <v>5.3127999999999984</v>
      </c>
      <c r="D27" s="4">
        <v>5.2871000000000041</v>
      </c>
      <c r="E27" s="4">
        <v>4.99057</v>
      </c>
      <c r="F27" s="4">
        <v>4.9232300000000002</v>
      </c>
      <c r="G27" s="4">
        <v>4.90029</v>
      </c>
      <c r="H27" s="4">
        <v>4.6773199999999999</v>
      </c>
      <c r="L27" s="87"/>
      <c r="M27" s="4"/>
      <c r="N27" s="4"/>
      <c r="O27" s="4"/>
      <c r="P27" s="4"/>
      <c r="Q27" s="4"/>
      <c r="S27" s="78"/>
      <c r="T27" s="78"/>
      <c r="U27" s="78"/>
      <c r="V27" s="78"/>
      <c r="W27" s="78"/>
      <c r="X27" s="78"/>
    </row>
    <row r="28" spans="2:24" x14ac:dyDescent="0.3">
      <c r="B28" s="11">
        <v>2025</v>
      </c>
      <c r="C28" s="4">
        <v>5.3654999999999973</v>
      </c>
      <c r="D28" s="4">
        <v>5.3560999999999979</v>
      </c>
      <c r="E28" s="4">
        <v>5.03193</v>
      </c>
      <c r="F28" s="4">
        <v>4.9640899999999997</v>
      </c>
      <c r="G28" s="4">
        <v>4.93316</v>
      </c>
      <c r="H28" s="4">
        <v>4.7040500000000005</v>
      </c>
      <c r="L28" s="87"/>
      <c r="M28" s="4"/>
      <c r="N28" s="4"/>
      <c r="O28" s="4"/>
      <c r="P28" s="4"/>
      <c r="Q28" s="4"/>
      <c r="S28" s="78"/>
      <c r="T28" s="78"/>
      <c r="U28" s="78"/>
      <c r="V28" s="78"/>
      <c r="W28" s="78"/>
      <c r="X28" s="78"/>
    </row>
    <row r="29" spans="2:24" x14ac:dyDescent="0.3">
      <c r="B29" s="11">
        <v>2026</v>
      </c>
      <c r="C29" s="4">
        <v>5.4257000000000017</v>
      </c>
      <c r="D29" s="4">
        <v>5.4197199999999999</v>
      </c>
      <c r="E29" s="4">
        <v>5.0727399999999996</v>
      </c>
      <c r="F29" s="4">
        <v>5.0044500000000003</v>
      </c>
      <c r="G29" s="4">
        <v>4.9652599999999998</v>
      </c>
      <c r="H29" s="4">
        <v>4.7299600000000002</v>
      </c>
      <c r="L29" s="87"/>
      <c r="M29" s="4"/>
      <c r="N29" s="4"/>
      <c r="O29" s="4"/>
      <c r="P29" s="4"/>
      <c r="Q29" s="4"/>
      <c r="S29" s="78"/>
      <c r="T29" s="78"/>
      <c r="U29" s="78"/>
      <c r="V29" s="78"/>
      <c r="W29" s="78"/>
      <c r="X29" s="78"/>
    </row>
    <row r="30" spans="2:24" x14ac:dyDescent="0.3">
      <c r="B30" s="11">
        <v>2027</v>
      </c>
      <c r="C30" s="4">
        <v>5.4907000000000021</v>
      </c>
      <c r="D30" s="4">
        <v>5.4808000000000012</v>
      </c>
      <c r="E30" s="4">
        <v>5.11313</v>
      </c>
      <c r="F30" s="4">
        <v>5.0441099999999999</v>
      </c>
      <c r="G30" s="4">
        <v>4.9966900000000001</v>
      </c>
      <c r="H30" s="4">
        <v>4.7551499999999995</v>
      </c>
      <c r="L30" s="87"/>
      <c r="M30" s="4"/>
      <c r="N30" s="4"/>
      <c r="O30" s="4"/>
      <c r="P30" s="4"/>
      <c r="Q30" s="4"/>
      <c r="S30" s="78"/>
      <c r="T30" s="78"/>
      <c r="U30" s="78"/>
      <c r="V30" s="78"/>
      <c r="W30" s="78"/>
      <c r="X30" s="78"/>
    </row>
    <row r="31" spans="2:24" x14ac:dyDescent="0.3">
      <c r="B31" s="11">
        <v>2028</v>
      </c>
      <c r="C31" s="4">
        <v>5.5563999999999982</v>
      </c>
      <c r="D31" s="4">
        <v>5.5390900000000007</v>
      </c>
      <c r="E31" s="4">
        <v>5.1528400000000003</v>
      </c>
      <c r="F31" s="4">
        <v>5.0830099999999998</v>
      </c>
      <c r="G31" s="4">
        <v>5.0272899999999998</v>
      </c>
      <c r="H31" s="4">
        <v>4.77956</v>
      </c>
      <c r="L31" s="87"/>
      <c r="M31" s="4"/>
      <c r="N31" s="4"/>
      <c r="O31" s="4"/>
      <c r="P31" s="4"/>
      <c r="Q31" s="4"/>
      <c r="S31" s="78"/>
      <c r="T31" s="78"/>
      <c r="U31" s="78"/>
      <c r="V31" s="78"/>
      <c r="W31" s="78"/>
      <c r="X31" s="78"/>
    </row>
    <row r="32" spans="2:24" x14ac:dyDescent="0.3">
      <c r="B32" s="11">
        <v>2029</v>
      </c>
      <c r="C32" s="4">
        <v>5.6223999999999998</v>
      </c>
      <c r="D32" s="4">
        <v>5.5945100000000014</v>
      </c>
      <c r="E32" s="4">
        <v>5.1918800000000003</v>
      </c>
      <c r="F32" s="4">
        <v>5.1210699999999996</v>
      </c>
      <c r="G32" s="4">
        <v>5.0572400000000002</v>
      </c>
      <c r="H32" s="4">
        <v>4.8030799999999996</v>
      </c>
      <c r="L32" s="87"/>
      <c r="M32" s="4"/>
      <c r="N32" s="4"/>
      <c r="O32" s="4"/>
      <c r="P32" s="4"/>
      <c r="Q32" s="4"/>
      <c r="S32" s="78"/>
      <c r="T32" s="78"/>
      <c r="U32" s="78"/>
      <c r="V32" s="78"/>
      <c r="W32" s="78"/>
      <c r="X32" s="78"/>
    </row>
    <row r="33" spans="2:24" x14ac:dyDescent="0.3">
      <c r="B33" s="11">
        <v>2030</v>
      </c>
      <c r="C33" s="4">
        <v>5.6799900083635739</v>
      </c>
      <c r="D33" s="4">
        <v>5.6471200000000028</v>
      </c>
      <c r="E33" s="4">
        <v>5.22987</v>
      </c>
      <c r="F33" s="4">
        <v>5.1583399999999999</v>
      </c>
      <c r="G33" s="4">
        <v>5.0863899999999997</v>
      </c>
      <c r="H33" s="4">
        <v>4.82545</v>
      </c>
      <c r="L33" s="87"/>
      <c r="M33" s="4"/>
      <c r="N33" s="4"/>
      <c r="O33" s="4"/>
      <c r="P33" s="4"/>
      <c r="Q33" s="4"/>
      <c r="S33" s="78"/>
      <c r="T33" s="78"/>
      <c r="U33" s="78"/>
      <c r="V33" s="78"/>
      <c r="W33" s="78"/>
      <c r="X33" s="78"/>
    </row>
    <row r="34" spans="2:24" x14ac:dyDescent="0.3">
      <c r="B34" s="11">
        <v>2031</v>
      </c>
      <c r="C34" s="4">
        <v>5.7362200133817218</v>
      </c>
      <c r="D34" s="4">
        <v>5.6969299999999992</v>
      </c>
      <c r="E34" s="4">
        <v>5.2670000000000003</v>
      </c>
      <c r="F34" s="4">
        <v>5.1945399999999999</v>
      </c>
      <c r="G34" s="4">
        <v>5.11463</v>
      </c>
      <c r="H34" s="4">
        <v>4.8470600000000008</v>
      </c>
      <c r="L34" s="87"/>
      <c r="M34" s="4"/>
      <c r="N34" s="4"/>
      <c r="O34" s="4"/>
      <c r="P34" s="4"/>
      <c r="Q34" s="4"/>
      <c r="S34" s="78"/>
      <c r="T34" s="78"/>
      <c r="U34" s="78"/>
      <c r="V34" s="78"/>
      <c r="W34" s="78"/>
      <c r="X34" s="78"/>
    </row>
    <row r="35" spans="2:24" x14ac:dyDescent="0.3">
      <c r="B35" s="11">
        <v>2032</v>
      </c>
      <c r="C35" s="4">
        <v>5.7910800157235158</v>
      </c>
      <c r="D35" s="4">
        <v>5.7437300000000002</v>
      </c>
      <c r="E35" s="4">
        <v>5.3032000000000004</v>
      </c>
      <c r="F35" s="4">
        <v>5.2298400000000003</v>
      </c>
      <c r="G35" s="4">
        <v>5.1421299999999999</v>
      </c>
      <c r="H35" s="4">
        <v>4.8674399999999993</v>
      </c>
      <c r="L35" s="87"/>
      <c r="M35" s="4"/>
      <c r="N35" s="4"/>
      <c r="O35" s="4"/>
      <c r="P35" s="4"/>
      <c r="Q35" s="4"/>
      <c r="S35" s="78"/>
      <c r="T35" s="78"/>
      <c r="U35" s="78"/>
      <c r="V35" s="78"/>
      <c r="W35" s="78"/>
      <c r="X35" s="78"/>
    </row>
    <row r="36" spans="2:24" x14ac:dyDescent="0.3">
      <c r="B36" s="11">
        <v>2033</v>
      </c>
      <c r="C36" s="4">
        <v>5.8447700157235163</v>
      </c>
      <c r="D36" s="4">
        <v>5.7876000000000012</v>
      </c>
      <c r="E36" s="4">
        <v>5.3383700000000003</v>
      </c>
      <c r="F36" s="4">
        <v>5.2641900000000001</v>
      </c>
      <c r="G36" s="4">
        <v>5.1688400000000003</v>
      </c>
      <c r="H36" s="4">
        <v>4.8867899999999995</v>
      </c>
      <c r="L36" s="87"/>
      <c r="M36" s="4"/>
      <c r="N36" s="4"/>
      <c r="O36" s="4"/>
      <c r="P36" s="4"/>
      <c r="Q36" s="4"/>
      <c r="S36" s="78"/>
      <c r="T36" s="78"/>
      <c r="U36" s="78"/>
      <c r="V36" s="78"/>
      <c r="W36" s="78"/>
      <c r="X36" s="78"/>
    </row>
    <row r="37" spans="2:24" x14ac:dyDescent="0.3">
      <c r="B37" s="11">
        <v>2034</v>
      </c>
      <c r="C37" s="4">
        <v>5.8979800157235163</v>
      </c>
      <c r="D37" s="4">
        <v>5.8287200000000006</v>
      </c>
      <c r="E37" s="4">
        <v>5.3723000000000001</v>
      </c>
      <c r="F37" s="4">
        <v>5.2977600000000002</v>
      </c>
      <c r="G37" s="4">
        <v>5.1947099999999997</v>
      </c>
      <c r="H37" s="4">
        <v>4.9051400000000003</v>
      </c>
      <c r="L37" s="87"/>
      <c r="M37" s="4"/>
      <c r="N37" s="4"/>
      <c r="O37" s="4"/>
      <c r="P37" s="4"/>
      <c r="Q37" s="4"/>
      <c r="S37" s="78"/>
      <c r="T37" s="78"/>
      <c r="U37" s="78"/>
      <c r="V37" s="78"/>
      <c r="W37" s="78"/>
      <c r="X37" s="78"/>
    </row>
    <row r="38" spans="2:24" x14ac:dyDescent="0.3">
      <c r="B38" s="11">
        <v>2035</v>
      </c>
      <c r="C38" s="4">
        <v>5.950610015723516</v>
      </c>
      <c r="D38" s="4">
        <v>5.8690200000000008</v>
      </c>
      <c r="E38" s="4">
        <v>5.40543</v>
      </c>
      <c r="F38" s="4">
        <v>5.3303399999999996</v>
      </c>
      <c r="G38" s="4">
        <v>5.2198900000000004</v>
      </c>
      <c r="H38" s="4">
        <v>4.9222700000000001</v>
      </c>
      <c r="L38" s="87"/>
      <c r="M38" s="4"/>
      <c r="N38" s="4"/>
      <c r="O38" s="4"/>
      <c r="P38" s="4"/>
      <c r="Q38" s="4"/>
      <c r="S38" s="78"/>
      <c r="T38" s="78"/>
      <c r="U38" s="78"/>
      <c r="V38" s="78"/>
      <c r="W38" s="78"/>
      <c r="X38" s="78"/>
    </row>
    <row r="39" spans="2:24" x14ac:dyDescent="0.3">
      <c r="B39" s="11">
        <v>2036</v>
      </c>
      <c r="C39" s="4">
        <v>6.003070015723516</v>
      </c>
      <c r="D39" s="4">
        <v>5.9083800000000011</v>
      </c>
      <c r="E39" s="4">
        <v>5.4375</v>
      </c>
      <c r="F39" s="4">
        <v>5.3621600000000003</v>
      </c>
      <c r="G39" s="4">
        <v>5.2443299999999997</v>
      </c>
      <c r="H39" s="4">
        <v>4.9383900000000001</v>
      </c>
      <c r="L39" s="87"/>
      <c r="M39" s="4"/>
      <c r="N39" s="4"/>
      <c r="O39" s="4"/>
      <c r="P39" s="4"/>
      <c r="Q39" s="4"/>
      <c r="S39" s="78"/>
      <c r="T39" s="78"/>
      <c r="U39" s="78"/>
      <c r="V39" s="78"/>
      <c r="W39" s="78"/>
      <c r="X39" s="78"/>
    </row>
    <row r="40" spans="2:24" x14ac:dyDescent="0.3">
      <c r="B40" s="11">
        <v>2037</v>
      </c>
      <c r="C40" s="4">
        <v>6.0551000157235162</v>
      </c>
      <c r="D40" s="4">
        <v>5.9470500000000008</v>
      </c>
      <c r="E40" s="4">
        <v>5.4686700000000004</v>
      </c>
      <c r="F40" s="4">
        <v>5.3933099999999996</v>
      </c>
      <c r="G40" s="4">
        <v>5.2679600000000004</v>
      </c>
      <c r="H40" s="4">
        <v>4.9532600000000002</v>
      </c>
      <c r="L40" s="87"/>
      <c r="M40" s="4"/>
      <c r="N40" s="4"/>
      <c r="O40" s="4"/>
      <c r="P40" s="4"/>
      <c r="Q40" s="4"/>
      <c r="S40" s="78"/>
      <c r="T40" s="78"/>
      <c r="U40" s="78"/>
      <c r="V40" s="78"/>
      <c r="W40" s="78"/>
      <c r="X40" s="78"/>
    </row>
    <row r="41" spans="2:24" x14ac:dyDescent="0.3">
      <c r="B41" s="11">
        <v>2038</v>
      </c>
      <c r="C41" s="4">
        <v>6.1068800157235161</v>
      </c>
      <c r="D41" s="4">
        <v>5.9849500000000013</v>
      </c>
      <c r="E41" s="4">
        <v>5.4992000000000001</v>
      </c>
      <c r="F41" s="4">
        <v>5.4237599999999997</v>
      </c>
      <c r="G41" s="4">
        <v>5.2909899999999999</v>
      </c>
      <c r="H41" s="4">
        <v>4.9669300000000005</v>
      </c>
      <c r="L41" s="87"/>
      <c r="M41" s="4"/>
      <c r="N41" s="4"/>
      <c r="O41" s="4"/>
      <c r="P41" s="4"/>
      <c r="Q41" s="4"/>
      <c r="S41" s="78"/>
      <c r="T41" s="78"/>
      <c r="U41" s="78"/>
      <c r="V41" s="78"/>
      <c r="W41" s="78"/>
      <c r="X41" s="78"/>
    </row>
    <row r="42" spans="2:24" x14ac:dyDescent="0.3">
      <c r="B42" s="11">
        <v>2039</v>
      </c>
      <c r="C42" s="4">
        <v>6.1583500157235163</v>
      </c>
      <c r="D42" s="4">
        <v>6.0222200000000026</v>
      </c>
      <c r="E42" s="4">
        <v>5.52867</v>
      </c>
      <c r="F42" s="4">
        <v>5.4535299999999998</v>
      </c>
      <c r="G42" s="4">
        <v>5.3133600000000003</v>
      </c>
      <c r="H42" s="4">
        <v>4.9795299999999996</v>
      </c>
      <c r="L42" s="87"/>
      <c r="M42" s="4"/>
      <c r="N42" s="4"/>
      <c r="O42" s="4"/>
      <c r="P42" s="4"/>
      <c r="Q42" s="4"/>
      <c r="S42" s="78"/>
      <c r="T42" s="78"/>
      <c r="U42" s="78"/>
      <c r="V42" s="78"/>
      <c r="W42" s="78"/>
      <c r="X42" s="78"/>
    </row>
    <row r="43" spans="2:24" x14ac:dyDescent="0.3">
      <c r="B43" s="11">
        <v>2040</v>
      </c>
      <c r="C43" s="4">
        <v>6.2096300157235165</v>
      </c>
      <c r="D43" s="4">
        <v>6.0588800000000029</v>
      </c>
      <c r="E43" s="4">
        <v>5.5574199999999996</v>
      </c>
      <c r="F43" s="4">
        <v>5.48271</v>
      </c>
      <c r="G43" s="4">
        <v>5.3349200000000003</v>
      </c>
      <c r="H43" s="4">
        <v>4.9908000000000001</v>
      </c>
      <c r="L43" s="87"/>
      <c r="M43" s="4"/>
      <c r="N43" s="4"/>
      <c r="O43" s="4"/>
      <c r="P43" s="4"/>
      <c r="Q43" s="4"/>
      <c r="S43" s="78"/>
      <c r="T43" s="78"/>
      <c r="U43" s="78"/>
      <c r="V43" s="78"/>
      <c r="W43" s="78"/>
      <c r="X43" s="78"/>
    </row>
    <row r="44" spans="2:24" x14ac:dyDescent="0.3">
      <c r="B44" s="11">
        <v>2041</v>
      </c>
      <c r="C44" s="4">
        <v>6.2606000157235142</v>
      </c>
      <c r="D44" s="4">
        <v>6.0947900000000024</v>
      </c>
      <c r="E44" s="4">
        <v>5.5853299999999999</v>
      </c>
      <c r="F44" s="4">
        <v>5.5113399999999997</v>
      </c>
      <c r="G44" s="4">
        <v>5.3557199999999998</v>
      </c>
      <c r="H44" s="4">
        <v>5.0009799999999993</v>
      </c>
      <c r="L44" s="87"/>
      <c r="M44" s="4"/>
      <c r="N44" s="4"/>
      <c r="O44" s="4"/>
      <c r="P44" s="4"/>
      <c r="Q44" s="4"/>
      <c r="S44" s="78"/>
      <c r="T44" s="78"/>
      <c r="U44" s="78"/>
      <c r="V44" s="78"/>
      <c r="W44" s="78"/>
      <c r="X44" s="78"/>
    </row>
    <row r="45" spans="2:24" x14ac:dyDescent="0.3">
      <c r="B45" s="11">
        <v>2042</v>
      </c>
      <c r="C45" s="4">
        <v>6.3114200157235141</v>
      </c>
      <c r="D45" s="4">
        <v>6.1299800000000024</v>
      </c>
      <c r="E45" s="4">
        <v>5.6125699999999998</v>
      </c>
      <c r="F45" s="4">
        <v>5.5393400000000002</v>
      </c>
      <c r="G45" s="4">
        <v>5.37575</v>
      </c>
      <c r="H45" s="4">
        <v>5.0100600000000002</v>
      </c>
      <c r="L45" s="87"/>
      <c r="M45" s="4"/>
      <c r="N45" s="4"/>
      <c r="O45" s="4"/>
      <c r="P45" s="4"/>
      <c r="Q45" s="4"/>
      <c r="S45" s="78"/>
      <c r="T45" s="78"/>
      <c r="U45" s="78"/>
      <c r="V45" s="78"/>
      <c r="W45" s="78"/>
      <c r="X45" s="78"/>
    </row>
    <row r="46" spans="2:24" x14ac:dyDescent="0.3">
      <c r="B46" s="11">
        <v>2043</v>
      </c>
      <c r="C46" s="4">
        <v>6.3618100157235142</v>
      </c>
      <c r="D46" s="4">
        <v>6.1644400000000026</v>
      </c>
      <c r="E46" s="4">
        <v>5.6390399999999996</v>
      </c>
      <c r="F46" s="4">
        <v>5.5668499999999996</v>
      </c>
      <c r="G46" s="4">
        <v>5.3949999999999996</v>
      </c>
      <c r="H46" s="4">
        <v>5.0179099999999996</v>
      </c>
      <c r="L46" s="87"/>
      <c r="M46" s="4"/>
      <c r="N46" s="4"/>
      <c r="O46" s="4"/>
      <c r="P46" s="4"/>
      <c r="Q46" s="4"/>
      <c r="S46" s="78"/>
      <c r="T46" s="78"/>
      <c r="U46" s="78"/>
      <c r="V46" s="78"/>
      <c r="W46" s="78"/>
      <c r="X46" s="78"/>
    </row>
    <row r="47" spans="2:24" x14ac:dyDescent="0.3">
      <c r="B47" s="11">
        <v>2044</v>
      </c>
      <c r="C47" s="4">
        <v>6.411930015723514</v>
      </c>
      <c r="D47" s="4">
        <v>6.1981300000000026</v>
      </c>
      <c r="E47" s="4">
        <v>5.6648500000000004</v>
      </c>
      <c r="F47" s="4">
        <v>5.59368</v>
      </c>
      <c r="G47" s="4">
        <v>5.4134500000000001</v>
      </c>
      <c r="H47" s="4">
        <v>5.0247099999999998</v>
      </c>
      <c r="L47" s="87"/>
      <c r="M47" s="4"/>
      <c r="N47" s="4"/>
      <c r="O47" s="4"/>
      <c r="P47" s="4"/>
      <c r="Q47" s="4"/>
      <c r="S47" s="78"/>
      <c r="T47" s="78"/>
      <c r="U47" s="78"/>
      <c r="V47" s="78"/>
      <c r="W47" s="78"/>
      <c r="X47" s="78"/>
    </row>
    <row r="48" spans="2:24" x14ac:dyDescent="0.3">
      <c r="B48" s="11">
        <v>2045</v>
      </c>
      <c r="C48" s="4">
        <v>6.4616500157235146</v>
      </c>
      <c r="D48" s="4">
        <v>6.2310200000000027</v>
      </c>
      <c r="E48" s="4">
        <v>5.6900399999999998</v>
      </c>
      <c r="F48" s="4">
        <v>5.6200599999999996</v>
      </c>
      <c r="G48" s="4">
        <v>5.4309599999999998</v>
      </c>
      <c r="H48" s="4">
        <v>5.0305600000000004</v>
      </c>
      <c r="L48" s="87"/>
      <c r="M48" s="4"/>
      <c r="N48" s="4"/>
      <c r="O48" s="4"/>
      <c r="P48" s="4"/>
      <c r="Q48" s="4"/>
      <c r="S48" s="78"/>
      <c r="T48" s="78"/>
      <c r="U48" s="78"/>
      <c r="V48" s="78"/>
      <c r="W48" s="78"/>
      <c r="X48" s="78"/>
    </row>
    <row r="49" spans="2:24" x14ac:dyDescent="0.3">
      <c r="B49" s="11">
        <v>2046</v>
      </c>
      <c r="C49" s="4">
        <v>6.5109300157235142</v>
      </c>
      <c r="D49" s="4">
        <v>6.263130000000003</v>
      </c>
      <c r="E49" s="4">
        <v>5.7143800000000002</v>
      </c>
      <c r="F49" s="4">
        <v>5.6458000000000004</v>
      </c>
      <c r="G49" s="4">
        <v>5.4476000000000004</v>
      </c>
      <c r="H49" s="4">
        <v>5.0353100000000008</v>
      </c>
      <c r="L49" s="87"/>
      <c r="M49" s="4"/>
      <c r="N49" s="4"/>
      <c r="O49" s="4"/>
      <c r="P49" s="4"/>
      <c r="Q49" s="4"/>
      <c r="S49" s="78"/>
      <c r="T49" s="78"/>
      <c r="U49" s="78"/>
      <c r="V49" s="78"/>
      <c r="W49" s="78"/>
      <c r="X49" s="78"/>
    </row>
    <row r="50" spans="2:24" x14ac:dyDescent="0.3">
      <c r="B50" s="11">
        <v>2047</v>
      </c>
      <c r="C50" s="4">
        <v>6.5596800157235142</v>
      </c>
      <c r="D50" s="4">
        <v>6.2942300000000024</v>
      </c>
      <c r="E50" s="4">
        <v>5.7379899999999999</v>
      </c>
      <c r="F50" s="4">
        <v>5.6710799999999999</v>
      </c>
      <c r="G50" s="4">
        <v>5.4633000000000003</v>
      </c>
      <c r="H50" s="4">
        <v>5.0392200000000003</v>
      </c>
      <c r="L50" s="87"/>
      <c r="M50" s="4"/>
      <c r="N50" s="4"/>
      <c r="O50" s="4"/>
      <c r="P50" s="4"/>
      <c r="Q50" s="4"/>
      <c r="S50" s="78"/>
      <c r="T50" s="78"/>
      <c r="U50" s="78"/>
      <c r="V50" s="78"/>
      <c r="W50" s="78"/>
      <c r="X50" s="78"/>
    </row>
    <row r="51" spans="2:24" x14ac:dyDescent="0.3">
      <c r="B51" s="11">
        <v>2048</v>
      </c>
      <c r="C51" s="4">
        <v>6.6079200157235141</v>
      </c>
      <c r="D51" s="4">
        <v>6.3243600000000031</v>
      </c>
      <c r="E51" s="4">
        <v>5.76112</v>
      </c>
      <c r="F51" s="4">
        <v>5.6957300000000002</v>
      </c>
      <c r="G51" s="4">
        <v>5.4780800000000003</v>
      </c>
      <c r="H51" s="4">
        <v>5.0422500000000001</v>
      </c>
      <c r="L51" s="87"/>
      <c r="M51" s="4"/>
      <c r="N51" s="4"/>
      <c r="O51" s="4"/>
      <c r="P51" s="4"/>
      <c r="Q51" s="4"/>
      <c r="S51" s="78"/>
      <c r="T51" s="78"/>
      <c r="U51" s="78"/>
      <c r="V51" s="78"/>
      <c r="W51" s="78"/>
      <c r="X51" s="78"/>
    </row>
    <row r="52" spans="2:24" x14ac:dyDescent="0.3">
      <c r="B52" s="11">
        <v>2049</v>
      </c>
      <c r="C52" s="4">
        <v>6.6554600157235146</v>
      </c>
      <c r="D52" s="4">
        <v>6.3536900000000029</v>
      </c>
      <c r="E52" s="4">
        <v>5.7836400000000001</v>
      </c>
      <c r="F52" s="4">
        <v>5.7200499999999996</v>
      </c>
      <c r="G52" s="4">
        <v>5.4919700000000002</v>
      </c>
      <c r="H52" s="4">
        <v>5.0445099999999998</v>
      </c>
      <c r="L52" s="87"/>
      <c r="M52" s="4"/>
      <c r="N52" s="4"/>
      <c r="O52" s="4"/>
      <c r="P52" s="4"/>
      <c r="Q52" s="4"/>
      <c r="S52" s="78"/>
      <c r="T52" s="78"/>
      <c r="U52" s="78"/>
      <c r="V52" s="78"/>
      <c r="W52" s="78"/>
      <c r="X52" s="78"/>
    </row>
    <row r="53" spans="2:24" x14ac:dyDescent="0.3">
      <c r="B53" s="11">
        <v>2050</v>
      </c>
      <c r="C53" s="4">
        <v>6.7025300157235144</v>
      </c>
      <c r="D53" s="4">
        <v>6.3820500000000031</v>
      </c>
      <c r="E53" s="4">
        <v>5.8054800000000002</v>
      </c>
      <c r="F53" s="4">
        <v>5.7439</v>
      </c>
      <c r="G53" s="4">
        <v>5.5049400000000004</v>
      </c>
      <c r="H53" s="4">
        <v>5.0460600000000007</v>
      </c>
      <c r="L53" s="87"/>
      <c r="M53" s="4"/>
      <c r="N53" s="4"/>
      <c r="O53" s="4"/>
      <c r="P53" s="4"/>
      <c r="Q53" s="4"/>
      <c r="S53" s="78"/>
      <c r="T53" s="78"/>
      <c r="U53" s="78"/>
      <c r="V53" s="78"/>
      <c r="W53" s="78"/>
      <c r="X53" s="78"/>
    </row>
    <row r="54" spans="2:24" x14ac:dyDescent="0.3">
      <c r="B54" s="11">
        <v>2051</v>
      </c>
      <c r="C54" s="4">
        <v>6.7489200157235141</v>
      </c>
      <c r="D54" s="4">
        <v>6.409480000000003</v>
      </c>
      <c r="E54" s="4">
        <v>5.8269700000000002</v>
      </c>
      <c r="F54" s="4">
        <v>5.7674099999999999</v>
      </c>
      <c r="G54" s="4">
        <v>5.51715</v>
      </c>
      <c r="H54" s="4">
        <v>5.0471000000000004</v>
      </c>
      <c r="L54" s="87"/>
      <c r="M54" s="4"/>
      <c r="N54" s="4"/>
      <c r="O54" s="4"/>
      <c r="P54" s="4"/>
      <c r="Q54" s="4"/>
      <c r="S54" s="78"/>
      <c r="T54" s="78"/>
      <c r="U54" s="78"/>
      <c r="V54" s="78"/>
      <c r="W54" s="78"/>
      <c r="X54" s="78"/>
    </row>
    <row r="55" spans="2:24" x14ac:dyDescent="0.3">
      <c r="B55" s="11">
        <v>2052</v>
      </c>
      <c r="C55" s="4">
        <v>6.7947900157235139</v>
      </c>
      <c r="D55" s="4">
        <v>6.4361200000000025</v>
      </c>
      <c r="E55" s="4">
        <v>5.8479599999999996</v>
      </c>
      <c r="F55" s="4">
        <v>5.7906399999999998</v>
      </c>
      <c r="G55" s="4">
        <v>5.5286299999999997</v>
      </c>
      <c r="H55" s="4">
        <v>5.0471599999999999</v>
      </c>
      <c r="L55" s="87"/>
      <c r="M55" s="4"/>
      <c r="N55" s="4"/>
      <c r="O55" s="4"/>
      <c r="P55" s="4"/>
      <c r="Q55" s="4"/>
      <c r="S55" s="78"/>
      <c r="T55" s="78"/>
      <c r="U55" s="78"/>
      <c r="V55" s="78"/>
      <c r="W55" s="78"/>
      <c r="X55" s="78"/>
    </row>
    <row r="56" spans="2:24" x14ac:dyDescent="0.3">
      <c r="B56" s="11">
        <v>2053</v>
      </c>
      <c r="C56" s="4">
        <v>6.8402100157235139</v>
      </c>
      <c r="D56" s="4">
        <v>6.4620400000000027</v>
      </c>
      <c r="E56" s="4">
        <v>5.8687100000000001</v>
      </c>
      <c r="F56" s="4">
        <v>5.8135500000000002</v>
      </c>
      <c r="G56" s="4">
        <v>5.53925</v>
      </c>
      <c r="H56" s="4">
        <v>5.0466000000000006</v>
      </c>
      <c r="L56" s="87"/>
      <c r="M56" s="4"/>
      <c r="N56" s="4"/>
      <c r="O56" s="4"/>
      <c r="P56" s="4"/>
      <c r="Q56" s="4"/>
      <c r="S56" s="78"/>
      <c r="T56" s="78"/>
      <c r="U56" s="78"/>
      <c r="V56" s="78"/>
      <c r="W56" s="78"/>
      <c r="X56" s="78"/>
    </row>
    <row r="57" spans="2:24" x14ac:dyDescent="0.3">
      <c r="B57" s="11">
        <v>2054</v>
      </c>
      <c r="C57" s="4">
        <v>6.8850400157235141</v>
      </c>
      <c r="D57" s="4">
        <v>6.4870700000000028</v>
      </c>
      <c r="E57" s="4">
        <v>5.8891499999999999</v>
      </c>
      <c r="F57" s="4">
        <v>5.8362800000000004</v>
      </c>
      <c r="G57" s="4">
        <v>5.5492800000000004</v>
      </c>
      <c r="H57" s="4">
        <v>5.0455200000000007</v>
      </c>
      <c r="L57" s="87"/>
      <c r="M57" s="4"/>
      <c r="N57" s="4"/>
      <c r="O57" s="4"/>
      <c r="P57" s="4"/>
      <c r="Q57" s="4"/>
      <c r="S57" s="78"/>
      <c r="T57" s="78"/>
      <c r="U57" s="78"/>
      <c r="V57" s="78"/>
      <c r="W57" s="78"/>
      <c r="X57" s="78"/>
    </row>
    <row r="58" spans="2:24" x14ac:dyDescent="0.3">
      <c r="B58" s="11">
        <v>2055</v>
      </c>
      <c r="C58" s="4">
        <v>6.9294900157235144</v>
      </c>
      <c r="D58" s="4">
        <v>6.5116600000000027</v>
      </c>
      <c r="E58" s="4">
        <v>5.9093799999999996</v>
      </c>
      <c r="F58" s="4">
        <v>5.8589599999999997</v>
      </c>
      <c r="G58" s="4">
        <v>5.5587799999999996</v>
      </c>
      <c r="H58" s="4">
        <v>5.0439099999999994</v>
      </c>
      <c r="L58" s="87"/>
      <c r="M58" s="4"/>
      <c r="N58" s="4"/>
      <c r="O58" s="4"/>
      <c r="P58" s="4"/>
      <c r="Q58" s="4"/>
      <c r="S58" s="78"/>
      <c r="T58" s="78"/>
      <c r="U58" s="78"/>
      <c r="V58" s="78"/>
      <c r="W58" s="78"/>
      <c r="X58" s="78"/>
    </row>
    <row r="59" spans="2:24" x14ac:dyDescent="0.3">
      <c r="B59" s="11">
        <v>2056</v>
      </c>
      <c r="C59" s="4">
        <v>6.9735200157235147</v>
      </c>
      <c r="D59" s="4">
        <v>6.5355300000000032</v>
      </c>
      <c r="E59" s="4">
        <v>5.9294200000000004</v>
      </c>
      <c r="F59" s="4">
        <v>5.8815600000000003</v>
      </c>
      <c r="G59" s="4">
        <v>5.5677399999999997</v>
      </c>
      <c r="H59" s="4">
        <v>5.0417100000000001</v>
      </c>
      <c r="L59" s="87"/>
      <c r="M59" s="4"/>
      <c r="N59" s="4"/>
      <c r="O59" s="4"/>
      <c r="P59" s="4"/>
      <c r="Q59" s="4"/>
      <c r="S59" s="78"/>
      <c r="T59" s="78"/>
      <c r="U59" s="78"/>
      <c r="V59" s="78"/>
      <c r="W59" s="78"/>
      <c r="X59" s="78"/>
    </row>
    <row r="60" spans="2:24" x14ac:dyDescent="0.3">
      <c r="B60" s="11">
        <v>2057</v>
      </c>
      <c r="C60" s="4">
        <v>7.0173900157235147</v>
      </c>
      <c r="D60" s="4">
        <v>6.5591400000000029</v>
      </c>
      <c r="E60" s="4">
        <v>5.9495300000000002</v>
      </c>
      <c r="F60" s="4">
        <v>5.9040499999999998</v>
      </c>
      <c r="G60" s="4">
        <v>5.5761500000000002</v>
      </c>
      <c r="H60" s="4">
        <v>5.0391199999999996</v>
      </c>
      <c r="L60" s="87"/>
      <c r="M60" s="4"/>
      <c r="N60" s="4"/>
      <c r="O60" s="4"/>
      <c r="P60" s="4"/>
      <c r="Q60" s="4"/>
      <c r="S60" s="78"/>
      <c r="T60" s="78"/>
      <c r="U60" s="78"/>
      <c r="V60" s="78"/>
      <c r="W60" s="78"/>
      <c r="X60" s="78"/>
    </row>
    <row r="61" spans="2:24" x14ac:dyDescent="0.3">
      <c r="B61" s="11">
        <v>2058</v>
      </c>
      <c r="C61" s="4">
        <v>7.0609100157235147</v>
      </c>
      <c r="D61" s="4">
        <v>6.5822500000000028</v>
      </c>
      <c r="E61" s="4">
        <v>5.9696100000000003</v>
      </c>
      <c r="F61" s="4">
        <v>5.9266899999999998</v>
      </c>
      <c r="G61" s="4">
        <v>5.5842200000000002</v>
      </c>
      <c r="H61" s="4">
        <v>5.0362600000000004</v>
      </c>
      <c r="L61" s="87"/>
      <c r="M61" s="4"/>
      <c r="N61" s="4"/>
      <c r="O61" s="4"/>
      <c r="P61" s="4"/>
      <c r="Q61" s="4"/>
      <c r="S61" s="78"/>
      <c r="T61" s="78"/>
      <c r="U61" s="78"/>
      <c r="V61" s="78"/>
      <c r="W61" s="78"/>
      <c r="X61" s="78"/>
    </row>
    <row r="62" spans="2:24" x14ac:dyDescent="0.3">
      <c r="B62" s="11">
        <v>2059</v>
      </c>
      <c r="C62" s="4">
        <v>7.104520015723514</v>
      </c>
      <c r="D62" s="4">
        <v>6.6052500000000025</v>
      </c>
      <c r="E62" s="4">
        <v>5.9895800000000001</v>
      </c>
      <c r="F62" s="4">
        <v>5.9492599999999998</v>
      </c>
      <c r="G62" s="4">
        <v>5.5918900000000002</v>
      </c>
      <c r="H62" s="4">
        <v>5.0330699999999995</v>
      </c>
      <c r="L62" s="87"/>
      <c r="M62" s="4"/>
      <c r="N62" s="4"/>
      <c r="O62" s="4"/>
      <c r="P62" s="4"/>
      <c r="Q62" s="4"/>
      <c r="S62" s="78"/>
      <c r="T62" s="78"/>
      <c r="U62" s="78"/>
      <c r="V62" s="78"/>
      <c r="W62" s="78"/>
      <c r="X62" s="78"/>
    </row>
    <row r="63" spans="2:24" x14ac:dyDescent="0.3">
      <c r="B63" s="11">
        <v>2060</v>
      </c>
      <c r="C63" s="4">
        <v>7.1478700157235142</v>
      </c>
      <c r="D63" s="4">
        <v>6.6278900000000025</v>
      </c>
      <c r="E63" s="4">
        <v>6.00969</v>
      </c>
      <c r="F63" s="4">
        <v>5.9720300000000002</v>
      </c>
      <c r="G63" s="4">
        <v>5.5992100000000002</v>
      </c>
      <c r="H63" s="4">
        <v>5.0296000000000003</v>
      </c>
      <c r="L63" s="87"/>
      <c r="M63" s="4"/>
      <c r="N63" s="4"/>
      <c r="O63" s="4"/>
      <c r="P63" s="4"/>
      <c r="Q63" s="4"/>
      <c r="S63" s="78"/>
      <c r="T63" s="78"/>
      <c r="U63" s="78"/>
      <c r="V63" s="78"/>
      <c r="W63" s="78"/>
      <c r="X63" s="78"/>
    </row>
    <row r="64" spans="2:24" x14ac:dyDescent="0.3">
      <c r="B64" s="11">
        <v>2061</v>
      </c>
      <c r="C64" s="4">
        <v>7.1911200157235147</v>
      </c>
      <c r="D64" s="4">
        <v>6.6505600000000031</v>
      </c>
      <c r="E64" s="4"/>
      <c r="F64" s="4">
        <v>5.9948600000000001</v>
      </c>
      <c r="G64" s="4">
        <v>5.6062099999999999</v>
      </c>
      <c r="H64" s="4"/>
      <c r="L64" s="87"/>
      <c r="M64" s="4"/>
      <c r="O64" s="4"/>
      <c r="P64" s="4"/>
      <c r="Q64" s="4"/>
      <c r="S64" s="78"/>
      <c r="T64" s="78"/>
      <c r="U64" s="78"/>
      <c r="V64" s="78"/>
      <c r="W64" s="78"/>
      <c r="X64" s="78"/>
    </row>
    <row r="65" spans="2:24" x14ac:dyDescent="0.3">
      <c r="B65" s="11">
        <v>2062</v>
      </c>
      <c r="C65" s="4">
        <v>7.2344900157235141</v>
      </c>
      <c r="D65" s="4">
        <v>6.6731000000000025</v>
      </c>
      <c r="E65" s="4"/>
      <c r="F65" s="4"/>
      <c r="G65" s="4"/>
      <c r="L65" s="87"/>
      <c r="M65" s="4"/>
      <c r="Q65" s="4"/>
      <c r="S65" s="78"/>
      <c r="T65" s="78"/>
      <c r="U65" s="78"/>
      <c r="V65" s="78"/>
      <c r="W65" s="78"/>
      <c r="X65" s="78"/>
    </row>
    <row r="66" spans="2:24" x14ac:dyDescent="0.3">
      <c r="B66" s="11">
        <v>2063</v>
      </c>
      <c r="C66" s="4">
        <v>7.277850015723514</v>
      </c>
      <c r="D66" s="4">
        <v>6.6954300000000027</v>
      </c>
      <c r="E66" s="4"/>
      <c r="F66" s="4"/>
      <c r="G66" s="4"/>
      <c r="L66" s="87"/>
      <c r="M66" s="4"/>
      <c r="Q66" s="4"/>
      <c r="S66" s="78"/>
      <c r="T66" s="78"/>
      <c r="U66" s="78"/>
      <c r="V66" s="78"/>
      <c r="W66" s="78"/>
      <c r="X66" s="78"/>
    </row>
    <row r="67" spans="2:24" x14ac:dyDescent="0.3">
      <c r="B67" s="11">
        <v>2064</v>
      </c>
      <c r="C67" s="4">
        <v>7.3213200157235141</v>
      </c>
      <c r="D67" s="4">
        <v>6.7179000000000029</v>
      </c>
      <c r="E67" s="4"/>
      <c r="F67" s="4"/>
      <c r="G67" s="4"/>
      <c r="L67" s="87"/>
      <c r="M67" s="4"/>
      <c r="Q67" s="4"/>
      <c r="S67" s="78"/>
      <c r="T67" s="78"/>
      <c r="U67" s="78"/>
      <c r="V67" s="78"/>
      <c r="W67" s="78"/>
      <c r="X67" s="78"/>
    </row>
    <row r="68" spans="2:24" x14ac:dyDescent="0.3">
      <c r="B68" s="11">
        <v>2065</v>
      </c>
      <c r="C68" s="4">
        <v>7.3647300157235147</v>
      </c>
      <c r="D68" s="4">
        <v>6.7402000000000024</v>
      </c>
      <c r="E68" s="4"/>
      <c r="F68" s="4"/>
      <c r="G68" s="4"/>
      <c r="L68" s="87"/>
      <c r="M68" s="4"/>
      <c r="Q68" s="4"/>
      <c r="S68" s="78"/>
      <c r="T68" s="78"/>
      <c r="U68" s="78"/>
      <c r="V68" s="78"/>
      <c r="W68" s="78"/>
      <c r="X68" s="78"/>
    </row>
    <row r="69" spans="2:24" x14ac:dyDescent="0.3">
      <c r="B69" s="11">
        <v>2066</v>
      </c>
      <c r="D69" s="4">
        <v>6.7625700000000029</v>
      </c>
      <c r="M69" s="4"/>
      <c r="Q69" s="4"/>
      <c r="S69" s="78"/>
      <c r="T69" s="78"/>
      <c r="U69" s="78"/>
      <c r="V69" s="78"/>
      <c r="W69" s="78"/>
      <c r="X69" s="78"/>
    </row>
    <row r="70" spans="2:24" x14ac:dyDescent="0.3">
      <c r="B70" s="11">
        <v>2067</v>
      </c>
      <c r="D70" s="4">
        <v>6.7848800000000029</v>
      </c>
      <c r="M70" s="4"/>
      <c r="Q70" s="4"/>
      <c r="S70" s="78"/>
      <c r="T70" s="78"/>
      <c r="U70" s="78"/>
      <c r="V70" s="78"/>
      <c r="W70" s="78"/>
      <c r="X70" s="78"/>
    </row>
    <row r="71" spans="2:24" x14ac:dyDescent="0.3">
      <c r="B71" s="11">
        <v>2068</v>
      </c>
      <c r="D71" s="4">
        <v>6.8071100000000024</v>
      </c>
      <c r="M71" s="4"/>
      <c r="Q71" s="4"/>
      <c r="S71" s="78"/>
      <c r="T71" s="78"/>
      <c r="U71" s="78"/>
      <c r="V71" s="78"/>
      <c r="W71" s="78"/>
      <c r="X71" s="78"/>
    </row>
    <row r="72" spans="2:24" x14ac:dyDescent="0.3">
      <c r="B72" s="11">
        <v>2069</v>
      </c>
      <c r="D72" s="4">
        <v>6.8291400000000024</v>
      </c>
      <c r="M72" s="4"/>
      <c r="Q72" s="4"/>
      <c r="S72" s="78"/>
      <c r="T72" s="78"/>
      <c r="U72" s="78"/>
      <c r="V72" s="78"/>
      <c r="W72" s="78"/>
      <c r="X72" s="78"/>
    </row>
    <row r="73" spans="2:24" x14ac:dyDescent="0.3">
      <c r="B73" s="11">
        <v>2070</v>
      </c>
      <c r="D73" s="4">
        <v>6.8509600000000024</v>
      </c>
      <c r="M73" s="4"/>
      <c r="Q73" s="4"/>
      <c r="S73" s="78"/>
      <c r="T73" s="78"/>
      <c r="U73" s="78"/>
      <c r="V73" s="78"/>
      <c r="W73" s="78"/>
      <c r="X73" s="78"/>
    </row>
    <row r="74" spans="2:24" x14ac:dyDescent="0.3">
      <c r="B74" s="11">
        <v>2071</v>
      </c>
      <c r="D74" s="4">
        <v>6.872480000000003</v>
      </c>
      <c r="M74" s="4"/>
      <c r="Q74" s="4"/>
      <c r="S74" s="78"/>
      <c r="T74" s="78"/>
      <c r="U74" s="78"/>
      <c r="V74" s="78"/>
      <c r="W74" s="78"/>
      <c r="X74" s="78"/>
    </row>
    <row r="75" spans="2:24" x14ac:dyDescent="0.3">
      <c r="B75" s="11">
        <v>2072</v>
      </c>
      <c r="D75" s="4">
        <v>6.8936800000000025</v>
      </c>
      <c r="M75" s="4"/>
      <c r="Q75" s="4"/>
      <c r="S75" s="78"/>
      <c r="T75" s="78"/>
      <c r="U75" s="78"/>
      <c r="V75" s="78"/>
      <c r="W75" s="78"/>
      <c r="X75" s="78"/>
    </row>
    <row r="76" spans="2:24" x14ac:dyDescent="0.3">
      <c r="B76" s="11">
        <v>2073</v>
      </c>
      <c r="D76" s="4">
        <v>6.9142600000000032</v>
      </c>
      <c r="M76" s="4"/>
      <c r="Q76" s="4"/>
      <c r="S76" s="78"/>
      <c r="T76" s="78"/>
      <c r="U76" s="78"/>
      <c r="V76" s="78"/>
      <c r="W76" s="78"/>
      <c r="X76" s="78"/>
    </row>
    <row r="77" spans="2:24" ht="14.1" customHeight="1" x14ac:dyDescent="0.3">
      <c r="Q77" s="4"/>
    </row>
    <row r="78" spans="2:24" x14ac:dyDescent="0.3">
      <c r="Q78" s="4"/>
    </row>
    <row r="79" spans="2:24" x14ac:dyDescent="0.3">
      <c r="Q79" s="4"/>
    </row>
    <row r="80" spans="2:24" x14ac:dyDescent="0.3">
      <c r="Q80" s="4"/>
    </row>
    <row r="81" spans="17:17" x14ac:dyDescent="0.3">
      <c r="Q81" s="4"/>
    </row>
    <row r="82" spans="17:17" x14ac:dyDescent="0.3">
      <c r="Q82" s="4"/>
    </row>
    <row r="83" spans="17:17" x14ac:dyDescent="0.3">
      <c r="Q83" s="4"/>
    </row>
    <row r="84" spans="17:17" x14ac:dyDescent="0.3">
      <c r="Q84" s="4"/>
    </row>
    <row r="85" spans="17:17" x14ac:dyDescent="0.3">
      <c r="Q85" s="4"/>
    </row>
    <row r="86" spans="17:17" x14ac:dyDescent="0.3">
      <c r="Q86" s="4"/>
    </row>
    <row r="87" spans="17:17" x14ac:dyDescent="0.3">
      <c r="Q87" s="4"/>
    </row>
    <row r="88" spans="17:17" x14ac:dyDescent="0.3">
      <c r="Q88" s="4"/>
    </row>
    <row r="89" spans="17:17" x14ac:dyDescent="0.3">
      <c r="Q89" s="4"/>
    </row>
    <row r="90" spans="17:17" x14ac:dyDescent="0.3">
      <c r="Q90" s="4"/>
    </row>
    <row r="91" spans="17:17" x14ac:dyDescent="0.3">
      <c r="Q91" s="4"/>
    </row>
    <row r="92" spans="17:17" x14ac:dyDescent="0.3">
      <c r="Q92" s="4"/>
    </row>
    <row r="93" spans="17:17" x14ac:dyDescent="0.3">
      <c r="Q93" s="4"/>
    </row>
    <row r="94" spans="17:17" x14ac:dyDescent="0.3">
      <c r="Q94" s="4"/>
    </row>
    <row r="95" spans="17:17" x14ac:dyDescent="0.3">
      <c r="Q95" s="4"/>
    </row>
    <row r="96" spans="17:17" x14ac:dyDescent="0.3">
      <c r="Q96" s="4"/>
    </row>
    <row r="97" spans="17:17" x14ac:dyDescent="0.3">
      <c r="Q97" s="4"/>
    </row>
    <row r="98" spans="17:17" x14ac:dyDescent="0.3">
      <c r="Q98" s="4"/>
    </row>
    <row r="99" spans="17:17" x14ac:dyDescent="0.3">
      <c r="Q99" s="4"/>
    </row>
    <row r="100" spans="17:17" x14ac:dyDescent="0.3">
      <c r="Q100" s="4"/>
    </row>
    <row r="101" spans="17:17" x14ac:dyDescent="0.3">
      <c r="Q101" s="4"/>
    </row>
    <row r="102" spans="17:17" x14ac:dyDescent="0.3">
      <c r="Q102" s="4"/>
    </row>
    <row r="103" spans="17:17" x14ac:dyDescent="0.3">
      <c r="Q103" s="4"/>
    </row>
    <row r="104" spans="17:17" x14ac:dyDescent="0.3">
      <c r="Q104" s="4"/>
    </row>
  </sheetData>
  <mergeCells count="2">
    <mergeCell ref="S4:X4"/>
    <mergeCell ref="L2:X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E8085-FC36-4897-9A7B-388A17296AF3}">
  <sheetPr codeName="Sheet15"/>
  <dimension ref="B2:K118"/>
  <sheetViews>
    <sheetView zoomScaleNormal="100" workbookViewId="0">
      <selection activeCell="B9" sqref="B9"/>
    </sheetView>
  </sheetViews>
  <sheetFormatPr defaultColWidth="8.7109375" defaultRowHeight="16.5" x14ac:dyDescent="0.3"/>
  <cols>
    <col min="1" max="1" width="8.7109375" style="1"/>
    <col min="2" max="2" width="9.140625" style="31"/>
    <col min="3" max="3" width="11.85546875" style="1" customWidth="1"/>
    <col min="4" max="4" width="13.42578125" style="1" customWidth="1"/>
    <col min="5" max="5" width="12.5703125" style="1" customWidth="1"/>
    <col min="6" max="6" width="11" style="1" customWidth="1"/>
    <col min="7" max="7" width="12.85546875" style="1" customWidth="1"/>
    <col min="8" max="8" width="11.85546875" style="41" customWidth="1"/>
    <col min="9" max="9" width="11.5703125" style="1" bestFit="1" customWidth="1"/>
    <col min="10" max="16384" width="8.7109375" style="1"/>
  </cols>
  <sheetData>
    <row r="2" spans="2:10" x14ac:dyDescent="0.3">
      <c r="B2" s="25" t="s">
        <v>271</v>
      </c>
      <c r="C2" s="32"/>
      <c r="D2" s="32"/>
      <c r="E2" s="32"/>
      <c r="F2" s="32"/>
      <c r="G2" s="32"/>
      <c r="I2" s="38"/>
    </row>
    <row r="3" spans="2:10" x14ac:dyDescent="0.3">
      <c r="B3" s="55" t="s">
        <v>274</v>
      </c>
      <c r="C3" s="32"/>
      <c r="D3" s="32"/>
      <c r="E3" s="32"/>
      <c r="F3" s="32"/>
      <c r="G3" s="32"/>
      <c r="I3" s="38"/>
    </row>
    <row r="4" spans="2:10" x14ac:dyDescent="0.3">
      <c r="I4" s="38"/>
    </row>
    <row r="5" spans="2:10" x14ac:dyDescent="0.3">
      <c r="C5" s="1" t="s">
        <v>174</v>
      </c>
      <c r="D5" s="1" t="s">
        <v>175</v>
      </c>
      <c r="E5" s="1" t="s">
        <v>176</v>
      </c>
      <c r="F5" s="1" t="s">
        <v>177</v>
      </c>
      <c r="G5" s="1" t="s">
        <v>178</v>
      </c>
      <c r="H5" s="63" t="s">
        <v>179</v>
      </c>
      <c r="I5" s="1" t="s">
        <v>16</v>
      </c>
    </row>
    <row r="6" spans="2:10" x14ac:dyDescent="0.3">
      <c r="C6" s="1" t="s">
        <v>158</v>
      </c>
      <c r="D6" s="1" t="s">
        <v>158</v>
      </c>
      <c r="E6" s="1" t="s">
        <v>158</v>
      </c>
      <c r="F6" s="1" t="s">
        <v>158</v>
      </c>
      <c r="G6" s="1" t="s">
        <v>158</v>
      </c>
      <c r="H6" s="1" t="s">
        <v>158</v>
      </c>
      <c r="I6" s="1" t="s">
        <v>158</v>
      </c>
    </row>
    <row r="7" spans="2:10" x14ac:dyDescent="0.3">
      <c r="B7" s="42">
        <v>1992</v>
      </c>
      <c r="C7" s="43"/>
      <c r="D7" s="43"/>
      <c r="E7" s="43"/>
      <c r="F7" s="43"/>
      <c r="G7" s="43"/>
      <c r="H7" s="44"/>
      <c r="I7" s="44">
        <v>3.6</v>
      </c>
      <c r="J7" s="43"/>
    </row>
    <row r="8" spans="2:10" x14ac:dyDescent="0.3">
      <c r="B8" s="42">
        <v>1993</v>
      </c>
      <c r="C8" s="43"/>
      <c r="D8" s="43"/>
      <c r="E8" s="43"/>
      <c r="F8" s="43"/>
      <c r="G8" s="43"/>
      <c r="H8" s="44"/>
      <c r="I8" s="44">
        <v>8.6999999999999993</v>
      </c>
      <c r="J8" s="43"/>
    </row>
    <row r="9" spans="2:10" x14ac:dyDescent="0.3">
      <c r="B9" s="42">
        <v>1994</v>
      </c>
      <c r="C9" s="43"/>
      <c r="D9" s="43"/>
      <c r="E9" s="43"/>
      <c r="F9" s="43"/>
      <c r="G9" s="43"/>
      <c r="H9" s="44"/>
      <c r="I9" s="44">
        <v>16.8</v>
      </c>
      <c r="J9" s="43"/>
    </row>
    <row r="10" spans="2:10" x14ac:dyDescent="0.3">
      <c r="B10" s="42">
        <v>1995</v>
      </c>
      <c r="C10" s="43"/>
      <c r="D10" s="43"/>
      <c r="E10" s="43"/>
      <c r="F10" s="43"/>
      <c r="G10" s="43"/>
      <c r="H10" s="44"/>
      <c r="I10" s="44">
        <v>22.7</v>
      </c>
      <c r="J10" s="43"/>
    </row>
    <row r="11" spans="2:10" x14ac:dyDescent="0.3">
      <c r="B11" s="42">
        <v>1996</v>
      </c>
      <c r="C11" s="43"/>
      <c r="D11" s="43"/>
      <c r="E11" s="43"/>
      <c r="F11" s="43"/>
      <c r="G11" s="43"/>
      <c r="H11" s="44"/>
      <c r="I11" s="44">
        <v>29.5</v>
      </c>
      <c r="J11" s="43"/>
    </row>
    <row r="12" spans="2:10" x14ac:dyDescent="0.3">
      <c r="B12" s="42">
        <v>1997</v>
      </c>
      <c r="C12" s="43"/>
      <c r="D12" s="43"/>
      <c r="E12" s="43"/>
      <c r="F12" s="43"/>
      <c r="G12" s="43"/>
      <c r="H12" s="44"/>
      <c r="I12" s="44">
        <v>16.8</v>
      </c>
      <c r="J12" s="43"/>
    </row>
    <row r="13" spans="2:10" x14ac:dyDescent="0.3">
      <c r="B13" s="42">
        <v>1998</v>
      </c>
      <c r="C13" s="43"/>
      <c r="D13" s="43"/>
      <c r="E13" s="43"/>
      <c r="F13" s="43"/>
      <c r="G13" s="43"/>
      <c r="H13" s="44"/>
      <c r="I13" s="44">
        <v>0.5</v>
      </c>
      <c r="J13" s="43"/>
    </row>
    <row r="14" spans="2:10" x14ac:dyDescent="0.3">
      <c r="B14" s="42">
        <v>1999</v>
      </c>
      <c r="C14" s="43"/>
      <c r="D14" s="43"/>
      <c r="E14" s="43"/>
      <c r="F14" s="43"/>
      <c r="G14" s="43"/>
      <c r="H14" s="44"/>
      <c r="I14" s="44">
        <v>-11.4</v>
      </c>
      <c r="J14" s="43"/>
    </row>
    <row r="15" spans="2:10" x14ac:dyDescent="0.3">
      <c r="B15" s="42">
        <v>2000</v>
      </c>
      <c r="C15" s="43"/>
      <c r="D15" s="43"/>
      <c r="E15" s="43"/>
      <c r="F15" s="43"/>
      <c r="G15" s="43"/>
      <c r="H15" s="44"/>
      <c r="I15" s="44">
        <v>-9.8000000000000007</v>
      </c>
      <c r="J15" s="43"/>
    </row>
    <row r="16" spans="2:10" x14ac:dyDescent="0.3">
      <c r="B16" s="42">
        <v>2001</v>
      </c>
      <c r="C16" s="43"/>
      <c r="D16" s="43"/>
      <c r="E16" s="43"/>
      <c r="F16" s="43"/>
      <c r="G16" s="43"/>
      <c r="H16" s="44"/>
      <c r="I16" s="44">
        <v>-9.3000000000000007</v>
      </c>
      <c r="J16" s="43"/>
    </row>
    <row r="17" spans="2:10" x14ac:dyDescent="0.3">
      <c r="B17" s="42">
        <v>2002</v>
      </c>
      <c r="C17" s="43"/>
      <c r="D17" s="43"/>
      <c r="E17" s="43"/>
      <c r="F17" s="43"/>
      <c r="G17" s="43"/>
      <c r="H17" s="44"/>
      <c r="I17" s="44">
        <v>32.799999999999997</v>
      </c>
      <c r="J17" s="43"/>
    </row>
    <row r="18" spans="2:10" x14ac:dyDescent="0.3">
      <c r="B18" s="42">
        <v>2003</v>
      </c>
      <c r="C18" s="43"/>
      <c r="D18" s="43"/>
      <c r="E18" s="43"/>
      <c r="F18" s="43"/>
      <c r="G18" s="43"/>
      <c r="H18" s="44"/>
      <c r="I18" s="44">
        <v>42.5</v>
      </c>
      <c r="J18" s="43"/>
    </row>
    <row r="19" spans="2:10" x14ac:dyDescent="0.3">
      <c r="B19" s="42">
        <v>2004</v>
      </c>
      <c r="C19" s="43"/>
      <c r="D19" s="43"/>
      <c r="E19" s="43"/>
      <c r="F19" s="43"/>
      <c r="G19" s="43"/>
      <c r="H19" s="44"/>
      <c r="I19" s="44">
        <v>22</v>
      </c>
      <c r="J19" s="43"/>
    </row>
    <row r="20" spans="2:10" x14ac:dyDescent="0.3">
      <c r="B20" s="42">
        <v>2005</v>
      </c>
      <c r="C20" s="43"/>
      <c r="D20" s="43"/>
      <c r="E20" s="43"/>
      <c r="F20" s="43"/>
      <c r="G20" s="43"/>
      <c r="H20" s="44"/>
      <c r="I20" s="44">
        <v>8.6</v>
      </c>
      <c r="J20" s="43"/>
    </row>
    <row r="21" spans="2:10" x14ac:dyDescent="0.3">
      <c r="B21" s="42">
        <v>2006</v>
      </c>
      <c r="C21" s="43"/>
      <c r="D21" s="43"/>
      <c r="E21" s="43"/>
      <c r="F21" s="43"/>
      <c r="G21" s="43"/>
      <c r="H21" s="44"/>
      <c r="I21" s="44">
        <v>10.7</v>
      </c>
      <c r="J21" s="43"/>
    </row>
    <row r="22" spans="2:10" x14ac:dyDescent="0.3">
      <c r="B22" s="42">
        <v>2007</v>
      </c>
      <c r="C22" s="43"/>
      <c r="D22" s="43"/>
      <c r="E22" s="43"/>
      <c r="F22" s="43"/>
      <c r="G22" s="43"/>
      <c r="H22" s="44"/>
      <c r="I22" s="44">
        <v>10.1</v>
      </c>
      <c r="J22" s="43"/>
    </row>
    <row r="23" spans="2:10" x14ac:dyDescent="0.3">
      <c r="B23" s="42">
        <v>2008</v>
      </c>
      <c r="C23" s="43"/>
      <c r="D23" s="43"/>
      <c r="E23" s="43"/>
      <c r="F23" s="43"/>
      <c r="G23" s="43"/>
      <c r="H23" s="44"/>
      <c r="I23" s="44">
        <v>4.7</v>
      </c>
      <c r="J23" s="43"/>
    </row>
    <row r="24" spans="2:10" x14ac:dyDescent="0.3">
      <c r="B24" s="42">
        <v>2009</v>
      </c>
      <c r="C24" s="43">
        <v>10</v>
      </c>
      <c r="D24" s="43"/>
      <c r="E24" s="43"/>
      <c r="F24" s="43"/>
      <c r="G24" s="43"/>
      <c r="H24" s="44"/>
      <c r="I24" s="44">
        <v>12.5</v>
      </c>
      <c r="J24" s="43"/>
    </row>
    <row r="25" spans="2:10" x14ac:dyDescent="0.3">
      <c r="B25" s="42">
        <v>2010</v>
      </c>
      <c r="C25" s="43">
        <v>10</v>
      </c>
      <c r="D25" s="43"/>
      <c r="E25" s="43"/>
      <c r="F25" s="43"/>
      <c r="G25" s="43"/>
      <c r="H25" s="44"/>
      <c r="I25" s="44">
        <v>16.5</v>
      </c>
      <c r="J25" s="43"/>
    </row>
    <row r="26" spans="2:10" x14ac:dyDescent="0.3">
      <c r="B26" s="42">
        <v>2011</v>
      </c>
      <c r="C26" s="43">
        <v>10</v>
      </c>
      <c r="D26" s="43"/>
      <c r="E26" s="43"/>
      <c r="F26" s="43"/>
      <c r="G26" s="43"/>
      <c r="H26" s="44"/>
      <c r="I26" s="44">
        <v>3.9</v>
      </c>
      <c r="J26" s="43"/>
    </row>
    <row r="27" spans="2:10" x14ac:dyDescent="0.3">
      <c r="B27" s="42">
        <v>2012</v>
      </c>
      <c r="C27" s="43">
        <v>10</v>
      </c>
      <c r="D27" s="43">
        <v>10</v>
      </c>
      <c r="E27" s="43"/>
      <c r="F27" s="43"/>
      <c r="G27" s="43"/>
      <c r="H27" s="44"/>
      <c r="I27" s="44">
        <v>-3.2</v>
      </c>
      <c r="J27" s="43"/>
    </row>
    <row r="28" spans="2:10" x14ac:dyDescent="0.3">
      <c r="B28" s="42">
        <v>2013</v>
      </c>
      <c r="C28" s="43">
        <v>10</v>
      </c>
      <c r="D28" s="43">
        <v>10</v>
      </c>
      <c r="E28" s="43"/>
      <c r="F28" s="43"/>
      <c r="G28" s="43"/>
      <c r="H28" s="44"/>
      <c r="I28" s="44">
        <v>7.9</v>
      </c>
      <c r="J28" s="43"/>
    </row>
    <row r="29" spans="2:10" x14ac:dyDescent="0.3">
      <c r="B29" s="42">
        <v>2014</v>
      </c>
      <c r="C29" s="43">
        <v>10</v>
      </c>
      <c r="D29" s="43">
        <v>10</v>
      </c>
      <c r="E29" s="43"/>
      <c r="F29" s="43"/>
      <c r="G29" s="43"/>
      <c r="H29" s="44"/>
      <c r="I29" s="44">
        <v>33.5</v>
      </c>
      <c r="J29" s="43"/>
    </row>
    <row r="30" spans="2:10" x14ac:dyDescent="0.3">
      <c r="B30" s="42">
        <v>2015</v>
      </c>
      <c r="C30" s="43">
        <v>10</v>
      </c>
      <c r="D30" s="43">
        <v>10</v>
      </c>
      <c r="E30" s="43">
        <v>12</v>
      </c>
      <c r="F30" s="43"/>
      <c r="G30" s="43"/>
      <c r="H30" s="44"/>
      <c r="I30" s="44">
        <v>53.4</v>
      </c>
      <c r="J30" s="43"/>
    </row>
    <row r="31" spans="2:10" x14ac:dyDescent="0.3">
      <c r="B31" s="42">
        <v>2016</v>
      </c>
      <c r="C31" s="43">
        <v>10</v>
      </c>
      <c r="D31" s="43">
        <v>10</v>
      </c>
      <c r="E31" s="43">
        <v>12</v>
      </c>
      <c r="F31" s="43"/>
      <c r="G31" s="43"/>
      <c r="H31" s="44"/>
      <c r="I31" s="44">
        <v>64.599999999999994</v>
      </c>
      <c r="J31" s="43"/>
    </row>
    <row r="32" spans="2:10" x14ac:dyDescent="0.3">
      <c r="B32" s="42">
        <v>2017</v>
      </c>
      <c r="C32" s="43">
        <v>10</v>
      </c>
      <c r="D32" s="43">
        <v>10</v>
      </c>
      <c r="E32" s="43">
        <v>12</v>
      </c>
      <c r="F32" s="43"/>
      <c r="G32" s="43"/>
      <c r="H32" s="44"/>
      <c r="I32" s="44">
        <v>59.5</v>
      </c>
      <c r="J32" s="43"/>
    </row>
    <row r="33" spans="2:11" x14ac:dyDescent="0.3">
      <c r="B33" s="42">
        <v>2018</v>
      </c>
      <c r="C33" s="43">
        <v>10</v>
      </c>
      <c r="D33" s="43">
        <v>10</v>
      </c>
      <c r="E33" s="43">
        <v>12</v>
      </c>
      <c r="F33" s="43"/>
      <c r="G33" s="43"/>
      <c r="H33" s="44"/>
      <c r="I33" s="44">
        <v>49</v>
      </c>
      <c r="J33" s="43"/>
    </row>
    <row r="34" spans="2:11" x14ac:dyDescent="0.3">
      <c r="B34" s="42">
        <v>2019</v>
      </c>
      <c r="C34" s="43">
        <v>10</v>
      </c>
      <c r="D34" s="43">
        <v>10</v>
      </c>
      <c r="E34" s="43">
        <v>12</v>
      </c>
      <c r="F34" s="43">
        <v>12</v>
      </c>
      <c r="G34" s="43"/>
      <c r="H34" s="44"/>
      <c r="I34" s="44">
        <v>52.1</v>
      </c>
      <c r="J34" s="43"/>
    </row>
    <row r="35" spans="2:11" x14ac:dyDescent="0.3">
      <c r="B35" s="42">
        <v>2020</v>
      </c>
      <c r="C35" s="43">
        <v>10</v>
      </c>
      <c r="D35" s="43">
        <v>10</v>
      </c>
      <c r="E35" s="43">
        <v>12</v>
      </c>
      <c r="F35" s="43">
        <v>12</v>
      </c>
      <c r="G35" s="43"/>
      <c r="H35" s="44"/>
      <c r="I35" s="44">
        <v>84.8</v>
      </c>
      <c r="J35" s="43"/>
    </row>
    <row r="36" spans="2:11" x14ac:dyDescent="0.3">
      <c r="B36" s="42">
        <v>2021</v>
      </c>
      <c r="C36" s="43">
        <v>10</v>
      </c>
      <c r="D36" s="43">
        <v>10</v>
      </c>
      <c r="E36" s="43">
        <v>12</v>
      </c>
      <c r="F36" s="43">
        <v>12</v>
      </c>
      <c r="G36" s="44">
        <v>8.1</v>
      </c>
      <c r="H36" s="44"/>
      <c r="I36" s="44">
        <v>-6.6</v>
      </c>
      <c r="J36" s="44"/>
    </row>
    <row r="37" spans="2:11" x14ac:dyDescent="0.3">
      <c r="B37" s="42">
        <v>2022</v>
      </c>
      <c r="C37" s="43">
        <v>10</v>
      </c>
      <c r="D37" s="43">
        <v>10</v>
      </c>
      <c r="E37" s="43">
        <v>12</v>
      </c>
      <c r="F37" s="43">
        <v>12</v>
      </c>
      <c r="G37" s="44">
        <v>17.5</v>
      </c>
      <c r="H37" s="44"/>
      <c r="I37" s="44">
        <v>-17.7</v>
      </c>
      <c r="J37" s="44"/>
    </row>
    <row r="38" spans="2:11" x14ac:dyDescent="0.3">
      <c r="B38" s="42">
        <v>2023</v>
      </c>
      <c r="C38" s="43">
        <v>10</v>
      </c>
      <c r="D38" s="43">
        <v>10</v>
      </c>
      <c r="E38" s="43">
        <v>12</v>
      </c>
      <c r="F38" s="43">
        <v>12</v>
      </c>
      <c r="G38" s="44">
        <v>27</v>
      </c>
      <c r="H38" s="44"/>
      <c r="I38" s="44">
        <v>108.4</v>
      </c>
      <c r="J38" s="44"/>
    </row>
    <row r="39" spans="2:11" x14ac:dyDescent="0.3">
      <c r="B39" s="42">
        <v>2024</v>
      </c>
      <c r="C39" s="43">
        <v>10</v>
      </c>
      <c r="D39" s="43">
        <v>10</v>
      </c>
      <c r="E39" s="43">
        <v>12</v>
      </c>
      <c r="F39" s="43">
        <v>12</v>
      </c>
      <c r="G39" s="44">
        <v>35</v>
      </c>
      <c r="H39" s="44"/>
      <c r="I39" s="44">
        <v>70.400000000000006</v>
      </c>
      <c r="J39" s="44"/>
    </row>
    <row r="40" spans="2:11" x14ac:dyDescent="0.3">
      <c r="B40" s="45">
        <v>2025</v>
      </c>
      <c r="C40" s="43">
        <v>10</v>
      </c>
      <c r="D40" s="43">
        <v>10</v>
      </c>
      <c r="E40" s="43">
        <v>12</v>
      </c>
      <c r="F40" s="43">
        <v>12</v>
      </c>
      <c r="G40" s="44">
        <v>43</v>
      </c>
      <c r="H40" s="44">
        <v>32.9</v>
      </c>
      <c r="I40" s="44">
        <v>13.7</v>
      </c>
      <c r="J40" s="44"/>
      <c r="K40" s="4"/>
    </row>
    <row r="41" spans="2:11" x14ac:dyDescent="0.3">
      <c r="B41" s="42">
        <v>2026</v>
      </c>
      <c r="C41" s="43">
        <v>10</v>
      </c>
      <c r="D41" s="43">
        <v>10</v>
      </c>
      <c r="E41" s="43">
        <v>12</v>
      </c>
      <c r="F41" s="43">
        <v>12</v>
      </c>
      <c r="G41" s="44">
        <v>41</v>
      </c>
      <c r="H41" s="44">
        <v>38.200000000000003</v>
      </c>
      <c r="I41" s="43"/>
      <c r="J41" s="44"/>
      <c r="K41" s="4"/>
    </row>
    <row r="42" spans="2:11" x14ac:dyDescent="0.3">
      <c r="B42" s="45">
        <v>2027</v>
      </c>
      <c r="C42" s="43">
        <v>10</v>
      </c>
      <c r="D42" s="43">
        <v>10</v>
      </c>
      <c r="E42" s="43">
        <v>12</v>
      </c>
      <c r="F42" s="43">
        <v>12</v>
      </c>
      <c r="G42" s="44">
        <v>39</v>
      </c>
      <c r="H42" s="44">
        <v>39.5</v>
      </c>
      <c r="I42" s="43"/>
      <c r="J42" s="44"/>
      <c r="K42" s="4"/>
    </row>
    <row r="43" spans="2:11" x14ac:dyDescent="0.3">
      <c r="B43" s="42">
        <v>2028</v>
      </c>
      <c r="C43" s="43">
        <v>10</v>
      </c>
      <c r="D43" s="43">
        <v>10</v>
      </c>
      <c r="E43" s="43">
        <v>12</v>
      </c>
      <c r="F43" s="43">
        <v>12</v>
      </c>
      <c r="G43" s="44">
        <v>37</v>
      </c>
      <c r="H43" s="44">
        <v>39.9</v>
      </c>
      <c r="I43" s="43"/>
      <c r="J43" s="44"/>
      <c r="K43" s="4"/>
    </row>
    <row r="44" spans="2:11" x14ac:dyDescent="0.3">
      <c r="B44" s="45">
        <v>2029</v>
      </c>
      <c r="C44" s="43">
        <v>10</v>
      </c>
      <c r="D44" s="43">
        <v>10</v>
      </c>
      <c r="E44" s="43">
        <v>12</v>
      </c>
      <c r="F44" s="43">
        <v>12</v>
      </c>
      <c r="G44" s="44">
        <v>35</v>
      </c>
      <c r="H44" s="44">
        <v>40</v>
      </c>
      <c r="I44" s="43"/>
      <c r="J44" s="44"/>
      <c r="K44" s="4"/>
    </row>
    <row r="45" spans="2:11" x14ac:dyDescent="0.3">
      <c r="B45" s="42">
        <v>2030</v>
      </c>
      <c r="C45" s="43">
        <v>10</v>
      </c>
      <c r="D45" s="43">
        <v>10</v>
      </c>
      <c r="E45" s="43">
        <v>12</v>
      </c>
      <c r="F45" s="43">
        <v>12</v>
      </c>
      <c r="G45" s="44">
        <v>33</v>
      </c>
      <c r="H45" s="44">
        <v>39.5</v>
      </c>
      <c r="I45" s="43"/>
      <c r="J45" s="44"/>
      <c r="K45" s="4"/>
    </row>
    <row r="46" spans="2:11" x14ac:dyDescent="0.3">
      <c r="B46" s="45">
        <v>2031</v>
      </c>
      <c r="C46" s="43">
        <v>10</v>
      </c>
      <c r="D46" s="43">
        <v>10</v>
      </c>
      <c r="E46" s="43">
        <v>12</v>
      </c>
      <c r="F46" s="43">
        <v>12</v>
      </c>
      <c r="G46" s="44">
        <v>31</v>
      </c>
      <c r="H46" s="44">
        <v>39</v>
      </c>
      <c r="I46" s="43"/>
      <c r="J46" s="44"/>
      <c r="K46" s="4"/>
    </row>
    <row r="47" spans="2:11" x14ac:dyDescent="0.3">
      <c r="B47" s="42">
        <v>2032</v>
      </c>
      <c r="C47" s="43">
        <v>10</v>
      </c>
      <c r="D47" s="43">
        <v>10</v>
      </c>
      <c r="E47" s="43">
        <v>12</v>
      </c>
      <c r="F47" s="43">
        <v>12</v>
      </c>
      <c r="G47" s="44">
        <v>29</v>
      </c>
      <c r="H47" s="44">
        <v>38.5</v>
      </c>
      <c r="I47" s="43"/>
      <c r="J47" s="44"/>
      <c r="K47" s="4"/>
    </row>
    <row r="48" spans="2:11" x14ac:dyDescent="0.3">
      <c r="B48" s="45">
        <v>2033</v>
      </c>
      <c r="C48" s="43">
        <v>10</v>
      </c>
      <c r="D48" s="43">
        <v>10</v>
      </c>
      <c r="E48" s="43">
        <v>12</v>
      </c>
      <c r="F48" s="43">
        <v>12</v>
      </c>
      <c r="G48" s="44">
        <v>27</v>
      </c>
      <c r="H48" s="44">
        <v>38</v>
      </c>
      <c r="I48" s="43"/>
      <c r="J48" s="44"/>
      <c r="K48" s="4"/>
    </row>
    <row r="49" spans="2:11" x14ac:dyDescent="0.3">
      <c r="B49" s="42">
        <v>2034</v>
      </c>
      <c r="C49" s="43">
        <v>10</v>
      </c>
      <c r="D49" s="43">
        <v>10</v>
      </c>
      <c r="E49" s="43">
        <v>12</v>
      </c>
      <c r="F49" s="43">
        <v>12</v>
      </c>
      <c r="G49" s="44">
        <v>25</v>
      </c>
      <c r="H49" s="44">
        <v>38.299999999999997</v>
      </c>
      <c r="I49" s="43"/>
      <c r="J49" s="44"/>
      <c r="K49" s="4"/>
    </row>
    <row r="50" spans="2:11" x14ac:dyDescent="0.3">
      <c r="B50" s="45">
        <v>2035</v>
      </c>
      <c r="C50" s="43">
        <v>10</v>
      </c>
      <c r="D50" s="43">
        <v>10</v>
      </c>
      <c r="E50" s="43">
        <v>12</v>
      </c>
      <c r="F50" s="43">
        <v>12</v>
      </c>
      <c r="G50" s="44">
        <v>25</v>
      </c>
      <c r="H50" s="44">
        <v>38.5</v>
      </c>
      <c r="I50" s="43"/>
      <c r="J50" s="44"/>
      <c r="K50" s="4"/>
    </row>
    <row r="51" spans="2:11" x14ac:dyDescent="0.3">
      <c r="B51" s="42">
        <v>2036</v>
      </c>
      <c r="C51" s="43">
        <v>10</v>
      </c>
      <c r="D51" s="43">
        <v>10</v>
      </c>
      <c r="E51" s="43">
        <v>12</v>
      </c>
      <c r="F51" s="43">
        <v>12</v>
      </c>
      <c r="G51" s="44">
        <v>25</v>
      </c>
      <c r="H51" s="44">
        <v>38.799999999999997</v>
      </c>
      <c r="I51" s="43"/>
      <c r="J51" s="44"/>
      <c r="K51" s="4"/>
    </row>
    <row r="52" spans="2:11" x14ac:dyDescent="0.3">
      <c r="B52" s="45">
        <v>2037</v>
      </c>
      <c r="C52" s="43">
        <v>10</v>
      </c>
      <c r="D52" s="43">
        <v>10</v>
      </c>
      <c r="E52" s="43">
        <v>12</v>
      </c>
      <c r="F52" s="43">
        <v>12</v>
      </c>
      <c r="G52" s="44">
        <v>25</v>
      </c>
      <c r="H52" s="44">
        <v>39</v>
      </c>
      <c r="I52" s="43"/>
      <c r="J52" s="44"/>
      <c r="K52" s="4"/>
    </row>
    <row r="53" spans="2:11" x14ac:dyDescent="0.3">
      <c r="B53" s="42">
        <v>2038</v>
      </c>
      <c r="C53" s="43">
        <v>10</v>
      </c>
      <c r="D53" s="43">
        <v>10</v>
      </c>
      <c r="E53" s="43">
        <v>12</v>
      </c>
      <c r="F53" s="43">
        <v>12</v>
      </c>
      <c r="G53" s="44">
        <v>25</v>
      </c>
      <c r="H53" s="44">
        <v>39.299999999999997</v>
      </c>
      <c r="I53" s="43"/>
      <c r="J53" s="44"/>
      <c r="K53" s="4"/>
    </row>
    <row r="54" spans="2:11" x14ac:dyDescent="0.3">
      <c r="B54" s="45">
        <v>2039</v>
      </c>
      <c r="C54" s="43">
        <v>10</v>
      </c>
      <c r="D54" s="43">
        <v>10</v>
      </c>
      <c r="E54" s="43">
        <v>12</v>
      </c>
      <c r="F54" s="43">
        <v>12</v>
      </c>
      <c r="G54" s="44">
        <v>25</v>
      </c>
      <c r="H54" s="44">
        <v>39.5</v>
      </c>
      <c r="I54" s="43"/>
      <c r="J54" s="44"/>
      <c r="K54" s="4"/>
    </row>
    <row r="55" spans="2:11" x14ac:dyDescent="0.3">
      <c r="B55" s="42">
        <v>2040</v>
      </c>
      <c r="C55" s="43">
        <v>10</v>
      </c>
      <c r="D55" s="43">
        <v>10</v>
      </c>
      <c r="E55" s="43">
        <v>12</v>
      </c>
      <c r="F55" s="43">
        <v>12</v>
      </c>
      <c r="G55" s="44">
        <v>25</v>
      </c>
      <c r="H55" s="44">
        <v>39.799999999999997</v>
      </c>
      <c r="I55" s="43"/>
      <c r="J55" s="44"/>
      <c r="K55" s="4"/>
    </row>
    <row r="56" spans="2:11" x14ac:dyDescent="0.3">
      <c r="B56" s="45">
        <v>2041</v>
      </c>
      <c r="C56" s="43">
        <v>10</v>
      </c>
      <c r="D56" s="43">
        <v>10</v>
      </c>
      <c r="E56" s="43">
        <v>12</v>
      </c>
      <c r="F56" s="43">
        <v>12</v>
      </c>
      <c r="G56" s="44">
        <v>25</v>
      </c>
      <c r="H56" s="44">
        <v>40</v>
      </c>
      <c r="I56" s="43"/>
      <c r="J56" s="44"/>
      <c r="K56" s="4"/>
    </row>
    <row r="57" spans="2:11" x14ac:dyDescent="0.3">
      <c r="B57" s="42">
        <v>2042</v>
      </c>
      <c r="C57" s="43">
        <v>10</v>
      </c>
      <c r="D57" s="43">
        <v>10</v>
      </c>
      <c r="E57" s="43">
        <v>12</v>
      </c>
      <c r="F57" s="43">
        <v>12</v>
      </c>
      <c r="G57" s="44">
        <v>25</v>
      </c>
      <c r="H57" s="44">
        <v>40.299999999999997</v>
      </c>
      <c r="I57" s="43"/>
      <c r="J57" s="44"/>
      <c r="K57" s="4"/>
    </row>
    <row r="58" spans="2:11" x14ac:dyDescent="0.3">
      <c r="B58" s="45">
        <v>2043</v>
      </c>
      <c r="C58" s="43">
        <v>10</v>
      </c>
      <c r="D58" s="43">
        <v>10</v>
      </c>
      <c r="E58" s="43">
        <v>12</v>
      </c>
      <c r="F58" s="43">
        <v>12</v>
      </c>
      <c r="G58" s="44">
        <v>25</v>
      </c>
      <c r="H58" s="44">
        <v>40.5</v>
      </c>
      <c r="I58" s="43"/>
      <c r="J58" s="44"/>
      <c r="K58" s="4"/>
    </row>
    <row r="59" spans="2:11" x14ac:dyDescent="0.3">
      <c r="B59" s="42">
        <v>2044</v>
      </c>
      <c r="C59" s="43">
        <v>10</v>
      </c>
      <c r="D59" s="43">
        <v>10</v>
      </c>
      <c r="E59" s="43">
        <v>12</v>
      </c>
      <c r="F59" s="43">
        <v>12</v>
      </c>
      <c r="G59" s="44">
        <v>25</v>
      </c>
      <c r="H59" s="44">
        <v>40.799999999999997</v>
      </c>
      <c r="I59" s="43"/>
      <c r="J59" s="44"/>
      <c r="K59" s="4"/>
    </row>
    <row r="60" spans="2:11" x14ac:dyDescent="0.3">
      <c r="B60" s="45">
        <v>2045</v>
      </c>
      <c r="C60" s="43">
        <v>10</v>
      </c>
      <c r="D60" s="43">
        <v>10</v>
      </c>
      <c r="E60" s="43">
        <v>12</v>
      </c>
      <c r="F60" s="43">
        <v>12</v>
      </c>
      <c r="G60" s="44">
        <v>25</v>
      </c>
      <c r="H60" s="44">
        <v>41</v>
      </c>
      <c r="I60" s="43"/>
      <c r="J60" s="44"/>
      <c r="K60" s="4"/>
    </row>
    <row r="61" spans="2:11" x14ac:dyDescent="0.3">
      <c r="B61" s="42">
        <v>2046</v>
      </c>
      <c r="C61" s="43">
        <v>10</v>
      </c>
      <c r="D61" s="43">
        <v>10</v>
      </c>
      <c r="E61" s="43">
        <v>12</v>
      </c>
      <c r="F61" s="43">
        <v>12</v>
      </c>
      <c r="G61" s="44">
        <v>25</v>
      </c>
      <c r="H61" s="44">
        <v>41.3</v>
      </c>
      <c r="I61" s="43"/>
      <c r="J61" s="44"/>
      <c r="K61" s="4"/>
    </row>
    <row r="62" spans="2:11" x14ac:dyDescent="0.3">
      <c r="B62" s="45">
        <v>2047</v>
      </c>
      <c r="C62" s="43">
        <v>10</v>
      </c>
      <c r="D62" s="43">
        <v>10</v>
      </c>
      <c r="E62" s="43">
        <v>12</v>
      </c>
      <c r="F62" s="43">
        <v>12</v>
      </c>
      <c r="G62" s="44">
        <v>25</v>
      </c>
      <c r="H62" s="44">
        <v>41.5</v>
      </c>
      <c r="I62" s="43"/>
      <c r="J62" s="44"/>
      <c r="K62" s="4"/>
    </row>
    <row r="63" spans="2:11" x14ac:dyDescent="0.3">
      <c r="B63" s="42">
        <v>2048</v>
      </c>
      <c r="C63" s="43">
        <v>10</v>
      </c>
      <c r="D63" s="43">
        <v>10</v>
      </c>
      <c r="E63" s="43">
        <v>12</v>
      </c>
      <c r="F63" s="43">
        <v>12</v>
      </c>
      <c r="G63" s="44">
        <v>25</v>
      </c>
      <c r="H63" s="44">
        <v>41.8</v>
      </c>
      <c r="I63" s="43"/>
      <c r="J63" s="44"/>
      <c r="K63" s="4"/>
    </row>
    <row r="64" spans="2:11" x14ac:dyDescent="0.3">
      <c r="B64" s="45">
        <v>2049</v>
      </c>
      <c r="C64" s="43">
        <v>10</v>
      </c>
      <c r="D64" s="43">
        <v>10</v>
      </c>
      <c r="E64" s="43">
        <v>12</v>
      </c>
      <c r="F64" s="43">
        <v>12</v>
      </c>
      <c r="G64" s="44">
        <v>25</v>
      </c>
      <c r="H64" s="44">
        <v>42</v>
      </c>
      <c r="I64" s="43"/>
      <c r="J64" s="44"/>
      <c r="K64" s="4"/>
    </row>
    <row r="65" spans="2:11" x14ac:dyDescent="0.3">
      <c r="B65" s="42">
        <v>2050</v>
      </c>
      <c r="C65" s="43">
        <v>10</v>
      </c>
      <c r="D65" s="43">
        <v>10</v>
      </c>
      <c r="E65" s="43">
        <v>12</v>
      </c>
      <c r="F65" s="43">
        <v>12</v>
      </c>
      <c r="G65" s="44">
        <v>25</v>
      </c>
      <c r="H65" s="44">
        <v>42.3</v>
      </c>
      <c r="I65" s="43"/>
      <c r="J65" s="44"/>
      <c r="K65" s="4"/>
    </row>
    <row r="66" spans="2:11" x14ac:dyDescent="0.3">
      <c r="B66" s="45">
        <v>2051</v>
      </c>
      <c r="C66" s="43">
        <v>10</v>
      </c>
      <c r="D66" s="43">
        <v>10</v>
      </c>
      <c r="E66" s="43">
        <v>12</v>
      </c>
      <c r="F66" s="43">
        <v>12</v>
      </c>
      <c r="G66" s="44">
        <v>25</v>
      </c>
      <c r="H66" s="44">
        <v>42.5</v>
      </c>
      <c r="I66" s="43"/>
      <c r="J66" s="44"/>
      <c r="K66" s="4"/>
    </row>
    <row r="67" spans="2:11" x14ac:dyDescent="0.3">
      <c r="B67" s="42">
        <v>2052</v>
      </c>
      <c r="C67" s="43">
        <v>10</v>
      </c>
      <c r="D67" s="43">
        <v>10</v>
      </c>
      <c r="E67" s="43">
        <v>12</v>
      </c>
      <c r="F67" s="43">
        <v>12</v>
      </c>
      <c r="G67" s="44">
        <v>25</v>
      </c>
      <c r="H67" s="44">
        <v>42.8</v>
      </c>
      <c r="I67" s="43"/>
      <c r="J67" s="44"/>
      <c r="K67" s="4"/>
    </row>
    <row r="68" spans="2:11" x14ac:dyDescent="0.3">
      <c r="B68" s="45">
        <v>2053</v>
      </c>
      <c r="C68" s="43">
        <v>10</v>
      </c>
      <c r="D68" s="43">
        <v>10</v>
      </c>
      <c r="E68" s="43">
        <v>12</v>
      </c>
      <c r="F68" s="43">
        <v>12</v>
      </c>
      <c r="G68" s="44">
        <v>25</v>
      </c>
      <c r="H68" s="44">
        <v>43</v>
      </c>
      <c r="I68" s="43"/>
      <c r="J68" s="44"/>
      <c r="K68" s="4"/>
    </row>
    <row r="69" spans="2:11" x14ac:dyDescent="0.3">
      <c r="B69" s="42">
        <v>2054</v>
      </c>
      <c r="C69" s="43">
        <v>10</v>
      </c>
      <c r="D69" s="43">
        <v>10</v>
      </c>
      <c r="E69" s="43">
        <v>12</v>
      </c>
      <c r="F69" s="43">
        <v>12</v>
      </c>
      <c r="G69" s="44">
        <v>25</v>
      </c>
      <c r="H69" s="44">
        <v>43.3</v>
      </c>
      <c r="I69" s="43"/>
      <c r="J69" s="44"/>
      <c r="K69" s="4"/>
    </row>
    <row r="70" spans="2:11" x14ac:dyDescent="0.3">
      <c r="B70" s="45">
        <v>2055</v>
      </c>
      <c r="C70" s="43">
        <v>10</v>
      </c>
      <c r="D70" s="43">
        <v>10</v>
      </c>
      <c r="E70" s="43">
        <v>12</v>
      </c>
      <c r="F70" s="43">
        <v>12</v>
      </c>
      <c r="G70" s="44">
        <v>25</v>
      </c>
      <c r="H70" s="44">
        <v>43.5</v>
      </c>
      <c r="I70" s="43"/>
      <c r="J70" s="44"/>
      <c r="K70" s="4"/>
    </row>
    <row r="71" spans="2:11" x14ac:dyDescent="0.3">
      <c r="B71" s="42">
        <v>2056</v>
      </c>
      <c r="C71" s="43">
        <v>10</v>
      </c>
      <c r="D71" s="43">
        <v>10</v>
      </c>
      <c r="E71" s="43">
        <v>12</v>
      </c>
      <c r="F71" s="43">
        <v>12</v>
      </c>
      <c r="G71" s="44">
        <v>25</v>
      </c>
      <c r="H71" s="44">
        <v>43.8</v>
      </c>
      <c r="I71" s="43"/>
      <c r="J71" s="44"/>
      <c r="K71" s="4"/>
    </row>
    <row r="72" spans="2:11" x14ac:dyDescent="0.3">
      <c r="B72" s="45">
        <v>2057</v>
      </c>
      <c r="C72" s="43">
        <v>10</v>
      </c>
      <c r="D72" s="43">
        <v>10</v>
      </c>
      <c r="E72" s="43">
        <v>12</v>
      </c>
      <c r="F72" s="43">
        <v>12</v>
      </c>
      <c r="G72" s="44">
        <v>25</v>
      </c>
      <c r="H72" s="44">
        <v>44</v>
      </c>
      <c r="I72" s="43"/>
      <c r="J72" s="44"/>
      <c r="K72" s="4"/>
    </row>
    <row r="73" spans="2:11" x14ac:dyDescent="0.3">
      <c r="B73" s="42">
        <v>2058</v>
      </c>
      <c r="C73" s="43">
        <v>10</v>
      </c>
      <c r="D73" s="43">
        <v>10</v>
      </c>
      <c r="E73" s="43">
        <v>12</v>
      </c>
      <c r="F73" s="43">
        <v>12</v>
      </c>
      <c r="G73" s="44">
        <v>25</v>
      </c>
      <c r="H73" s="44">
        <v>44.3</v>
      </c>
      <c r="I73" s="43"/>
      <c r="J73" s="44"/>
      <c r="K73" s="4"/>
    </row>
    <row r="74" spans="2:11" x14ac:dyDescent="0.3">
      <c r="B74" s="45">
        <v>2059</v>
      </c>
      <c r="C74" s="43">
        <v>10</v>
      </c>
      <c r="D74" s="43">
        <v>10</v>
      </c>
      <c r="E74" s="43">
        <v>12</v>
      </c>
      <c r="F74" s="43">
        <v>12</v>
      </c>
      <c r="G74" s="44">
        <v>25</v>
      </c>
      <c r="H74" s="44">
        <v>44.5</v>
      </c>
      <c r="I74" s="43"/>
      <c r="J74" s="44"/>
      <c r="K74" s="4"/>
    </row>
    <row r="75" spans="2:11" x14ac:dyDescent="0.3">
      <c r="B75" s="42">
        <v>2060</v>
      </c>
      <c r="C75" s="43">
        <v>10</v>
      </c>
      <c r="D75" s="43">
        <v>10</v>
      </c>
      <c r="E75" s="43">
        <v>12</v>
      </c>
      <c r="F75" s="43">
        <v>12</v>
      </c>
      <c r="G75" s="44">
        <v>25</v>
      </c>
      <c r="H75" s="44">
        <v>44.8</v>
      </c>
      <c r="I75" s="43"/>
      <c r="J75" s="44"/>
      <c r="K75" s="4"/>
    </row>
    <row r="76" spans="2:11" x14ac:dyDescent="0.3">
      <c r="B76" s="45">
        <v>2061</v>
      </c>
      <c r="C76" s="43">
        <v>10</v>
      </c>
      <c r="D76" s="43">
        <v>10</v>
      </c>
      <c r="E76" s="43">
        <v>12</v>
      </c>
      <c r="F76" s="43">
        <v>12</v>
      </c>
      <c r="G76" s="44">
        <v>25</v>
      </c>
      <c r="H76" s="44">
        <v>45</v>
      </c>
      <c r="I76" s="43"/>
      <c r="J76" s="44"/>
      <c r="K76" s="4"/>
    </row>
    <row r="77" spans="2:11" x14ac:dyDescent="0.3">
      <c r="B77" s="42">
        <v>2062</v>
      </c>
      <c r="C77" s="43">
        <v>10</v>
      </c>
      <c r="D77" s="43">
        <v>10</v>
      </c>
      <c r="E77" s="43">
        <v>12</v>
      </c>
      <c r="F77" s="43">
        <v>12</v>
      </c>
      <c r="G77" s="44">
        <v>25</v>
      </c>
      <c r="H77" s="44">
        <v>45.3</v>
      </c>
      <c r="I77" s="43"/>
      <c r="J77" s="44"/>
      <c r="K77" s="4"/>
    </row>
    <row r="78" spans="2:11" x14ac:dyDescent="0.3">
      <c r="B78" s="45">
        <v>2063</v>
      </c>
      <c r="C78" s="43">
        <v>10</v>
      </c>
      <c r="D78" s="43">
        <v>10</v>
      </c>
      <c r="E78" s="43">
        <v>12</v>
      </c>
      <c r="F78" s="43">
        <v>12</v>
      </c>
      <c r="G78" s="44">
        <v>25</v>
      </c>
      <c r="H78" s="44">
        <v>45.5</v>
      </c>
      <c r="I78" s="43"/>
      <c r="J78" s="44"/>
      <c r="K78" s="4"/>
    </row>
    <row r="79" spans="2:11" x14ac:dyDescent="0.3">
      <c r="B79" s="42">
        <v>2064</v>
      </c>
      <c r="C79" s="43">
        <v>10</v>
      </c>
      <c r="D79" s="43">
        <v>10</v>
      </c>
      <c r="E79" s="43">
        <v>12</v>
      </c>
      <c r="F79" s="43">
        <v>12</v>
      </c>
      <c r="G79" s="44">
        <v>25</v>
      </c>
      <c r="H79" s="44">
        <v>45.8</v>
      </c>
      <c r="I79" s="43"/>
      <c r="J79" s="44"/>
      <c r="K79" s="4"/>
    </row>
    <row r="80" spans="2:11" x14ac:dyDescent="0.3">
      <c r="B80" s="45">
        <v>2065</v>
      </c>
      <c r="C80" s="43">
        <v>10</v>
      </c>
      <c r="D80" s="43">
        <v>10</v>
      </c>
      <c r="E80" s="43">
        <v>12</v>
      </c>
      <c r="F80" s="43">
        <v>12</v>
      </c>
      <c r="G80" s="44">
        <v>25</v>
      </c>
      <c r="H80" s="44">
        <v>46</v>
      </c>
      <c r="I80" s="43"/>
      <c r="J80" s="44"/>
      <c r="K80" s="4"/>
    </row>
    <row r="82" spans="9:10" ht="15" customHeight="1" x14ac:dyDescent="0.3">
      <c r="I82" s="46"/>
      <c r="J82" s="46"/>
    </row>
    <row r="83" spans="9:10" ht="15" customHeight="1" x14ac:dyDescent="0.3">
      <c r="I83" s="13"/>
      <c r="J83" s="39"/>
    </row>
    <row r="84" spans="9:10" x14ac:dyDescent="0.3">
      <c r="I84" s="13"/>
      <c r="J84" s="35"/>
    </row>
    <row r="85" spans="9:10" ht="15" customHeight="1" x14ac:dyDescent="0.3">
      <c r="J85" s="35"/>
    </row>
    <row r="86" spans="9:10" x14ac:dyDescent="0.3">
      <c r="J86" s="35"/>
    </row>
    <row r="87" spans="9:10" x14ac:dyDescent="0.3">
      <c r="J87" s="39"/>
    </row>
    <row r="88" spans="9:10" ht="15" customHeight="1" x14ac:dyDescent="0.3">
      <c r="I88" s="13"/>
      <c r="J88" s="35"/>
    </row>
    <row r="89" spans="9:10" ht="15" customHeight="1" x14ac:dyDescent="0.3">
      <c r="J89" s="35"/>
    </row>
    <row r="90" spans="9:10" ht="15" customHeight="1" x14ac:dyDescent="0.3">
      <c r="J90" s="35"/>
    </row>
    <row r="91" spans="9:10" ht="15" customHeight="1" x14ac:dyDescent="0.3">
      <c r="J91" s="35"/>
    </row>
    <row r="92" spans="9:10" ht="15" customHeight="1" x14ac:dyDescent="0.3">
      <c r="J92" s="35"/>
    </row>
    <row r="93" spans="9:10" ht="15" customHeight="1" x14ac:dyDescent="0.3">
      <c r="J93" s="35"/>
    </row>
    <row r="94" spans="9:10" ht="15" customHeight="1" x14ac:dyDescent="0.3">
      <c r="J94" s="35"/>
    </row>
    <row r="95" spans="9:10" ht="15" customHeight="1" x14ac:dyDescent="0.3">
      <c r="J95" s="35"/>
    </row>
    <row r="96" spans="9:10" ht="15" customHeight="1" x14ac:dyDescent="0.3">
      <c r="J96" s="35"/>
    </row>
    <row r="97" spans="10:10" x14ac:dyDescent="0.3">
      <c r="J97" s="35"/>
    </row>
    <row r="98" spans="10:10" x14ac:dyDescent="0.3">
      <c r="J98" s="35"/>
    </row>
    <row r="99" spans="10:10" ht="15" customHeight="1" x14ac:dyDescent="0.3">
      <c r="J99" s="35"/>
    </row>
    <row r="100" spans="10:10" ht="15" customHeight="1" x14ac:dyDescent="0.3">
      <c r="J100" s="35"/>
    </row>
    <row r="101" spans="10:10" ht="15" customHeight="1" x14ac:dyDescent="0.3">
      <c r="J101" s="35"/>
    </row>
    <row r="102" spans="10:10" ht="15" customHeight="1" x14ac:dyDescent="0.3">
      <c r="J102" s="35"/>
    </row>
    <row r="103" spans="10:10" x14ac:dyDescent="0.3">
      <c r="J103" s="35"/>
    </row>
    <row r="104" spans="10:10" ht="15" customHeight="1" x14ac:dyDescent="0.3">
      <c r="J104" s="35"/>
    </row>
    <row r="105" spans="10:10" x14ac:dyDescent="0.3">
      <c r="J105" s="35"/>
    </row>
    <row r="106" spans="10:10" ht="15" customHeight="1" x14ac:dyDescent="0.3">
      <c r="J106" s="35"/>
    </row>
    <row r="107" spans="10:10" x14ac:dyDescent="0.3">
      <c r="J107" s="35"/>
    </row>
    <row r="108" spans="10:10" ht="15" customHeight="1" x14ac:dyDescent="0.3">
      <c r="J108" s="35"/>
    </row>
    <row r="109" spans="10:10" x14ac:dyDescent="0.3">
      <c r="J109" s="35"/>
    </row>
    <row r="110" spans="10:10" x14ac:dyDescent="0.3">
      <c r="J110" s="35"/>
    </row>
    <row r="111" spans="10:10" ht="15" customHeight="1" x14ac:dyDescent="0.3">
      <c r="J111" s="35"/>
    </row>
    <row r="112" spans="10:10" ht="15" customHeight="1" x14ac:dyDescent="0.3">
      <c r="J112" s="35"/>
    </row>
    <row r="113" spans="9:10" x14ac:dyDescent="0.3">
      <c r="J113" s="35"/>
    </row>
    <row r="114" spans="9:10" ht="15" customHeight="1" x14ac:dyDescent="0.3">
      <c r="J114" s="35"/>
    </row>
    <row r="115" spans="9:10" ht="15" customHeight="1" x14ac:dyDescent="0.3">
      <c r="J115" s="35"/>
    </row>
    <row r="116" spans="9:10" ht="15" customHeight="1" x14ac:dyDescent="0.3">
      <c r="J116" s="35"/>
    </row>
    <row r="117" spans="9:10" ht="15" customHeight="1" x14ac:dyDescent="0.3">
      <c r="J117" s="47"/>
    </row>
    <row r="118" spans="9:10" x14ac:dyDescent="0.3">
      <c r="I118" s="4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DBC3-BC61-46FC-A753-EE91658486B3}">
  <dimension ref="B2:BI311"/>
  <sheetViews>
    <sheetView showGridLines="0" workbookViewId="0">
      <selection activeCell="B7" sqref="B7"/>
    </sheetView>
  </sheetViews>
  <sheetFormatPr defaultColWidth="8.7109375" defaultRowHeight="16.5" x14ac:dyDescent="0.3"/>
  <cols>
    <col min="1" max="2" width="8.7109375" style="1"/>
    <col min="3" max="3" width="12.42578125" style="1" bestFit="1" customWidth="1"/>
    <col min="4" max="4" width="21.42578125" style="1" bestFit="1" customWidth="1"/>
    <col min="5" max="5" width="12.42578125" style="1" bestFit="1" customWidth="1"/>
    <col min="6" max="6" width="8.7109375" style="1"/>
    <col min="7" max="7" width="8.7109375" style="29"/>
    <col min="8" max="8" width="12.42578125" style="29" bestFit="1" customWidth="1"/>
    <col min="9" max="9" width="20.85546875" style="1" bestFit="1" customWidth="1"/>
    <col min="10" max="10" width="8.7109375" style="1"/>
    <col min="11" max="11" width="12.140625" style="1" customWidth="1"/>
    <col min="12" max="16384" width="8.7109375" style="1"/>
  </cols>
  <sheetData>
    <row r="2" spans="2:61" ht="14.45" customHeight="1" x14ac:dyDescent="0.3">
      <c r="B2" s="9" t="s">
        <v>272</v>
      </c>
      <c r="C2" s="8"/>
      <c r="D2" s="8"/>
      <c r="E2" s="8"/>
      <c r="F2" s="8"/>
      <c r="H2" s="114"/>
      <c r="I2" s="114"/>
      <c r="J2" s="114"/>
      <c r="K2" s="114"/>
      <c r="L2" s="114"/>
      <c r="M2" s="114"/>
      <c r="N2" s="114"/>
      <c r="O2" s="114"/>
      <c r="P2" s="114"/>
      <c r="Q2" s="114"/>
    </row>
    <row r="3" spans="2:61" x14ac:dyDescent="0.3">
      <c r="B3" s="8" t="s">
        <v>275</v>
      </c>
      <c r="C3" s="8"/>
      <c r="D3" s="8"/>
      <c r="E3" s="8"/>
      <c r="F3" s="8"/>
    </row>
    <row r="5" spans="2:61" x14ac:dyDescent="0.3">
      <c r="C5" s="1">
        <v>2006</v>
      </c>
      <c r="D5" s="1" t="s">
        <v>31</v>
      </c>
      <c r="E5" s="1" t="s">
        <v>262</v>
      </c>
    </row>
    <row r="6" spans="2:61" x14ac:dyDescent="0.3">
      <c r="C6" s="71" t="s">
        <v>159</v>
      </c>
      <c r="D6" s="71" t="s">
        <v>159</v>
      </c>
      <c r="E6" s="1" t="s">
        <v>159</v>
      </c>
    </row>
    <row r="7" spans="2:61" x14ac:dyDescent="0.3">
      <c r="B7" s="1" t="s">
        <v>263</v>
      </c>
      <c r="C7" s="4">
        <v>22.601934291679665</v>
      </c>
      <c r="D7" s="4">
        <v>17.299198762657504</v>
      </c>
      <c r="E7" s="4">
        <v>19.25263255987327</v>
      </c>
      <c r="H7" s="87"/>
      <c r="I7" s="4"/>
    </row>
    <row r="8" spans="2:61" x14ac:dyDescent="0.3">
      <c r="B8" s="1" t="s">
        <v>264</v>
      </c>
      <c r="C8" s="4">
        <v>65.384920031217376</v>
      </c>
      <c r="D8" s="4">
        <v>63.25764278039663</v>
      </c>
      <c r="E8" s="4">
        <v>64.089543546671578</v>
      </c>
      <c r="H8" s="87"/>
      <c r="I8" s="4"/>
    </row>
    <row r="9" spans="2:61" x14ac:dyDescent="0.3">
      <c r="B9" s="1" t="s">
        <v>265</v>
      </c>
      <c r="C9" s="4">
        <v>12.013145677102925</v>
      </c>
      <c r="D9" s="4">
        <v>19.443158456945884</v>
      </c>
      <c r="E9" s="4">
        <v>16.657823893455156</v>
      </c>
      <c r="H9" s="87"/>
      <c r="I9" s="4"/>
    </row>
    <row r="10" spans="2:61" x14ac:dyDescent="0.3">
      <c r="C10" s="4"/>
      <c r="D10" s="4"/>
      <c r="E10" s="4"/>
    </row>
    <row r="11" spans="2:61" x14ac:dyDescent="0.3">
      <c r="C11" s="4"/>
      <c r="D11" s="4"/>
      <c r="E11" s="4"/>
    </row>
    <row r="15" spans="2:61" x14ac:dyDescent="0.3">
      <c r="C15" s="13"/>
      <c r="D15" s="13"/>
      <c r="E15" s="13"/>
      <c r="F15" s="13"/>
      <c r="G15" s="88"/>
      <c r="H15" s="88"/>
      <c r="I15" s="13"/>
      <c r="N15" s="13"/>
      <c r="O15" s="13"/>
      <c r="P15" s="13"/>
      <c r="Q15" s="13"/>
      <c r="R15" s="13"/>
      <c r="S15" s="13"/>
      <c r="T15" s="13"/>
      <c r="U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row>
    <row r="215" spans="5:17" x14ac:dyDescent="0.3">
      <c r="O215" s="79"/>
      <c r="Q215"/>
    </row>
    <row r="216" spans="5:17" x14ac:dyDescent="0.3">
      <c r="E216" s="4"/>
      <c r="H216" s="87"/>
      <c r="I216" s="81"/>
      <c r="J216" s="4"/>
      <c r="K216" s="80"/>
      <c r="O216" s="79"/>
      <c r="Q216"/>
    </row>
    <row r="217" spans="5:17" x14ac:dyDescent="0.3">
      <c r="E217" s="4"/>
      <c r="H217" s="87"/>
      <c r="I217" s="81"/>
      <c r="J217" s="4"/>
      <c r="K217" s="80"/>
      <c r="O217" s="79"/>
      <c r="Q217"/>
    </row>
    <row r="218" spans="5:17" x14ac:dyDescent="0.3">
      <c r="E218" s="4"/>
      <c r="H218" s="87"/>
      <c r="I218" s="81"/>
      <c r="J218" s="4"/>
      <c r="K218" s="80"/>
      <c r="O218"/>
      <c r="Q218"/>
    </row>
    <row r="219" spans="5:17" x14ac:dyDescent="0.3">
      <c r="E219" s="4"/>
      <c r="H219" s="87"/>
      <c r="I219" s="81"/>
      <c r="J219" s="4"/>
      <c r="K219" s="80"/>
      <c r="O219" s="79"/>
      <c r="Q219"/>
    </row>
    <row r="220" spans="5:17" x14ac:dyDescent="0.3">
      <c r="E220" s="4"/>
      <c r="H220" s="87"/>
      <c r="I220" s="81"/>
      <c r="J220" s="4"/>
      <c r="K220" s="80"/>
    </row>
    <row r="221" spans="5:17" x14ac:dyDescent="0.3">
      <c r="E221" s="4"/>
      <c r="H221" s="87"/>
      <c r="I221" s="81"/>
      <c r="J221" s="4"/>
      <c r="K221" s="80"/>
    </row>
    <row r="222" spans="5:17" x14ac:dyDescent="0.3">
      <c r="E222" s="4"/>
      <c r="H222" s="87"/>
      <c r="I222" s="81"/>
      <c r="J222" s="4"/>
      <c r="K222" s="80"/>
    </row>
    <row r="223" spans="5:17" x14ac:dyDescent="0.3">
      <c r="E223" s="4"/>
      <c r="H223" s="87"/>
      <c r="I223" s="81"/>
      <c r="J223" s="4"/>
      <c r="K223" s="80"/>
    </row>
    <row r="224" spans="5:17" x14ac:dyDescent="0.3">
      <c r="E224" s="4"/>
      <c r="H224" s="87"/>
      <c r="I224" s="81"/>
      <c r="J224" s="4"/>
      <c r="K224" s="80"/>
    </row>
    <row r="225" spans="5:11" x14ac:dyDescent="0.3">
      <c r="E225" s="4"/>
      <c r="H225" s="87"/>
      <c r="I225" s="81"/>
      <c r="J225" s="4"/>
      <c r="K225" s="80"/>
    </row>
    <row r="226" spans="5:11" x14ac:dyDescent="0.3">
      <c r="E226" s="4"/>
      <c r="H226" s="87"/>
      <c r="I226" s="81"/>
      <c r="J226" s="4"/>
      <c r="K226" s="80"/>
    </row>
    <row r="227" spans="5:11" x14ac:dyDescent="0.3">
      <c r="E227" s="4"/>
      <c r="H227" s="87"/>
      <c r="I227" s="81"/>
      <c r="J227" s="4"/>
      <c r="K227" s="80"/>
    </row>
    <row r="228" spans="5:11" x14ac:dyDescent="0.3">
      <c r="E228" s="4"/>
      <c r="H228" s="87"/>
      <c r="I228" s="81"/>
      <c r="J228" s="4"/>
      <c r="K228" s="80"/>
    </row>
    <row r="229" spans="5:11" x14ac:dyDescent="0.3">
      <c r="E229" s="4"/>
      <c r="H229" s="87"/>
      <c r="I229" s="81"/>
      <c r="J229" s="4"/>
      <c r="K229" s="80"/>
    </row>
    <row r="230" spans="5:11" x14ac:dyDescent="0.3">
      <c r="E230" s="4"/>
      <c r="H230" s="87"/>
      <c r="I230" s="81"/>
      <c r="J230" s="4"/>
      <c r="K230" s="80"/>
    </row>
    <row r="231" spans="5:11" x14ac:dyDescent="0.3">
      <c r="E231" s="4"/>
      <c r="H231" s="87"/>
      <c r="I231" s="81"/>
      <c r="J231" s="4"/>
      <c r="K231" s="80"/>
    </row>
    <row r="232" spans="5:11" x14ac:dyDescent="0.3">
      <c r="E232" s="4"/>
      <c r="H232" s="87"/>
      <c r="I232" s="81"/>
      <c r="J232" s="4"/>
      <c r="K232" s="80"/>
    </row>
    <row r="233" spans="5:11" x14ac:dyDescent="0.3">
      <c r="E233" s="4"/>
      <c r="H233" s="87"/>
      <c r="I233" s="81"/>
      <c r="J233" s="4"/>
      <c r="K233" s="80"/>
    </row>
    <row r="234" spans="5:11" x14ac:dyDescent="0.3">
      <c r="E234" s="4"/>
      <c r="H234" s="87"/>
      <c r="I234" s="81"/>
      <c r="J234" s="4"/>
      <c r="K234" s="80"/>
    </row>
    <row r="235" spans="5:11" x14ac:dyDescent="0.3">
      <c r="E235" s="4"/>
      <c r="H235" s="87"/>
      <c r="I235" s="81"/>
      <c r="J235" s="4"/>
      <c r="K235" s="80"/>
    </row>
    <row r="236" spans="5:11" x14ac:dyDescent="0.3">
      <c r="E236" s="4"/>
      <c r="H236" s="87"/>
      <c r="I236" s="81"/>
      <c r="J236" s="4"/>
      <c r="K236" s="80"/>
    </row>
    <row r="237" spans="5:11" x14ac:dyDescent="0.3">
      <c r="E237" s="4"/>
      <c r="H237" s="87"/>
      <c r="I237" s="81"/>
      <c r="J237" s="4"/>
      <c r="K237" s="80"/>
    </row>
    <row r="238" spans="5:11" x14ac:dyDescent="0.3">
      <c r="E238" s="4"/>
      <c r="H238" s="87"/>
      <c r="I238" s="81"/>
      <c r="J238" s="4"/>
      <c r="K238" s="80"/>
    </row>
    <row r="239" spans="5:11" x14ac:dyDescent="0.3">
      <c r="E239" s="4"/>
      <c r="H239" s="87"/>
      <c r="I239" s="81"/>
      <c r="J239" s="4"/>
      <c r="K239" s="80"/>
    </row>
    <row r="240" spans="5:11" x14ac:dyDescent="0.3">
      <c r="E240" s="4"/>
      <c r="H240" s="87"/>
      <c r="I240" s="81"/>
      <c r="J240" s="4"/>
      <c r="K240" s="80"/>
    </row>
    <row r="241" spans="5:11" x14ac:dyDescent="0.3">
      <c r="E241" s="4"/>
      <c r="H241" s="87"/>
      <c r="I241" s="81"/>
      <c r="J241" s="4"/>
      <c r="K241" s="80"/>
    </row>
    <row r="242" spans="5:11" x14ac:dyDescent="0.3">
      <c r="E242" s="4"/>
      <c r="H242" s="87"/>
      <c r="I242" s="81"/>
      <c r="J242" s="4"/>
      <c r="K242" s="80"/>
    </row>
    <row r="243" spans="5:11" x14ac:dyDescent="0.3">
      <c r="E243" s="4"/>
      <c r="H243" s="87"/>
      <c r="I243" s="81"/>
      <c r="J243" s="4"/>
      <c r="K243" s="80"/>
    </row>
    <row r="244" spans="5:11" x14ac:dyDescent="0.3">
      <c r="E244" s="4"/>
      <c r="H244" s="87"/>
      <c r="I244" s="81"/>
      <c r="J244" s="4"/>
      <c r="K244" s="80"/>
    </row>
    <row r="245" spans="5:11" x14ac:dyDescent="0.3">
      <c r="E245" s="4"/>
      <c r="H245" s="87"/>
      <c r="I245" s="81"/>
      <c r="J245" s="4"/>
      <c r="K245" s="80"/>
    </row>
    <row r="246" spans="5:11" x14ac:dyDescent="0.3">
      <c r="E246" s="4"/>
      <c r="H246" s="87"/>
      <c r="I246" s="81"/>
      <c r="J246" s="4"/>
      <c r="K246" s="80"/>
    </row>
    <row r="247" spans="5:11" x14ac:dyDescent="0.3">
      <c r="E247" s="4"/>
      <c r="H247" s="87"/>
      <c r="I247" s="81"/>
      <c r="J247" s="4"/>
      <c r="K247" s="80"/>
    </row>
    <row r="248" spans="5:11" x14ac:dyDescent="0.3">
      <c r="E248" s="4"/>
      <c r="H248" s="87"/>
      <c r="I248" s="81"/>
      <c r="J248" s="4"/>
      <c r="K248" s="80"/>
    </row>
    <row r="249" spans="5:11" x14ac:dyDescent="0.3">
      <c r="E249" s="4"/>
      <c r="H249" s="87"/>
      <c r="I249" s="81"/>
      <c r="J249" s="4"/>
      <c r="K249" s="80"/>
    </row>
    <row r="250" spans="5:11" x14ac:dyDescent="0.3">
      <c r="E250" s="4"/>
      <c r="H250" s="87"/>
      <c r="I250" s="81"/>
      <c r="J250" s="4"/>
      <c r="K250" s="80"/>
    </row>
    <row r="251" spans="5:11" x14ac:dyDescent="0.3">
      <c r="E251" s="4"/>
      <c r="H251" s="87"/>
      <c r="I251" s="81"/>
      <c r="J251" s="4"/>
      <c r="K251" s="80"/>
    </row>
    <row r="252" spans="5:11" x14ac:dyDescent="0.3">
      <c r="E252" s="4"/>
      <c r="H252" s="87"/>
      <c r="I252" s="81"/>
      <c r="J252" s="4"/>
      <c r="K252" s="80"/>
    </row>
    <row r="253" spans="5:11" x14ac:dyDescent="0.3">
      <c r="E253" s="4"/>
      <c r="H253" s="87"/>
      <c r="I253" s="81"/>
      <c r="J253" s="4"/>
      <c r="K253" s="80"/>
    </row>
    <row r="254" spans="5:11" x14ac:dyDescent="0.3">
      <c r="E254" s="4"/>
      <c r="H254" s="87"/>
      <c r="I254" s="81"/>
      <c r="J254" s="4"/>
      <c r="K254" s="80"/>
    </row>
    <row r="255" spans="5:11" x14ac:dyDescent="0.3">
      <c r="E255" s="4"/>
      <c r="H255" s="87"/>
      <c r="I255" s="81"/>
      <c r="J255" s="4"/>
      <c r="K255" s="80"/>
    </row>
    <row r="256" spans="5:11" x14ac:dyDescent="0.3">
      <c r="E256" s="4"/>
      <c r="H256" s="87"/>
      <c r="I256" s="81"/>
      <c r="J256" s="4"/>
      <c r="K256" s="80"/>
    </row>
    <row r="257" spans="5:11" x14ac:dyDescent="0.3">
      <c r="E257" s="4"/>
      <c r="H257" s="87"/>
      <c r="I257" s="81"/>
      <c r="J257" s="4"/>
      <c r="K257" s="80"/>
    </row>
    <row r="258" spans="5:11" x14ac:dyDescent="0.3">
      <c r="E258" s="4"/>
      <c r="H258" s="87"/>
      <c r="I258" s="81"/>
      <c r="J258" s="4"/>
      <c r="K258" s="80"/>
    </row>
    <row r="259" spans="5:11" x14ac:dyDescent="0.3">
      <c r="E259" s="4"/>
      <c r="H259" s="87"/>
      <c r="I259" s="81"/>
      <c r="J259" s="4"/>
      <c r="K259" s="80"/>
    </row>
    <row r="260" spans="5:11" x14ac:dyDescent="0.3">
      <c r="E260" s="4"/>
      <c r="H260" s="87"/>
      <c r="I260" s="81"/>
      <c r="J260" s="4"/>
      <c r="K260" s="80"/>
    </row>
    <row r="261" spans="5:11" x14ac:dyDescent="0.3">
      <c r="E261" s="4"/>
      <c r="H261" s="87"/>
      <c r="I261" s="81"/>
      <c r="J261" s="4"/>
      <c r="K261" s="80"/>
    </row>
    <row r="262" spans="5:11" x14ac:dyDescent="0.3">
      <c r="E262" s="4"/>
      <c r="H262" s="87"/>
      <c r="I262" s="81"/>
      <c r="J262" s="4"/>
      <c r="K262" s="80"/>
    </row>
    <row r="263" spans="5:11" x14ac:dyDescent="0.3">
      <c r="E263" s="4"/>
      <c r="H263" s="87"/>
      <c r="I263" s="81"/>
      <c r="J263" s="4"/>
      <c r="K263" s="80"/>
    </row>
    <row r="264" spans="5:11" x14ac:dyDescent="0.3">
      <c r="E264" s="4"/>
      <c r="H264" s="87"/>
      <c r="I264" s="81"/>
      <c r="J264" s="4"/>
      <c r="K264" s="80"/>
    </row>
    <row r="265" spans="5:11" x14ac:dyDescent="0.3">
      <c r="E265" s="4"/>
      <c r="H265" s="87"/>
      <c r="I265" s="81"/>
      <c r="J265" s="4"/>
      <c r="K265" s="80"/>
    </row>
    <row r="266" spans="5:11" x14ac:dyDescent="0.3">
      <c r="E266" s="4"/>
      <c r="H266" s="87"/>
      <c r="I266" s="81"/>
      <c r="J266" s="4"/>
      <c r="K266" s="80"/>
    </row>
    <row r="267" spans="5:11" x14ac:dyDescent="0.3">
      <c r="E267" s="4"/>
      <c r="H267" s="87"/>
      <c r="I267" s="81"/>
      <c r="J267" s="4"/>
      <c r="K267" s="80"/>
    </row>
    <row r="268" spans="5:11" x14ac:dyDescent="0.3">
      <c r="E268" s="4"/>
      <c r="H268" s="87"/>
      <c r="I268" s="81"/>
      <c r="J268" s="4"/>
      <c r="K268" s="80"/>
    </row>
    <row r="269" spans="5:11" x14ac:dyDescent="0.3">
      <c r="E269" s="4"/>
      <c r="H269" s="87"/>
      <c r="I269" s="81"/>
      <c r="J269" s="4"/>
      <c r="K269" s="80"/>
    </row>
    <row r="270" spans="5:11" x14ac:dyDescent="0.3">
      <c r="E270" s="4"/>
      <c r="H270" s="87"/>
      <c r="I270" s="81"/>
      <c r="J270" s="4"/>
      <c r="K270" s="80"/>
    </row>
    <row r="271" spans="5:11" x14ac:dyDescent="0.3">
      <c r="E271" s="4"/>
      <c r="H271" s="87"/>
      <c r="I271" s="81"/>
      <c r="J271" s="4"/>
      <c r="K271" s="80"/>
    </row>
    <row r="272" spans="5:11" x14ac:dyDescent="0.3">
      <c r="E272" s="4"/>
      <c r="H272" s="87"/>
      <c r="I272" s="81"/>
      <c r="J272" s="4"/>
      <c r="K272" s="80"/>
    </row>
    <row r="273" spans="5:11" x14ac:dyDescent="0.3">
      <c r="E273" s="4"/>
      <c r="H273" s="87"/>
      <c r="I273" s="81"/>
      <c r="J273" s="4"/>
      <c r="K273" s="80"/>
    </row>
    <row r="274" spans="5:11" x14ac:dyDescent="0.3">
      <c r="E274" s="4"/>
      <c r="H274" s="87"/>
      <c r="I274" s="81"/>
      <c r="J274" s="4"/>
      <c r="K274" s="80"/>
    </row>
    <row r="275" spans="5:11" x14ac:dyDescent="0.3">
      <c r="E275" s="4"/>
      <c r="H275" s="87"/>
      <c r="I275" s="81"/>
      <c r="J275" s="4"/>
      <c r="K275" s="80"/>
    </row>
    <row r="276" spans="5:11" x14ac:dyDescent="0.3">
      <c r="E276" s="4"/>
      <c r="H276" s="87"/>
      <c r="I276" s="81"/>
      <c r="J276" s="4"/>
      <c r="K276" s="80"/>
    </row>
    <row r="277" spans="5:11" x14ac:dyDescent="0.3">
      <c r="E277" s="4"/>
      <c r="H277" s="87"/>
      <c r="I277" s="81"/>
      <c r="J277" s="4"/>
      <c r="K277" s="80"/>
    </row>
    <row r="278" spans="5:11" x14ac:dyDescent="0.3">
      <c r="E278" s="4"/>
      <c r="H278" s="87"/>
      <c r="I278" s="81"/>
      <c r="J278" s="4"/>
      <c r="K278" s="80"/>
    </row>
    <row r="279" spans="5:11" x14ac:dyDescent="0.3">
      <c r="E279" s="4"/>
      <c r="H279" s="87"/>
      <c r="I279" s="81"/>
      <c r="J279" s="4"/>
      <c r="K279" s="80"/>
    </row>
    <row r="280" spans="5:11" x14ac:dyDescent="0.3">
      <c r="E280" s="4"/>
      <c r="H280" s="87"/>
      <c r="I280" s="81"/>
      <c r="J280" s="4"/>
      <c r="K280" s="80"/>
    </row>
    <row r="281" spans="5:11" x14ac:dyDescent="0.3">
      <c r="E281" s="4"/>
      <c r="H281" s="87"/>
      <c r="I281" s="81"/>
      <c r="J281" s="4"/>
      <c r="K281" s="80"/>
    </row>
    <row r="282" spans="5:11" x14ac:dyDescent="0.3">
      <c r="E282" s="4"/>
      <c r="H282" s="87"/>
      <c r="I282" s="81"/>
      <c r="J282" s="4"/>
      <c r="K282" s="80"/>
    </row>
    <row r="283" spans="5:11" x14ac:dyDescent="0.3">
      <c r="E283" s="4"/>
      <c r="H283" s="87"/>
      <c r="I283" s="81"/>
      <c r="J283" s="4"/>
      <c r="K283" s="80"/>
    </row>
    <row r="284" spans="5:11" x14ac:dyDescent="0.3">
      <c r="E284" s="4"/>
      <c r="H284" s="87"/>
      <c r="I284" s="81"/>
      <c r="J284" s="4"/>
      <c r="K284" s="80"/>
    </row>
    <row r="285" spans="5:11" x14ac:dyDescent="0.3">
      <c r="E285" s="4"/>
      <c r="H285" s="87"/>
      <c r="I285" s="81"/>
      <c r="J285" s="4"/>
      <c r="K285" s="80"/>
    </row>
    <row r="286" spans="5:11" x14ac:dyDescent="0.3">
      <c r="E286" s="4"/>
      <c r="H286" s="87"/>
      <c r="I286" s="81"/>
      <c r="J286" s="4"/>
      <c r="K286" s="80"/>
    </row>
    <row r="287" spans="5:11" x14ac:dyDescent="0.3">
      <c r="E287" s="4"/>
      <c r="H287" s="87"/>
      <c r="I287" s="81"/>
      <c r="J287" s="4"/>
      <c r="K287" s="80"/>
    </row>
    <row r="288" spans="5:11" x14ac:dyDescent="0.3">
      <c r="E288" s="4"/>
      <c r="H288" s="87"/>
      <c r="I288" s="81"/>
      <c r="J288" s="4"/>
      <c r="K288" s="80"/>
    </row>
    <row r="289" spans="5:11" x14ac:dyDescent="0.3">
      <c r="E289" s="4"/>
      <c r="H289" s="87"/>
      <c r="I289" s="81"/>
      <c r="J289" s="4"/>
      <c r="K289" s="80"/>
    </row>
    <row r="290" spans="5:11" x14ac:dyDescent="0.3">
      <c r="E290" s="4"/>
      <c r="H290" s="87"/>
      <c r="I290" s="81"/>
      <c r="J290" s="4"/>
      <c r="K290" s="80"/>
    </row>
    <row r="291" spans="5:11" x14ac:dyDescent="0.3">
      <c r="E291" s="4"/>
      <c r="H291" s="87"/>
      <c r="I291" s="81"/>
      <c r="J291" s="4"/>
      <c r="K291" s="80"/>
    </row>
    <row r="292" spans="5:11" x14ac:dyDescent="0.3">
      <c r="E292" s="4"/>
      <c r="H292" s="87"/>
      <c r="I292" s="81"/>
      <c r="J292" s="4"/>
      <c r="K292" s="80"/>
    </row>
    <row r="293" spans="5:11" x14ac:dyDescent="0.3">
      <c r="E293" s="4"/>
      <c r="H293" s="87"/>
      <c r="I293" s="81"/>
      <c r="J293" s="4"/>
      <c r="K293" s="80"/>
    </row>
    <row r="294" spans="5:11" x14ac:dyDescent="0.3">
      <c r="E294" s="4"/>
      <c r="H294" s="87"/>
      <c r="I294" s="81"/>
      <c r="J294" s="4"/>
      <c r="K294" s="80"/>
    </row>
    <row r="295" spans="5:11" x14ac:dyDescent="0.3">
      <c r="E295" s="4"/>
      <c r="H295" s="87"/>
      <c r="I295" s="81"/>
      <c r="J295" s="4"/>
      <c r="K295" s="80"/>
    </row>
    <row r="296" spans="5:11" x14ac:dyDescent="0.3">
      <c r="E296" s="4"/>
      <c r="H296" s="87"/>
      <c r="I296" s="81"/>
      <c r="J296" s="4"/>
      <c r="K296" s="80"/>
    </row>
    <row r="297" spans="5:11" x14ac:dyDescent="0.3">
      <c r="E297" s="4"/>
      <c r="H297" s="87"/>
      <c r="I297" s="81"/>
      <c r="J297" s="4"/>
      <c r="K297" s="80"/>
    </row>
    <row r="298" spans="5:11" x14ac:dyDescent="0.3">
      <c r="E298" s="4"/>
      <c r="H298" s="87"/>
      <c r="I298" s="81"/>
      <c r="J298" s="4"/>
      <c r="K298" s="80"/>
    </row>
    <row r="299" spans="5:11" x14ac:dyDescent="0.3">
      <c r="E299" s="4"/>
      <c r="H299" s="87"/>
      <c r="I299" s="81"/>
      <c r="J299" s="4"/>
      <c r="K299" s="80"/>
    </row>
    <row r="300" spans="5:11" x14ac:dyDescent="0.3">
      <c r="E300" s="4"/>
      <c r="H300" s="87"/>
      <c r="I300" s="81"/>
      <c r="J300" s="4"/>
      <c r="K300" s="80"/>
    </row>
    <row r="301" spans="5:11" x14ac:dyDescent="0.3">
      <c r="E301" s="4"/>
      <c r="H301" s="87"/>
      <c r="I301" s="81"/>
      <c r="J301" s="4"/>
      <c r="K301" s="80"/>
    </row>
    <row r="302" spans="5:11" x14ac:dyDescent="0.3">
      <c r="E302" s="4"/>
      <c r="H302" s="87"/>
      <c r="I302" s="81"/>
      <c r="J302" s="4"/>
      <c r="K302" s="80"/>
    </row>
    <row r="303" spans="5:11" x14ac:dyDescent="0.3">
      <c r="E303" s="4"/>
      <c r="H303" s="87"/>
      <c r="I303" s="81"/>
      <c r="J303" s="4"/>
      <c r="K303" s="80"/>
    </row>
    <row r="304" spans="5:11" x14ac:dyDescent="0.3">
      <c r="E304" s="4"/>
      <c r="H304" s="87"/>
      <c r="I304" s="81"/>
      <c r="J304" s="4"/>
      <c r="K304" s="80"/>
    </row>
    <row r="305" spans="4:11" x14ac:dyDescent="0.3">
      <c r="E305" s="4"/>
      <c r="H305" s="87"/>
      <c r="I305" s="81"/>
      <c r="J305" s="4"/>
      <c r="K305" s="80"/>
    </row>
    <row r="306" spans="4:11" x14ac:dyDescent="0.3">
      <c r="D306" s="45"/>
      <c r="E306" s="4"/>
      <c r="H306" s="87"/>
      <c r="I306" s="81"/>
      <c r="J306" s="4"/>
      <c r="K306" s="80"/>
    </row>
    <row r="307" spans="4:11" x14ac:dyDescent="0.3">
      <c r="D307" s="45"/>
      <c r="E307" s="4"/>
      <c r="H307" s="87"/>
      <c r="I307" s="81"/>
      <c r="J307" s="4"/>
      <c r="K307" s="80"/>
    </row>
    <row r="308" spans="4:11" x14ac:dyDescent="0.3">
      <c r="D308" s="45"/>
      <c r="E308" s="4"/>
      <c r="H308" s="87"/>
      <c r="I308" s="81"/>
      <c r="J308" s="4"/>
      <c r="K308" s="80"/>
    </row>
    <row r="309" spans="4:11" x14ac:dyDescent="0.3">
      <c r="D309" s="45"/>
      <c r="E309" s="4"/>
      <c r="H309" s="87"/>
      <c r="I309" s="81"/>
      <c r="J309" s="4"/>
      <c r="K309" s="80"/>
    </row>
    <row r="310" spans="4:11" x14ac:dyDescent="0.3">
      <c r="D310" s="45"/>
      <c r="E310" s="4"/>
      <c r="H310" s="87"/>
      <c r="I310" s="81"/>
      <c r="J310" s="4"/>
      <c r="K310" s="80"/>
    </row>
    <row r="311" spans="4:11" x14ac:dyDescent="0.3">
      <c r="D311" s="45"/>
      <c r="E311" s="4"/>
      <c r="H311" s="87"/>
      <c r="I311" s="81"/>
      <c r="J311" s="4"/>
      <c r="K311" s="80"/>
    </row>
  </sheetData>
  <mergeCells count="1">
    <mergeCell ref="H2:Q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27F6-F971-4E42-A511-4047BB390A7E}">
  <sheetPr codeName="Sheet20"/>
  <dimension ref="B2:S164"/>
  <sheetViews>
    <sheetView showGridLines="0" workbookViewId="0"/>
  </sheetViews>
  <sheetFormatPr defaultColWidth="8.7109375" defaultRowHeight="16.5" x14ac:dyDescent="0.3"/>
  <cols>
    <col min="1" max="9" width="8.7109375" style="1"/>
    <col min="10" max="13" width="8.7109375" style="29"/>
    <col min="14" max="18" width="9.42578125" style="29" bestFit="1" customWidth="1"/>
    <col min="19" max="19" width="8.7109375" style="29"/>
    <col min="20" max="16384" width="8.7109375" style="1"/>
  </cols>
  <sheetData>
    <row r="2" spans="2:18" x14ac:dyDescent="0.3">
      <c r="B2" s="9" t="s">
        <v>276</v>
      </c>
      <c r="C2" s="8"/>
      <c r="D2" s="8"/>
      <c r="E2" s="8"/>
      <c r="F2" s="8"/>
      <c r="G2" s="8"/>
      <c r="H2" s="8"/>
      <c r="I2" s="8"/>
    </row>
    <row r="3" spans="2:18" ht="18.75" x14ac:dyDescent="0.3">
      <c r="B3" s="8" t="s">
        <v>22</v>
      </c>
      <c r="C3" s="8"/>
      <c r="D3" s="8"/>
      <c r="E3" s="8"/>
      <c r="F3" s="8"/>
      <c r="G3" s="8"/>
      <c r="H3" s="8"/>
      <c r="I3" s="8"/>
      <c r="K3" s="89"/>
      <c r="L3" s="89"/>
      <c r="M3" s="89"/>
      <c r="N3" s="89"/>
      <c r="O3" s="89"/>
      <c r="P3" s="89"/>
      <c r="Q3" s="89"/>
      <c r="R3" s="89"/>
    </row>
    <row r="5" spans="2:18" x14ac:dyDescent="0.3">
      <c r="C5" s="107" t="s">
        <v>10</v>
      </c>
      <c r="D5" s="107" t="s">
        <v>11</v>
      </c>
      <c r="E5" s="107" t="s">
        <v>23</v>
      </c>
    </row>
    <row r="6" spans="2:18" x14ac:dyDescent="0.3">
      <c r="C6" s="107" t="s">
        <v>160</v>
      </c>
      <c r="D6" s="107" t="s">
        <v>160</v>
      </c>
      <c r="E6" s="107" t="s">
        <v>160</v>
      </c>
      <c r="K6" s="90"/>
      <c r="L6" s="90"/>
      <c r="M6" s="90"/>
      <c r="N6" s="90"/>
    </row>
    <row r="7" spans="2:18" x14ac:dyDescent="0.3">
      <c r="B7" s="108">
        <v>31472</v>
      </c>
      <c r="C7" s="109">
        <v>16.600000000000001</v>
      </c>
      <c r="D7" s="109">
        <v>7.8</v>
      </c>
      <c r="E7" s="109">
        <v>3.5</v>
      </c>
      <c r="K7" s="91"/>
      <c r="L7" s="91"/>
      <c r="M7" s="91"/>
      <c r="N7" s="91"/>
      <c r="P7" s="92"/>
      <c r="Q7" s="92"/>
      <c r="R7" s="92"/>
    </row>
    <row r="8" spans="2:18" x14ac:dyDescent="0.3">
      <c r="B8" s="108">
        <v>31564</v>
      </c>
      <c r="C8" s="109">
        <v>14.8</v>
      </c>
      <c r="D8" s="109">
        <v>7.8</v>
      </c>
      <c r="E8" s="109">
        <v>3.5</v>
      </c>
      <c r="K8" s="91"/>
      <c r="L8" s="91"/>
      <c r="M8" s="91"/>
      <c r="N8" s="91"/>
      <c r="P8" s="92"/>
      <c r="Q8" s="92"/>
      <c r="R8" s="92"/>
    </row>
    <row r="9" spans="2:18" x14ac:dyDescent="0.3">
      <c r="B9" s="108">
        <v>31656</v>
      </c>
      <c r="C9" s="109">
        <v>14.9</v>
      </c>
      <c r="D9" s="109">
        <v>8.6</v>
      </c>
      <c r="E9" s="109">
        <v>3.9</v>
      </c>
      <c r="K9" s="91"/>
      <c r="L9" s="91"/>
      <c r="M9" s="91"/>
      <c r="N9" s="91"/>
      <c r="P9" s="92"/>
      <c r="Q9" s="92"/>
      <c r="R9" s="92"/>
    </row>
    <row r="10" spans="2:18" x14ac:dyDescent="0.3">
      <c r="B10" s="108">
        <v>31747</v>
      </c>
      <c r="C10" s="109">
        <v>13.8</v>
      </c>
      <c r="D10" s="109">
        <v>7.5</v>
      </c>
      <c r="E10" s="109">
        <v>4.5</v>
      </c>
      <c r="K10" s="91"/>
      <c r="L10" s="91"/>
      <c r="M10" s="91"/>
      <c r="N10" s="91"/>
      <c r="P10" s="92"/>
      <c r="Q10" s="92"/>
      <c r="R10" s="92"/>
    </row>
    <row r="11" spans="2:18" x14ac:dyDescent="0.3">
      <c r="B11" s="108">
        <v>31837</v>
      </c>
      <c r="C11" s="109">
        <v>14.6</v>
      </c>
      <c r="D11" s="109">
        <v>7.9</v>
      </c>
      <c r="E11" s="109">
        <v>4.4000000000000004</v>
      </c>
      <c r="K11" s="91"/>
      <c r="L11" s="91"/>
      <c r="M11" s="91"/>
      <c r="N11" s="91"/>
      <c r="P11" s="92"/>
      <c r="Q11" s="92"/>
      <c r="R11" s="92"/>
    </row>
    <row r="12" spans="2:18" x14ac:dyDescent="0.3">
      <c r="B12" s="108">
        <v>31929</v>
      </c>
      <c r="C12" s="109">
        <v>12.2</v>
      </c>
      <c r="D12" s="109">
        <v>7.9</v>
      </c>
      <c r="E12" s="109">
        <v>3.7</v>
      </c>
      <c r="K12" s="91"/>
      <c r="L12" s="91"/>
      <c r="M12" s="91"/>
      <c r="N12" s="91"/>
      <c r="P12" s="92"/>
      <c r="Q12" s="92"/>
      <c r="R12" s="92"/>
    </row>
    <row r="13" spans="2:18" x14ac:dyDescent="0.3">
      <c r="B13" s="108">
        <v>32021</v>
      </c>
      <c r="C13" s="109">
        <v>13.9</v>
      </c>
      <c r="D13" s="109">
        <v>6.7</v>
      </c>
      <c r="E13" s="109">
        <v>3.5</v>
      </c>
      <c r="K13" s="91"/>
      <c r="L13" s="91"/>
      <c r="M13" s="91"/>
      <c r="N13" s="91"/>
      <c r="P13" s="92"/>
      <c r="Q13" s="92"/>
      <c r="R13" s="92"/>
    </row>
    <row r="14" spans="2:18" x14ac:dyDescent="0.3">
      <c r="B14" s="108">
        <v>32112</v>
      </c>
      <c r="C14" s="109">
        <v>12.7</v>
      </c>
      <c r="D14" s="109">
        <v>8.1</v>
      </c>
      <c r="E14" s="109">
        <v>3.5</v>
      </c>
      <c r="K14" s="91"/>
      <c r="L14" s="91"/>
      <c r="M14" s="91"/>
      <c r="N14" s="91"/>
      <c r="P14" s="92"/>
      <c r="Q14" s="92"/>
      <c r="R14" s="92"/>
    </row>
    <row r="15" spans="2:18" x14ac:dyDescent="0.3">
      <c r="B15" s="108">
        <v>32203</v>
      </c>
      <c r="C15" s="109">
        <v>11.9</v>
      </c>
      <c r="D15" s="109">
        <v>7.4</v>
      </c>
      <c r="E15" s="109">
        <v>4.2</v>
      </c>
      <c r="K15" s="91"/>
      <c r="L15" s="91"/>
      <c r="M15" s="91"/>
      <c r="N15" s="91"/>
      <c r="P15" s="92"/>
      <c r="Q15" s="92"/>
      <c r="R15" s="92"/>
    </row>
    <row r="16" spans="2:18" x14ac:dyDescent="0.3">
      <c r="B16" s="108">
        <v>32295</v>
      </c>
      <c r="C16" s="109">
        <v>10.6</v>
      </c>
      <c r="D16" s="109">
        <v>7.5</v>
      </c>
      <c r="E16" s="109">
        <v>2.8</v>
      </c>
      <c r="K16" s="91"/>
      <c r="L16" s="91"/>
      <c r="M16" s="91"/>
      <c r="N16" s="91"/>
      <c r="P16" s="92"/>
      <c r="Q16" s="92"/>
      <c r="R16" s="92"/>
    </row>
    <row r="17" spans="2:18" x14ac:dyDescent="0.3">
      <c r="B17" s="108">
        <v>32387</v>
      </c>
      <c r="C17" s="109">
        <v>11.8</v>
      </c>
      <c r="D17" s="109">
        <v>6.6</v>
      </c>
      <c r="E17" s="109">
        <v>2.9</v>
      </c>
      <c r="K17" s="91"/>
      <c r="L17" s="91"/>
      <c r="M17" s="91"/>
      <c r="N17" s="91"/>
      <c r="P17" s="92"/>
      <c r="Q17" s="92"/>
      <c r="R17" s="92"/>
    </row>
    <row r="18" spans="2:18" x14ac:dyDescent="0.3">
      <c r="B18" s="108">
        <v>32478</v>
      </c>
      <c r="C18" s="109">
        <v>10.3</v>
      </c>
      <c r="D18" s="109">
        <v>7.7</v>
      </c>
      <c r="E18" s="109">
        <v>3.5</v>
      </c>
      <c r="K18" s="91"/>
      <c r="L18" s="91"/>
      <c r="M18" s="91"/>
      <c r="N18" s="91"/>
      <c r="P18" s="92"/>
      <c r="Q18" s="92"/>
      <c r="R18" s="92"/>
    </row>
    <row r="19" spans="2:18" x14ac:dyDescent="0.3">
      <c r="B19" s="108">
        <v>32568</v>
      </c>
      <c r="C19" s="109">
        <v>11.1</v>
      </c>
      <c r="D19" s="109">
        <v>6.7</v>
      </c>
      <c r="E19" s="109">
        <v>3</v>
      </c>
      <c r="K19" s="91"/>
      <c r="L19" s="91"/>
      <c r="M19" s="91"/>
      <c r="N19" s="91"/>
      <c r="P19" s="92"/>
      <c r="Q19" s="92"/>
      <c r="R19" s="92"/>
    </row>
    <row r="20" spans="2:18" x14ac:dyDescent="0.3">
      <c r="B20" s="108">
        <v>32660</v>
      </c>
      <c r="C20" s="109">
        <v>10.6</v>
      </c>
      <c r="D20" s="109">
        <v>6.4</v>
      </c>
      <c r="E20" s="109">
        <v>3.8</v>
      </c>
      <c r="K20" s="91"/>
      <c r="L20" s="91"/>
      <c r="M20" s="91"/>
      <c r="N20" s="91"/>
      <c r="P20" s="92"/>
      <c r="Q20" s="92"/>
      <c r="R20" s="92"/>
    </row>
    <row r="21" spans="2:18" x14ac:dyDescent="0.3">
      <c r="B21" s="108">
        <v>32752</v>
      </c>
      <c r="C21" s="109">
        <v>9.9</v>
      </c>
      <c r="D21" s="109">
        <v>6.7</v>
      </c>
      <c r="E21" s="109">
        <v>3.3</v>
      </c>
      <c r="K21" s="91"/>
      <c r="L21" s="91"/>
      <c r="M21" s="91"/>
      <c r="N21" s="91"/>
      <c r="P21" s="92"/>
      <c r="Q21" s="92"/>
      <c r="R21" s="92"/>
    </row>
    <row r="22" spans="2:18" x14ac:dyDescent="0.3">
      <c r="B22" s="108">
        <v>32843</v>
      </c>
      <c r="C22" s="109">
        <v>11.1</v>
      </c>
      <c r="D22" s="109">
        <v>5.9</v>
      </c>
      <c r="E22" s="109">
        <v>3.7</v>
      </c>
      <c r="K22" s="91"/>
      <c r="L22" s="91"/>
      <c r="M22" s="91"/>
      <c r="N22" s="91"/>
      <c r="P22" s="92"/>
      <c r="Q22" s="92"/>
      <c r="R22" s="92"/>
    </row>
    <row r="23" spans="2:18" x14ac:dyDescent="0.3">
      <c r="B23" s="108">
        <v>32933</v>
      </c>
      <c r="C23" s="109">
        <v>10.5</v>
      </c>
      <c r="D23" s="109">
        <v>5.6</v>
      </c>
      <c r="E23" s="109">
        <v>2.6</v>
      </c>
      <c r="K23" s="91"/>
      <c r="L23" s="91"/>
      <c r="M23" s="91"/>
      <c r="N23" s="91"/>
      <c r="P23" s="92"/>
      <c r="Q23" s="92"/>
      <c r="R23" s="92"/>
    </row>
    <row r="24" spans="2:18" x14ac:dyDescent="0.3">
      <c r="B24" s="108">
        <v>33025</v>
      </c>
      <c r="C24" s="109">
        <v>10.4</v>
      </c>
      <c r="D24" s="109">
        <v>6.6</v>
      </c>
      <c r="E24" s="109">
        <v>3.6</v>
      </c>
      <c r="K24" s="91"/>
      <c r="L24" s="91"/>
      <c r="M24" s="91"/>
      <c r="N24" s="91"/>
      <c r="P24" s="92"/>
      <c r="Q24" s="92"/>
      <c r="R24" s="92"/>
    </row>
    <row r="25" spans="2:18" x14ac:dyDescent="0.3">
      <c r="B25" s="108">
        <v>33117</v>
      </c>
      <c r="C25" s="109">
        <v>10.4</v>
      </c>
      <c r="D25" s="109">
        <v>6.7</v>
      </c>
      <c r="E25" s="109">
        <v>3.1</v>
      </c>
      <c r="K25" s="91"/>
      <c r="L25" s="91"/>
      <c r="M25" s="91"/>
      <c r="N25" s="91"/>
      <c r="P25" s="92"/>
      <c r="Q25" s="92"/>
      <c r="R25" s="92"/>
    </row>
    <row r="26" spans="2:18" x14ac:dyDescent="0.3">
      <c r="B26" s="108">
        <v>33208</v>
      </c>
      <c r="C26" s="109">
        <v>10.5</v>
      </c>
      <c r="D26" s="109">
        <v>5.3</v>
      </c>
      <c r="E26" s="109">
        <v>2.7</v>
      </c>
      <c r="K26" s="91"/>
      <c r="L26" s="91"/>
      <c r="M26" s="91"/>
      <c r="N26" s="91"/>
      <c r="P26" s="92"/>
      <c r="Q26" s="92"/>
      <c r="R26" s="92"/>
    </row>
    <row r="27" spans="2:18" x14ac:dyDescent="0.3">
      <c r="B27" s="108">
        <v>33298</v>
      </c>
      <c r="C27" s="109">
        <v>11</v>
      </c>
      <c r="D27" s="109">
        <v>5.4</v>
      </c>
      <c r="E27" s="109">
        <v>2.5</v>
      </c>
      <c r="K27" s="91"/>
      <c r="L27" s="91"/>
      <c r="M27" s="91"/>
      <c r="N27" s="91"/>
      <c r="P27" s="92"/>
      <c r="Q27" s="92"/>
      <c r="R27" s="92"/>
    </row>
    <row r="28" spans="2:18" x14ac:dyDescent="0.3">
      <c r="B28" s="108">
        <v>33390</v>
      </c>
      <c r="C28" s="109">
        <v>11</v>
      </c>
      <c r="D28" s="109">
        <v>5.6</v>
      </c>
      <c r="E28" s="109">
        <v>2.7</v>
      </c>
      <c r="K28" s="91"/>
      <c r="L28" s="91"/>
      <c r="M28" s="91"/>
      <c r="N28" s="91"/>
      <c r="P28" s="92"/>
      <c r="Q28" s="92"/>
      <c r="R28" s="92"/>
    </row>
    <row r="29" spans="2:18" x14ac:dyDescent="0.3">
      <c r="B29" s="108">
        <v>33482</v>
      </c>
      <c r="C29" s="109">
        <v>10.7</v>
      </c>
      <c r="D29" s="109">
        <v>5.2</v>
      </c>
      <c r="E29" s="109">
        <v>1.9</v>
      </c>
      <c r="K29" s="91"/>
      <c r="L29" s="91"/>
      <c r="M29" s="91"/>
      <c r="N29" s="91"/>
      <c r="P29" s="92"/>
      <c r="Q29" s="92"/>
      <c r="R29" s="92"/>
    </row>
    <row r="30" spans="2:18" x14ac:dyDescent="0.3">
      <c r="B30" s="108">
        <v>33573</v>
      </c>
      <c r="C30" s="109">
        <v>11.5</v>
      </c>
      <c r="D30" s="109">
        <v>3.8</v>
      </c>
      <c r="E30" s="109">
        <v>2</v>
      </c>
      <c r="K30" s="91"/>
      <c r="L30" s="91"/>
      <c r="M30" s="91"/>
      <c r="N30" s="91"/>
      <c r="P30" s="92"/>
      <c r="Q30" s="92"/>
      <c r="R30" s="92"/>
    </row>
    <row r="31" spans="2:18" x14ac:dyDescent="0.3">
      <c r="B31" s="108">
        <v>33664</v>
      </c>
      <c r="C31" s="109">
        <v>11</v>
      </c>
      <c r="D31" s="109">
        <v>4.0999999999999996</v>
      </c>
      <c r="E31" s="109">
        <v>2.2000000000000002</v>
      </c>
      <c r="K31" s="91"/>
      <c r="L31" s="91"/>
      <c r="M31" s="91"/>
      <c r="N31" s="91"/>
      <c r="P31" s="92"/>
      <c r="Q31" s="92"/>
      <c r="R31" s="92"/>
    </row>
    <row r="32" spans="2:18" x14ac:dyDescent="0.3">
      <c r="B32" s="108">
        <v>33756</v>
      </c>
      <c r="C32" s="109">
        <v>10.6</v>
      </c>
      <c r="D32" s="109">
        <v>4.2</v>
      </c>
      <c r="E32" s="109">
        <v>2.2000000000000002</v>
      </c>
      <c r="K32" s="91"/>
      <c r="L32" s="91"/>
      <c r="M32" s="91"/>
      <c r="N32" s="91"/>
      <c r="P32" s="92"/>
      <c r="Q32" s="92"/>
      <c r="R32" s="92"/>
    </row>
    <row r="33" spans="2:18" x14ac:dyDescent="0.3">
      <c r="B33" s="108">
        <v>33848</v>
      </c>
      <c r="C33" s="109">
        <v>10</v>
      </c>
      <c r="D33" s="109">
        <v>4.2</v>
      </c>
      <c r="E33" s="109">
        <v>1.9</v>
      </c>
      <c r="K33" s="91"/>
      <c r="L33" s="91"/>
      <c r="M33" s="91"/>
      <c r="N33" s="91"/>
      <c r="P33" s="92"/>
      <c r="Q33" s="92"/>
      <c r="R33" s="92"/>
    </row>
    <row r="34" spans="2:18" x14ac:dyDescent="0.3">
      <c r="B34" s="108">
        <v>33939</v>
      </c>
      <c r="C34" s="109">
        <v>9.5</v>
      </c>
      <c r="D34" s="109">
        <v>4.2</v>
      </c>
      <c r="E34" s="109">
        <v>1.9</v>
      </c>
      <c r="K34" s="91"/>
      <c r="L34" s="91"/>
      <c r="M34" s="91"/>
      <c r="N34" s="91"/>
      <c r="P34" s="92"/>
      <c r="Q34" s="92"/>
      <c r="R34" s="92"/>
    </row>
    <row r="35" spans="2:18" x14ac:dyDescent="0.3">
      <c r="B35" s="108">
        <v>34029</v>
      </c>
      <c r="C35" s="109">
        <v>9.5</v>
      </c>
      <c r="D35" s="109">
        <v>4</v>
      </c>
      <c r="E35" s="109">
        <v>1.7</v>
      </c>
      <c r="K35" s="91"/>
      <c r="L35" s="91"/>
      <c r="M35" s="91"/>
      <c r="N35" s="91"/>
      <c r="P35" s="92"/>
      <c r="Q35" s="92"/>
      <c r="R35" s="92"/>
    </row>
    <row r="36" spans="2:18" x14ac:dyDescent="0.3">
      <c r="B36" s="108">
        <v>34121</v>
      </c>
      <c r="C36" s="109">
        <v>9.6999999999999993</v>
      </c>
      <c r="D36" s="109">
        <v>4.4000000000000004</v>
      </c>
      <c r="E36" s="109">
        <v>1.8</v>
      </c>
      <c r="K36" s="91"/>
      <c r="L36" s="91"/>
      <c r="M36" s="91"/>
      <c r="N36" s="91"/>
      <c r="P36" s="92"/>
      <c r="Q36" s="92"/>
      <c r="R36" s="92"/>
    </row>
    <row r="37" spans="2:18" x14ac:dyDescent="0.3">
      <c r="B37" s="108">
        <v>34213</v>
      </c>
      <c r="C37" s="109">
        <v>10.4</v>
      </c>
      <c r="D37" s="109">
        <v>4</v>
      </c>
      <c r="E37" s="109">
        <v>1.7</v>
      </c>
      <c r="K37" s="91"/>
      <c r="L37" s="91"/>
      <c r="M37" s="91"/>
      <c r="N37" s="91"/>
      <c r="P37" s="92"/>
      <c r="Q37" s="92"/>
      <c r="R37" s="92"/>
    </row>
    <row r="38" spans="2:18" x14ac:dyDescent="0.3">
      <c r="B38" s="108">
        <v>34304</v>
      </c>
      <c r="C38" s="109">
        <v>10.4</v>
      </c>
      <c r="D38" s="109">
        <v>5.0999999999999996</v>
      </c>
      <c r="E38" s="109">
        <v>1.9</v>
      </c>
      <c r="K38" s="91"/>
      <c r="L38" s="91"/>
      <c r="M38" s="91"/>
      <c r="N38" s="91"/>
      <c r="P38" s="92"/>
      <c r="Q38" s="92"/>
      <c r="R38" s="92"/>
    </row>
    <row r="39" spans="2:18" x14ac:dyDescent="0.3">
      <c r="B39" s="108">
        <v>34394</v>
      </c>
      <c r="C39" s="109">
        <v>10.6</v>
      </c>
      <c r="D39" s="109">
        <v>5.5</v>
      </c>
      <c r="E39" s="109">
        <v>2.2999999999999998</v>
      </c>
      <c r="K39" s="91"/>
      <c r="L39" s="91"/>
      <c r="M39" s="91"/>
      <c r="N39" s="91"/>
      <c r="P39" s="92"/>
      <c r="Q39" s="92"/>
      <c r="R39" s="92"/>
    </row>
    <row r="40" spans="2:18" x14ac:dyDescent="0.3">
      <c r="B40" s="108">
        <v>34486</v>
      </c>
      <c r="C40" s="109">
        <v>10.9</v>
      </c>
      <c r="D40" s="109">
        <v>5.0999999999999996</v>
      </c>
      <c r="E40" s="109">
        <v>2.2999999999999998</v>
      </c>
      <c r="K40" s="91"/>
      <c r="L40" s="91"/>
      <c r="M40" s="91"/>
      <c r="N40" s="91"/>
      <c r="P40" s="92"/>
      <c r="Q40" s="92"/>
      <c r="R40" s="92"/>
    </row>
    <row r="41" spans="2:18" x14ac:dyDescent="0.3">
      <c r="B41" s="108">
        <v>34578</v>
      </c>
      <c r="C41" s="109">
        <v>10.8</v>
      </c>
      <c r="D41" s="109">
        <v>5.2</v>
      </c>
      <c r="E41" s="109">
        <v>2.2999999999999998</v>
      </c>
      <c r="K41" s="91"/>
      <c r="L41" s="91"/>
      <c r="M41" s="91"/>
      <c r="N41" s="91"/>
      <c r="P41" s="92"/>
      <c r="Q41" s="92"/>
      <c r="R41" s="92"/>
    </row>
    <row r="42" spans="2:18" x14ac:dyDescent="0.3">
      <c r="B42" s="108">
        <v>34669</v>
      </c>
      <c r="C42" s="109">
        <v>11.3</v>
      </c>
      <c r="D42" s="109">
        <v>5.7</v>
      </c>
      <c r="E42" s="109">
        <v>2.6</v>
      </c>
      <c r="K42" s="91"/>
      <c r="L42" s="91"/>
      <c r="M42" s="91"/>
      <c r="N42" s="91"/>
      <c r="P42" s="92"/>
      <c r="Q42" s="92"/>
      <c r="R42" s="92"/>
    </row>
    <row r="43" spans="2:18" x14ac:dyDescent="0.3">
      <c r="B43" s="108">
        <v>34759</v>
      </c>
      <c r="C43" s="109">
        <v>10.4</v>
      </c>
      <c r="D43" s="109">
        <v>6.6</v>
      </c>
      <c r="E43" s="109">
        <v>2</v>
      </c>
      <c r="K43" s="91"/>
      <c r="L43" s="91"/>
      <c r="M43" s="91"/>
      <c r="N43" s="91"/>
      <c r="P43" s="92"/>
      <c r="Q43" s="92"/>
      <c r="R43" s="92"/>
    </row>
    <row r="44" spans="2:18" x14ac:dyDescent="0.3">
      <c r="B44" s="108">
        <v>34851</v>
      </c>
      <c r="C44" s="109">
        <v>10.3</v>
      </c>
      <c r="D44" s="109">
        <v>5.8</v>
      </c>
      <c r="E44" s="109">
        <v>1.8</v>
      </c>
      <c r="K44" s="91"/>
      <c r="L44" s="91"/>
      <c r="M44" s="91"/>
      <c r="N44" s="91"/>
      <c r="P44" s="92"/>
      <c r="Q44" s="92"/>
      <c r="R44" s="92"/>
    </row>
    <row r="45" spans="2:18" x14ac:dyDescent="0.3">
      <c r="B45" s="108">
        <v>34943</v>
      </c>
      <c r="C45" s="109">
        <v>10.5</v>
      </c>
      <c r="D45" s="109">
        <v>5.2</v>
      </c>
      <c r="E45" s="109">
        <v>1.5</v>
      </c>
      <c r="K45" s="91"/>
      <c r="L45" s="91"/>
      <c r="M45" s="91"/>
      <c r="N45" s="91"/>
      <c r="P45" s="92"/>
      <c r="Q45" s="92"/>
      <c r="R45" s="92"/>
    </row>
    <row r="46" spans="2:18" x14ac:dyDescent="0.3">
      <c r="B46" s="108">
        <v>35034</v>
      </c>
      <c r="C46" s="109">
        <v>12.3</v>
      </c>
      <c r="D46" s="109">
        <v>6.3</v>
      </c>
      <c r="E46" s="109">
        <v>1.5</v>
      </c>
      <c r="K46" s="91"/>
      <c r="L46" s="91"/>
      <c r="M46" s="91"/>
      <c r="N46" s="91"/>
      <c r="P46" s="92"/>
      <c r="Q46" s="92"/>
      <c r="R46" s="92"/>
    </row>
    <row r="47" spans="2:18" x14ac:dyDescent="0.3">
      <c r="B47" s="108">
        <v>35125</v>
      </c>
      <c r="C47" s="109">
        <v>11.5</v>
      </c>
      <c r="D47" s="109">
        <v>6.8</v>
      </c>
      <c r="E47" s="109">
        <v>1.7</v>
      </c>
      <c r="K47" s="91"/>
      <c r="L47" s="91"/>
      <c r="M47" s="91"/>
      <c r="N47" s="91"/>
      <c r="P47" s="92"/>
      <c r="Q47" s="92"/>
      <c r="R47" s="92"/>
    </row>
    <row r="48" spans="2:18" x14ac:dyDescent="0.3">
      <c r="B48" s="108">
        <v>35217</v>
      </c>
      <c r="C48" s="109">
        <v>12.4</v>
      </c>
      <c r="D48" s="109">
        <v>6.9</v>
      </c>
      <c r="E48" s="109">
        <v>1.6</v>
      </c>
      <c r="K48" s="91"/>
      <c r="L48" s="91"/>
      <c r="M48" s="91"/>
      <c r="N48" s="91"/>
      <c r="P48" s="92"/>
      <c r="Q48" s="92"/>
      <c r="R48" s="92"/>
    </row>
    <row r="49" spans="2:18" x14ac:dyDescent="0.3">
      <c r="B49" s="108">
        <v>35309</v>
      </c>
      <c r="C49" s="109">
        <v>11.8</v>
      </c>
      <c r="D49" s="109">
        <v>7</v>
      </c>
      <c r="E49" s="109">
        <v>2.1</v>
      </c>
      <c r="K49" s="91"/>
      <c r="L49" s="91"/>
      <c r="M49" s="91"/>
      <c r="N49" s="91"/>
      <c r="P49" s="92"/>
      <c r="Q49" s="92"/>
      <c r="R49" s="92"/>
    </row>
    <row r="50" spans="2:18" x14ac:dyDescent="0.3">
      <c r="B50" s="108">
        <v>35400</v>
      </c>
      <c r="C50" s="109">
        <v>12.2</v>
      </c>
      <c r="D50" s="109">
        <v>7.6</v>
      </c>
      <c r="E50" s="109">
        <v>2.1</v>
      </c>
      <c r="K50" s="91"/>
      <c r="L50" s="91"/>
      <c r="M50" s="91"/>
      <c r="N50" s="91"/>
      <c r="P50" s="92"/>
      <c r="Q50" s="92"/>
      <c r="R50" s="92"/>
    </row>
    <row r="51" spans="2:18" x14ac:dyDescent="0.3">
      <c r="B51" s="108">
        <v>35490</v>
      </c>
      <c r="C51" s="109">
        <v>11.1</v>
      </c>
      <c r="D51" s="109">
        <v>7</v>
      </c>
      <c r="E51" s="109">
        <v>2.2000000000000002</v>
      </c>
      <c r="K51" s="91"/>
      <c r="L51" s="91"/>
      <c r="M51" s="91"/>
      <c r="N51" s="91"/>
      <c r="P51" s="92"/>
      <c r="Q51" s="92"/>
      <c r="R51" s="92"/>
    </row>
    <row r="52" spans="2:18" x14ac:dyDescent="0.3">
      <c r="B52" s="108">
        <v>35582</v>
      </c>
      <c r="C52" s="109">
        <v>12.7</v>
      </c>
      <c r="D52" s="109">
        <v>6.6</v>
      </c>
      <c r="E52" s="109">
        <v>2.1</v>
      </c>
      <c r="K52" s="91"/>
      <c r="L52" s="91"/>
      <c r="M52" s="91"/>
      <c r="N52" s="91"/>
      <c r="P52" s="92"/>
      <c r="Q52" s="92"/>
      <c r="R52" s="92"/>
    </row>
    <row r="53" spans="2:18" x14ac:dyDescent="0.3">
      <c r="B53" s="108">
        <v>35674</v>
      </c>
      <c r="C53" s="109">
        <v>11.4</v>
      </c>
      <c r="D53" s="109">
        <v>4.9000000000000004</v>
      </c>
      <c r="E53" s="109">
        <v>2.1</v>
      </c>
      <c r="K53" s="91"/>
      <c r="L53" s="91"/>
      <c r="M53" s="91"/>
      <c r="N53" s="91"/>
      <c r="P53" s="92"/>
      <c r="Q53" s="92"/>
      <c r="R53" s="92"/>
    </row>
    <row r="54" spans="2:18" x14ac:dyDescent="0.3">
      <c r="B54" s="108">
        <v>35765</v>
      </c>
      <c r="C54" s="109">
        <v>11.6</v>
      </c>
      <c r="D54" s="109">
        <v>5.2</v>
      </c>
      <c r="E54" s="109">
        <v>1.6</v>
      </c>
      <c r="K54" s="91"/>
      <c r="L54" s="91"/>
      <c r="M54" s="91"/>
      <c r="N54" s="91"/>
      <c r="P54" s="92"/>
      <c r="Q54" s="92"/>
      <c r="R54" s="92"/>
    </row>
    <row r="55" spans="2:18" x14ac:dyDescent="0.3">
      <c r="B55" s="108">
        <v>35855</v>
      </c>
      <c r="C55" s="109">
        <v>11.3</v>
      </c>
      <c r="D55" s="109">
        <v>5</v>
      </c>
      <c r="E55" s="109">
        <v>1.6</v>
      </c>
      <c r="K55" s="91"/>
      <c r="L55" s="91"/>
      <c r="M55" s="91"/>
      <c r="N55" s="91"/>
      <c r="P55" s="92"/>
      <c r="Q55" s="92"/>
      <c r="R55" s="92"/>
    </row>
    <row r="56" spans="2:18" x14ac:dyDescent="0.3">
      <c r="B56" s="108">
        <v>35947</v>
      </c>
      <c r="C56" s="109">
        <v>11.8</v>
      </c>
      <c r="D56" s="109">
        <v>5.6</v>
      </c>
      <c r="E56" s="109">
        <v>1.7</v>
      </c>
      <c r="K56" s="91"/>
      <c r="L56" s="91"/>
      <c r="M56" s="91"/>
      <c r="N56" s="91"/>
      <c r="P56" s="92"/>
      <c r="Q56" s="92"/>
      <c r="R56" s="92"/>
    </row>
    <row r="57" spans="2:18" x14ac:dyDescent="0.3">
      <c r="B57" s="108">
        <v>36039</v>
      </c>
      <c r="C57" s="109">
        <v>11.9</v>
      </c>
      <c r="D57" s="109">
        <v>5.7</v>
      </c>
      <c r="E57" s="109">
        <v>1.8</v>
      </c>
      <c r="K57" s="91"/>
      <c r="L57" s="91"/>
      <c r="M57" s="91"/>
      <c r="N57" s="91"/>
      <c r="P57" s="92"/>
      <c r="Q57" s="92"/>
      <c r="R57" s="92"/>
    </row>
    <row r="58" spans="2:18" x14ac:dyDescent="0.3">
      <c r="B58" s="108">
        <v>36130</v>
      </c>
      <c r="C58" s="109">
        <v>12.4</v>
      </c>
      <c r="D58" s="109">
        <v>5.5</v>
      </c>
      <c r="E58" s="109">
        <v>2.1</v>
      </c>
      <c r="K58" s="91"/>
      <c r="L58" s="91"/>
      <c r="M58" s="91"/>
      <c r="N58" s="91"/>
      <c r="P58" s="92"/>
      <c r="Q58" s="92"/>
      <c r="R58" s="92"/>
    </row>
    <row r="59" spans="2:18" x14ac:dyDescent="0.3">
      <c r="B59" s="108">
        <v>36220</v>
      </c>
      <c r="C59" s="109">
        <v>14.3</v>
      </c>
      <c r="D59" s="109">
        <v>5.8</v>
      </c>
      <c r="E59" s="109">
        <v>2.2999999999999998</v>
      </c>
      <c r="K59" s="91"/>
      <c r="L59" s="91"/>
      <c r="M59" s="91"/>
      <c r="N59" s="91"/>
      <c r="P59" s="92"/>
      <c r="Q59" s="92"/>
      <c r="R59" s="92"/>
    </row>
    <row r="60" spans="2:18" x14ac:dyDescent="0.3">
      <c r="B60" s="108">
        <v>36312</v>
      </c>
      <c r="C60" s="109">
        <v>15.3</v>
      </c>
      <c r="D60" s="109">
        <v>5.4</v>
      </c>
      <c r="E60" s="109">
        <v>2.6</v>
      </c>
      <c r="K60" s="91"/>
      <c r="L60" s="91"/>
      <c r="M60" s="91"/>
      <c r="N60" s="91"/>
      <c r="P60" s="92"/>
      <c r="Q60" s="92"/>
      <c r="R60" s="92"/>
    </row>
    <row r="61" spans="2:18" x14ac:dyDescent="0.3">
      <c r="B61" s="108">
        <v>36404</v>
      </c>
      <c r="C61" s="109">
        <v>15.7</v>
      </c>
      <c r="D61" s="109">
        <v>5.3</v>
      </c>
      <c r="E61" s="109">
        <v>1.7</v>
      </c>
      <c r="K61" s="91"/>
      <c r="L61" s="91"/>
      <c r="M61" s="91"/>
      <c r="N61" s="91"/>
      <c r="P61" s="92"/>
      <c r="Q61" s="92"/>
      <c r="R61" s="92"/>
    </row>
    <row r="62" spans="2:18" x14ac:dyDescent="0.3">
      <c r="B62" s="108">
        <v>36495</v>
      </c>
      <c r="C62" s="109">
        <v>15.8</v>
      </c>
      <c r="D62" s="109">
        <v>6.7</v>
      </c>
      <c r="E62" s="109">
        <v>1.3</v>
      </c>
      <c r="K62" s="91"/>
      <c r="L62" s="91"/>
      <c r="M62" s="91"/>
      <c r="N62" s="91"/>
      <c r="P62" s="92"/>
      <c r="Q62" s="92"/>
      <c r="R62" s="92"/>
    </row>
    <row r="63" spans="2:18" x14ac:dyDescent="0.3">
      <c r="B63" s="108">
        <v>36586</v>
      </c>
      <c r="C63" s="109">
        <v>15.5</v>
      </c>
      <c r="D63" s="109">
        <v>6.8</v>
      </c>
      <c r="E63" s="109">
        <v>1.8</v>
      </c>
      <c r="K63" s="91"/>
      <c r="L63" s="91"/>
      <c r="M63" s="91"/>
      <c r="N63" s="91"/>
      <c r="P63" s="92"/>
      <c r="Q63" s="92"/>
      <c r="R63" s="92"/>
    </row>
    <row r="64" spans="2:18" x14ac:dyDescent="0.3">
      <c r="B64" s="108">
        <v>36678</v>
      </c>
      <c r="C64" s="109">
        <v>16.5</v>
      </c>
      <c r="D64" s="109">
        <v>6.5</v>
      </c>
      <c r="E64" s="109">
        <v>1.7</v>
      </c>
      <c r="K64" s="91"/>
      <c r="L64" s="91"/>
      <c r="M64" s="91"/>
      <c r="N64" s="91"/>
      <c r="P64" s="92"/>
      <c r="Q64" s="92"/>
      <c r="R64" s="92"/>
    </row>
    <row r="65" spans="2:18" x14ac:dyDescent="0.3">
      <c r="B65" s="108">
        <v>36770</v>
      </c>
      <c r="C65" s="109">
        <v>16.899999999999999</v>
      </c>
      <c r="D65" s="109">
        <v>7.4</v>
      </c>
      <c r="E65" s="109">
        <v>1.8</v>
      </c>
      <c r="K65" s="91"/>
      <c r="L65" s="91"/>
      <c r="M65" s="91"/>
      <c r="N65" s="91"/>
      <c r="P65" s="92"/>
      <c r="Q65" s="92"/>
      <c r="R65" s="92"/>
    </row>
    <row r="66" spans="2:18" x14ac:dyDescent="0.3">
      <c r="B66" s="108">
        <v>36861</v>
      </c>
      <c r="C66" s="109">
        <v>16.899999999999999</v>
      </c>
      <c r="D66" s="109">
        <v>6.5</v>
      </c>
      <c r="E66" s="109">
        <v>2.6</v>
      </c>
      <c r="K66" s="91"/>
      <c r="L66" s="91"/>
      <c r="M66" s="91"/>
      <c r="N66" s="91"/>
      <c r="P66" s="92"/>
      <c r="Q66" s="92"/>
      <c r="R66" s="92"/>
    </row>
    <row r="67" spans="2:18" x14ac:dyDescent="0.3">
      <c r="B67" s="108">
        <v>36951</v>
      </c>
      <c r="C67" s="109">
        <v>16.7</v>
      </c>
      <c r="D67" s="109">
        <v>6.7</v>
      </c>
      <c r="E67" s="109">
        <v>2.2999999999999998</v>
      </c>
      <c r="K67" s="91"/>
      <c r="L67" s="91"/>
      <c r="M67" s="91"/>
      <c r="N67" s="91"/>
      <c r="P67" s="92"/>
      <c r="Q67" s="92"/>
      <c r="R67" s="92"/>
    </row>
    <row r="68" spans="2:18" x14ac:dyDescent="0.3">
      <c r="B68" s="108">
        <v>37043</v>
      </c>
      <c r="C68" s="109">
        <v>18.3</v>
      </c>
      <c r="D68" s="109">
        <v>7.7</v>
      </c>
      <c r="E68" s="109">
        <v>2.6</v>
      </c>
      <c r="K68" s="91"/>
      <c r="L68" s="91"/>
      <c r="M68" s="91"/>
      <c r="N68" s="91"/>
      <c r="P68" s="92"/>
      <c r="Q68" s="92"/>
      <c r="R68" s="92"/>
    </row>
    <row r="69" spans="2:18" x14ac:dyDescent="0.3">
      <c r="B69" s="108">
        <v>37135</v>
      </c>
      <c r="C69" s="109">
        <v>19.600000000000001</v>
      </c>
      <c r="D69" s="109">
        <v>7.6</v>
      </c>
      <c r="E69" s="109">
        <v>2.1</v>
      </c>
      <c r="K69" s="91"/>
      <c r="L69" s="91"/>
      <c r="M69" s="91"/>
      <c r="N69" s="91"/>
      <c r="P69" s="92"/>
      <c r="Q69" s="92"/>
      <c r="R69" s="92"/>
    </row>
    <row r="70" spans="2:18" x14ac:dyDescent="0.3">
      <c r="B70" s="108">
        <v>37226</v>
      </c>
      <c r="C70" s="109">
        <v>21.4</v>
      </c>
      <c r="D70" s="109">
        <v>7.4</v>
      </c>
      <c r="E70" s="109">
        <v>1.8</v>
      </c>
      <c r="K70" s="91"/>
      <c r="L70" s="91"/>
      <c r="M70" s="91"/>
      <c r="N70" s="91"/>
      <c r="P70" s="92"/>
      <c r="Q70" s="92"/>
      <c r="R70" s="92"/>
    </row>
    <row r="71" spans="2:18" x14ac:dyDescent="0.3">
      <c r="B71" s="108">
        <v>37316</v>
      </c>
      <c r="C71" s="109">
        <v>20.8</v>
      </c>
      <c r="D71" s="109">
        <v>7.9</v>
      </c>
      <c r="E71" s="109">
        <v>2.2999999999999998</v>
      </c>
      <c r="K71" s="91"/>
      <c r="L71" s="91"/>
      <c r="M71" s="91"/>
      <c r="N71" s="91"/>
      <c r="P71" s="92"/>
      <c r="Q71" s="92"/>
      <c r="R71" s="92"/>
    </row>
    <row r="72" spans="2:18" x14ac:dyDescent="0.3">
      <c r="B72" s="108">
        <v>37408</v>
      </c>
      <c r="C72" s="109">
        <v>22.2</v>
      </c>
      <c r="D72" s="109">
        <v>8.9</v>
      </c>
      <c r="E72" s="109">
        <v>2.5</v>
      </c>
      <c r="K72" s="91"/>
      <c r="L72" s="91"/>
      <c r="M72" s="91"/>
      <c r="N72" s="91"/>
      <c r="P72" s="92"/>
      <c r="Q72" s="92"/>
      <c r="R72" s="92"/>
    </row>
    <row r="73" spans="2:18" x14ac:dyDescent="0.3">
      <c r="B73" s="108">
        <v>37500</v>
      </c>
      <c r="C73" s="109">
        <v>21.2</v>
      </c>
      <c r="D73" s="109">
        <v>8.6</v>
      </c>
      <c r="E73" s="109">
        <v>2.1</v>
      </c>
      <c r="K73" s="91"/>
      <c r="L73" s="91"/>
      <c r="M73" s="91"/>
      <c r="N73" s="91"/>
      <c r="P73" s="92"/>
      <c r="Q73" s="92"/>
      <c r="R73" s="92"/>
    </row>
    <row r="74" spans="2:18" x14ac:dyDescent="0.3">
      <c r="B74" s="108">
        <v>37591</v>
      </c>
      <c r="C74" s="109">
        <v>20.9</v>
      </c>
      <c r="D74" s="109">
        <v>8.8000000000000007</v>
      </c>
      <c r="E74" s="109">
        <v>1.9</v>
      </c>
      <c r="K74" s="91"/>
      <c r="L74" s="91"/>
      <c r="M74" s="91"/>
      <c r="N74" s="91"/>
      <c r="P74" s="92"/>
      <c r="Q74" s="92"/>
      <c r="R74" s="92"/>
    </row>
    <row r="75" spans="2:18" x14ac:dyDescent="0.3">
      <c r="B75" s="108">
        <v>37681</v>
      </c>
      <c r="C75" s="109">
        <v>21.6</v>
      </c>
      <c r="D75" s="109">
        <v>7.9</v>
      </c>
      <c r="E75" s="109">
        <v>1.9</v>
      </c>
      <c r="K75" s="91"/>
      <c r="L75" s="91"/>
      <c r="M75" s="91"/>
      <c r="N75" s="91"/>
      <c r="P75" s="92"/>
      <c r="Q75" s="92"/>
      <c r="R75" s="92"/>
    </row>
    <row r="76" spans="2:18" x14ac:dyDescent="0.3">
      <c r="B76" s="108">
        <v>37773</v>
      </c>
      <c r="C76" s="109">
        <v>20.5</v>
      </c>
      <c r="D76" s="109">
        <v>9.3000000000000007</v>
      </c>
      <c r="E76" s="109">
        <v>2.2000000000000002</v>
      </c>
      <c r="K76" s="91"/>
      <c r="L76" s="91"/>
      <c r="M76" s="91"/>
      <c r="N76" s="91"/>
      <c r="P76" s="92"/>
      <c r="Q76" s="92"/>
      <c r="R76" s="92"/>
    </row>
    <row r="77" spans="2:18" x14ac:dyDescent="0.3">
      <c r="B77" s="108">
        <v>37865</v>
      </c>
      <c r="C77" s="109">
        <v>22.5</v>
      </c>
      <c r="D77" s="109">
        <v>9.8000000000000007</v>
      </c>
      <c r="E77" s="109">
        <v>2.1</v>
      </c>
      <c r="K77" s="91"/>
      <c r="L77" s="91"/>
      <c r="M77" s="91"/>
      <c r="N77" s="91"/>
      <c r="P77" s="92"/>
      <c r="Q77" s="92"/>
      <c r="R77" s="92"/>
    </row>
    <row r="78" spans="2:18" x14ac:dyDescent="0.3">
      <c r="B78" s="108">
        <v>37956</v>
      </c>
      <c r="C78" s="109">
        <v>22.7</v>
      </c>
      <c r="D78" s="109">
        <v>9.6</v>
      </c>
      <c r="E78" s="109">
        <v>2.5</v>
      </c>
      <c r="K78" s="91"/>
      <c r="L78" s="91"/>
      <c r="M78" s="91"/>
      <c r="N78" s="91"/>
      <c r="P78" s="92"/>
      <c r="Q78" s="92"/>
      <c r="R78" s="92"/>
    </row>
    <row r="79" spans="2:18" x14ac:dyDescent="0.3">
      <c r="B79" s="108">
        <v>38047</v>
      </c>
      <c r="C79" s="109">
        <v>22.1</v>
      </c>
      <c r="D79" s="109">
        <v>9.6999999999999993</v>
      </c>
      <c r="E79" s="109">
        <v>2.6</v>
      </c>
      <c r="K79" s="91"/>
      <c r="L79" s="91"/>
      <c r="M79" s="91"/>
      <c r="N79" s="91"/>
      <c r="P79" s="92"/>
      <c r="Q79" s="92"/>
      <c r="R79" s="92"/>
    </row>
    <row r="80" spans="2:18" x14ac:dyDescent="0.3">
      <c r="B80" s="108">
        <v>38139</v>
      </c>
      <c r="C80" s="109">
        <v>23.7</v>
      </c>
      <c r="D80" s="109">
        <v>9.6</v>
      </c>
      <c r="E80" s="109">
        <v>2.7</v>
      </c>
      <c r="K80" s="91"/>
      <c r="L80" s="91"/>
      <c r="M80" s="91"/>
      <c r="N80" s="91"/>
      <c r="P80" s="92"/>
      <c r="Q80" s="92"/>
      <c r="R80" s="92"/>
    </row>
    <row r="81" spans="2:18" x14ac:dyDescent="0.3">
      <c r="B81" s="108">
        <v>38231</v>
      </c>
      <c r="C81" s="109">
        <v>25.7</v>
      </c>
      <c r="D81" s="109">
        <v>10</v>
      </c>
      <c r="E81" s="109">
        <v>3</v>
      </c>
      <c r="K81" s="91"/>
      <c r="L81" s="91"/>
      <c r="M81" s="91"/>
      <c r="N81" s="91"/>
      <c r="P81" s="92"/>
      <c r="Q81" s="92"/>
      <c r="R81" s="92"/>
    </row>
    <row r="82" spans="2:18" x14ac:dyDescent="0.3">
      <c r="B82" s="108">
        <v>38322</v>
      </c>
      <c r="C82" s="109">
        <v>27.8</v>
      </c>
      <c r="D82" s="109">
        <v>9.8000000000000007</v>
      </c>
      <c r="E82" s="109">
        <v>2.8</v>
      </c>
      <c r="K82" s="91"/>
      <c r="L82" s="91"/>
      <c r="M82" s="91"/>
      <c r="N82" s="91"/>
      <c r="P82" s="92"/>
      <c r="Q82" s="92"/>
      <c r="R82" s="92"/>
    </row>
    <row r="83" spans="2:18" x14ac:dyDescent="0.3">
      <c r="B83" s="108">
        <v>38412</v>
      </c>
      <c r="C83" s="109">
        <v>27.8</v>
      </c>
      <c r="D83" s="109">
        <v>8.5</v>
      </c>
      <c r="E83" s="109">
        <v>2.4</v>
      </c>
      <c r="K83" s="91"/>
      <c r="L83" s="91"/>
      <c r="M83" s="91"/>
      <c r="N83" s="91"/>
      <c r="P83" s="92"/>
      <c r="Q83" s="92"/>
      <c r="R83" s="92"/>
    </row>
    <row r="84" spans="2:18" x14ac:dyDescent="0.3">
      <c r="B84" s="108">
        <v>38504</v>
      </c>
      <c r="C84" s="109">
        <v>26.8</v>
      </c>
      <c r="D84" s="109">
        <v>10.199999999999999</v>
      </c>
      <c r="E84" s="109">
        <v>2.6</v>
      </c>
      <c r="K84" s="91"/>
      <c r="L84" s="91"/>
      <c r="M84" s="91"/>
      <c r="N84" s="91"/>
      <c r="P84" s="92"/>
      <c r="Q84" s="92"/>
      <c r="R84" s="92"/>
    </row>
    <row r="85" spans="2:18" x14ac:dyDescent="0.3">
      <c r="B85" s="108">
        <v>38596</v>
      </c>
      <c r="C85" s="109">
        <v>27.5</v>
      </c>
      <c r="D85" s="109">
        <v>9.6999999999999993</v>
      </c>
      <c r="E85" s="109">
        <v>2.5</v>
      </c>
      <c r="K85" s="91"/>
      <c r="L85" s="91"/>
      <c r="M85" s="91"/>
      <c r="N85" s="91"/>
      <c r="P85" s="92"/>
      <c r="Q85" s="92"/>
      <c r="R85" s="92"/>
    </row>
    <row r="86" spans="2:18" x14ac:dyDescent="0.3">
      <c r="B86" s="108">
        <v>38687</v>
      </c>
      <c r="C86" s="109">
        <v>26.3</v>
      </c>
      <c r="D86" s="109">
        <v>7.5</v>
      </c>
      <c r="E86" s="109">
        <v>2.5</v>
      </c>
      <c r="K86" s="91"/>
      <c r="L86" s="91"/>
      <c r="M86" s="91"/>
      <c r="N86" s="91"/>
      <c r="P86" s="92"/>
      <c r="Q86" s="92"/>
      <c r="R86" s="92"/>
    </row>
    <row r="87" spans="2:18" x14ac:dyDescent="0.3">
      <c r="B87" s="108">
        <v>38777</v>
      </c>
      <c r="C87" s="109">
        <v>27.3</v>
      </c>
      <c r="D87" s="109">
        <v>9.4</v>
      </c>
      <c r="E87" s="109">
        <v>2.7</v>
      </c>
      <c r="K87" s="91"/>
      <c r="L87" s="91"/>
      <c r="M87" s="91"/>
      <c r="N87" s="91"/>
      <c r="P87" s="92"/>
      <c r="Q87" s="92"/>
      <c r="R87" s="92"/>
    </row>
    <row r="88" spans="2:18" x14ac:dyDescent="0.3">
      <c r="B88" s="108">
        <v>38869</v>
      </c>
      <c r="C88" s="109">
        <v>28.1</v>
      </c>
      <c r="D88" s="109">
        <v>11.5</v>
      </c>
      <c r="E88" s="109">
        <v>2</v>
      </c>
      <c r="K88" s="91"/>
      <c r="L88" s="91"/>
      <c r="M88" s="91"/>
      <c r="N88" s="91"/>
      <c r="P88" s="92"/>
      <c r="Q88" s="92"/>
      <c r="R88" s="92"/>
    </row>
    <row r="89" spans="2:18" x14ac:dyDescent="0.3">
      <c r="B89" s="108">
        <v>38961</v>
      </c>
      <c r="C89" s="109">
        <v>28</v>
      </c>
      <c r="D89" s="109">
        <v>11.3</v>
      </c>
      <c r="E89" s="109">
        <v>2.2999999999999998</v>
      </c>
      <c r="K89" s="91"/>
      <c r="L89" s="91"/>
      <c r="M89" s="91"/>
      <c r="N89" s="91"/>
      <c r="P89" s="92"/>
      <c r="Q89" s="92"/>
      <c r="R89" s="92"/>
    </row>
    <row r="90" spans="2:18" x14ac:dyDescent="0.3">
      <c r="B90" s="108">
        <v>39052</v>
      </c>
      <c r="C90" s="109">
        <v>30.3</v>
      </c>
      <c r="D90" s="109">
        <v>13</v>
      </c>
      <c r="E90" s="109">
        <v>3</v>
      </c>
      <c r="K90" s="91"/>
      <c r="L90" s="91"/>
      <c r="M90" s="91"/>
      <c r="N90" s="91"/>
      <c r="P90" s="92"/>
      <c r="Q90" s="92"/>
      <c r="R90" s="92"/>
    </row>
    <row r="91" spans="2:18" x14ac:dyDescent="0.3">
      <c r="B91" s="108">
        <v>39142</v>
      </c>
      <c r="C91" s="109">
        <v>29.6</v>
      </c>
      <c r="D91" s="109">
        <v>12.4</v>
      </c>
      <c r="E91" s="109">
        <v>2.5</v>
      </c>
      <c r="K91" s="91"/>
      <c r="L91" s="91"/>
      <c r="M91" s="91"/>
      <c r="N91" s="91"/>
      <c r="P91" s="92"/>
      <c r="Q91" s="92"/>
      <c r="R91" s="92"/>
    </row>
    <row r="92" spans="2:18" x14ac:dyDescent="0.3">
      <c r="B92" s="108">
        <v>39234</v>
      </c>
      <c r="C92" s="109">
        <v>29.2</v>
      </c>
      <c r="D92" s="109">
        <v>13.5</v>
      </c>
      <c r="E92" s="109">
        <v>3.4</v>
      </c>
      <c r="K92" s="91"/>
      <c r="L92" s="91"/>
      <c r="M92" s="91"/>
      <c r="N92" s="91"/>
      <c r="P92" s="92"/>
      <c r="Q92" s="92"/>
      <c r="R92" s="92"/>
    </row>
    <row r="93" spans="2:18" x14ac:dyDescent="0.3">
      <c r="B93" s="108">
        <v>39326</v>
      </c>
      <c r="C93" s="109">
        <v>30.1</v>
      </c>
      <c r="D93" s="109">
        <v>13.7</v>
      </c>
      <c r="E93" s="109">
        <v>2.2000000000000002</v>
      </c>
      <c r="K93" s="91"/>
      <c r="L93" s="91"/>
      <c r="M93" s="91"/>
      <c r="N93" s="91"/>
      <c r="P93" s="92"/>
      <c r="Q93" s="92"/>
      <c r="R93" s="92"/>
    </row>
    <row r="94" spans="2:18" x14ac:dyDescent="0.3">
      <c r="B94" s="108">
        <v>39417</v>
      </c>
      <c r="C94" s="109">
        <v>31.2</v>
      </c>
      <c r="D94" s="109">
        <v>14.5</v>
      </c>
      <c r="E94" s="109">
        <v>3.4</v>
      </c>
      <c r="K94" s="91"/>
      <c r="L94" s="91"/>
      <c r="M94" s="91"/>
      <c r="N94" s="91"/>
      <c r="P94" s="92"/>
      <c r="Q94" s="92"/>
      <c r="R94" s="92"/>
    </row>
    <row r="95" spans="2:18" x14ac:dyDescent="0.3">
      <c r="B95" s="108">
        <v>39508</v>
      </c>
      <c r="C95" s="109">
        <v>31.4</v>
      </c>
      <c r="D95" s="109">
        <v>12.4</v>
      </c>
      <c r="E95" s="109">
        <v>2.9</v>
      </c>
      <c r="K95" s="91"/>
      <c r="L95" s="91"/>
      <c r="M95" s="91"/>
      <c r="N95" s="91"/>
      <c r="P95" s="92"/>
      <c r="Q95" s="92"/>
      <c r="R95" s="92"/>
    </row>
    <row r="96" spans="2:18" x14ac:dyDescent="0.3">
      <c r="B96" s="108">
        <v>39600</v>
      </c>
      <c r="C96" s="109">
        <v>31</v>
      </c>
      <c r="D96" s="109">
        <v>13.2</v>
      </c>
      <c r="E96" s="109">
        <v>3.2</v>
      </c>
      <c r="K96" s="91"/>
      <c r="L96" s="91"/>
      <c r="M96" s="91"/>
      <c r="N96" s="91"/>
      <c r="P96" s="92"/>
      <c r="Q96" s="92"/>
      <c r="R96" s="92"/>
    </row>
    <row r="97" spans="2:18" x14ac:dyDescent="0.3">
      <c r="B97" s="108">
        <v>39692</v>
      </c>
      <c r="C97" s="109">
        <v>31.1</v>
      </c>
      <c r="D97" s="109">
        <v>13.6</v>
      </c>
      <c r="E97" s="109">
        <v>3.4</v>
      </c>
      <c r="K97" s="91"/>
      <c r="L97" s="91"/>
      <c r="M97" s="91"/>
      <c r="N97" s="91"/>
      <c r="P97" s="92"/>
      <c r="Q97" s="92"/>
      <c r="R97" s="92"/>
    </row>
    <row r="98" spans="2:18" x14ac:dyDescent="0.3">
      <c r="B98" s="108">
        <v>39783</v>
      </c>
      <c r="C98" s="109">
        <v>37.9</v>
      </c>
      <c r="D98" s="109">
        <v>16.7</v>
      </c>
      <c r="E98" s="109">
        <v>3.2</v>
      </c>
      <c r="K98" s="91"/>
      <c r="L98" s="91"/>
      <c r="M98" s="91"/>
      <c r="N98" s="91"/>
      <c r="P98" s="92"/>
      <c r="Q98" s="92"/>
      <c r="R98" s="92"/>
    </row>
    <row r="99" spans="2:18" x14ac:dyDescent="0.3">
      <c r="B99" s="108">
        <v>39873</v>
      </c>
      <c r="C99" s="109">
        <v>34</v>
      </c>
      <c r="D99" s="109">
        <v>14.9</v>
      </c>
      <c r="E99" s="109">
        <v>3</v>
      </c>
      <c r="K99" s="91"/>
      <c r="L99" s="91"/>
      <c r="M99" s="91"/>
      <c r="N99" s="91"/>
      <c r="P99" s="92"/>
      <c r="Q99" s="92"/>
      <c r="R99" s="92"/>
    </row>
    <row r="100" spans="2:18" x14ac:dyDescent="0.3">
      <c r="B100" s="108">
        <v>39965</v>
      </c>
      <c r="C100" s="109">
        <v>33.6</v>
      </c>
      <c r="D100" s="109">
        <v>14.6</v>
      </c>
      <c r="E100" s="109">
        <v>3.2</v>
      </c>
      <c r="K100" s="91"/>
      <c r="L100" s="91"/>
      <c r="M100" s="91"/>
      <c r="N100" s="91"/>
      <c r="P100" s="92"/>
      <c r="Q100" s="92"/>
      <c r="R100" s="92"/>
    </row>
    <row r="101" spans="2:18" x14ac:dyDescent="0.3">
      <c r="B101" s="108">
        <v>40057</v>
      </c>
      <c r="C101" s="109">
        <v>33.9</v>
      </c>
      <c r="D101" s="109">
        <v>14.7</v>
      </c>
      <c r="E101" s="109">
        <v>2.9</v>
      </c>
      <c r="K101" s="91"/>
      <c r="L101" s="91"/>
      <c r="M101" s="91"/>
      <c r="N101" s="91"/>
      <c r="P101" s="92"/>
      <c r="Q101" s="92"/>
      <c r="R101" s="92"/>
    </row>
    <row r="102" spans="2:18" x14ac:dyDescent="0.3">
      <c r="B102" s="108">
        <v>40148</v>
      </c>
      <c r="C102" s="109">
        <v>34.6</v>
      </c>
      <c r="D102" s="109">
        <v>13.8</v>
      </c>
      <c r="E102" s="109">
        <v>3.2</v>
      </c>
      <c r="K102" s="91"/>
      <c r="L102" s="91"/>
      <c r="M102" s="91"/>
      <c r="N102" s="91"/>
      <c r="P102" s="92"/>
      <c r="Q102" s="92"/>
      <c r="R102" s="92"/>
    </row>
    <row r="103" spans="2:18" x14ac:dyDescent="0.3">
      <c r="B103" s="108">
        <v>40238</v>
      </c>
      <c r="C103" s="109">
        <v>34.5</v>
      </c>
      <c r="D103" s="109">
        <v>14.3</v>
      </c>
      <c r="E103" s="109">
        <v>3</v>
      </c>
      <c r="K103" s="91"/>
      <c r="L103" s="91"/>
      <c r="M103" s="91"/>
      <c r="N103" s="91"/>
      <c r="P103" s="92"/>
      <c r="Q103" s="92"/>
      <c r="R103" s="92"/>
    </row>
    <row r="104" spans="2:18" x14ac:dyDescent="0.3">
      <c r="B104" s="108">
        <v>40330</v>
      </c>
      <c r="C104" s="109">
        <v>35.1</v>
      </c>
      <c r="D104" s="109">
        <v>14.9</v>
      </c>
      <c r="E104" s="109">
        <v>3.9</v>
      </c>
      <c r="K104" s="91"/>
      <c r="L104" s="91"/>
      <c r="M104" s="91"/>
      <c r="N104" s="91"/>
      <c r="P104" s="92"/>
      <c r="Q104" s="92"/>
      <c r="R104" s="92"/>
    </row>
    <row r="105" spans="2:18" x14ac:dyDescent="0.3">
      <c r="B105" s="108">
        <v>40422</v>
      </c>
      <c r="C105" s="109">
        <v>37</v>
      </c>
      <c r="D105" s="109">
        <v>15.3</v>
      </c>
      <c r="E105" s="109">
        <v>3.9</v>
      </c>
      <c r="K105" s="91"/>
      <c r="L105" s="91"/>
      <c r="M105" s="91"/>
      <c r="N105" s="91"/>
      <c r="P105" s="92"/>
      <c r="Q105" s="92"/>
      <c r="R105" s="92"/>
    </row>
    <row r="106" spans="2:18" x14ac:dyDescent="0.3">
      <c r="B106" s="108">
        <v>40513</v>
      </c>
      <c r="C106" s="109">
        <v>37.200000000000003</v>
      </c>
      <c r="D106" s="109">
        <v>16.100000000000001</v>
      </c>
      <c r="E106" s="109">
        <v>3.7</v>
      </c>
      <c r="K106" s="91"/>
      <c r="L106" s="91"/>
      <c r="M106" s="91"/>
      <c r="N106" s="91"/>
      <c r="P106" s="92"/>
      <c r="Q106" s="92"/>
      <c r="R106" s="92"/>
    </row>
    <row r="107" spans="2:18" x14ac:dyDescent="0.3">
      <c r="B107" s="108">
        <v>40603</v>
      </c>
      <c r="C107" s="109">
        <v>38</v>
      </c>
      <c r="D107" s="109">
        <v>16.899999999999999</v>
      </c>
      <c r="E107" s="109">
        <v>4.3</v>
      </c>
      <c r="K107" s="91"/>
      <c r="L107" s="91"/>
      <c r="M107" s="91"/>
      <c r="N107" s="91"/>
      <c r="P107" s="92"/>
      <c r="Q107" s="92"/>
      <c r="R107" s="92"/>
    </row>
    <row r="108" spans="2:18" x14ac:dyDescent="0.3">
      <c r="B108" s="108">
        <v>40695</v>
      </c>
      <c r="C108" s="109">
        <v>38</v>
      </c>
      <c r="D108" s="109">
        <v>17.899999999999999</v>
      </c>
      <c r="E108" s="109">
        <v>4.8</v>
      </c>
      <c r="K108" s="91"/>
      <c r="L108" s="91"/>
      <c r="M108" s="91"/>
      <c r="N108" s="91"/>
      <c r="P108" s="92"/>
      <c r="Q108" s="92"/>
      <c r="R108" s="92"/>
    </row>
    <row r="109" spans="2:18" x14ac:dyDescent="0.3">
      <c r="B109" s="108">
        <v>40787</v>
      </c>
      <c r="C109" s="109">
        <v>38.799999999999997</v>
      </c>
      <c r="D109" s="109">
        <v>17.8</v>
      </c>
      <c r="E109" s="109">
        <v>4.4000000000000004</v>
      </c>
      <c r="K109" s="91"/>
      <c r="L109" s="91"/>
      <c r="M109" s="91"/>
      <c r="N109" s="91"/>
      <c r="P109" s="92"/>
      <c r="Q109" s="92"/>
      <c r="R109" s="92"/>
    </row>
    <row r="110" spans="2:18" x14ac:dyDescent="0.3">
      <c r="B110" s="108">
        <v>40878</v>
      </c>
      <c r="C110" s="109">
        <v>39.6</v>
      </c>
      <c r="D110" s="109">
        <v>18.2</v>
      </c>
      <c r="E110" s="109">
        <v>4.5</v>
      </c>
      <c r="K110" s="91"/>
      <c r="L110" s="91"/>
      <c r="M110" s="91"/>
      <c r="N110" s="91"/>
      <c r="P110" s="92"/>
      <c r="Q110" s="92"/>
      <c r="R110" s="92"/>
    </row>
    <row r="111" spans="2:18" x14ac:dyDescent="0.3">
      <c r="B111" s="108">
        <v>40969</v>
      </c>
      <c r="C111" s="109">
        <v>39.6</v>
      </c>
      <c r="D111" s="109">
        <v>19</v>
      </c>
      <c r="E111" s="109">
        <v>4</v>
      </c>
      <c r="K111" s="91"/>
      <c r="L111" s="91"/>
      <c r="M111" s="91"/>
      <c r="N111" s="91"/>
      <c r="P111" s="92"/>
      <c r="Q111" s="92"/>
      <c r="R111" s="92"/>
    </row>
    <row r="112" spans="2:18" x14ac:dyDescent="0.3">
      <c r="B112" s="108">
        <v>41061</v>
      </c>
      <c r="C112" s="109">
        <v>41</v>
      </c>
      <c r="D112" s="109">
        <v>19.100000000000001</v>
      </c>
      <c r="E112" s="109">
        <v>4.5</v>
      </c>
      <c r="K112" s="91"/>
      <c r="L112" s="91"/>
      <c r="M112" s="91"/>
      <c r="N112" s="91"/>
      <c r="P112" s="92"/>
      <c r="Q112" s="92"/>
      <c r="R112" s="92"/>
    </row>
    <row r="113" spans="2:18" x14ac:dyDescent="0.3">
      <c r="B113" s="108">
        <v>41153</v>
      </c>
      <c r="C113" s="109">
        <v>40.799999999999997</v>
      </c>
      <c r="D113" s="109">
        <v>18.399999999999999</v>
      </c>
      <c r="E113" s="109">
        <v>4.9000000000000004</v>
      </c>
      <c r="K113" s="91"/>
      <c r="L113" s="91"/>
      <c r="M113" s="91"/>
      <c r="N113" s="91"/>
      <c r="P113" s="92"/>
      <c r="Q113" s="92"/>
      <c r="R113" s="92"/>
    </row>
    <row r="114" spans="2:18" x14ac:dyDescent="0.3">
      <c r="B114" s="108">
        <v>41244</v>
      </c>
      <c r="C114" s="109">
        <v>38.9</v>
      </c>
      <c r="D114" s="109">
        <v>18.7</v>
      </c>
      <c r="E114" s="109">
        <v>3.9</v>
      </c>
      <c r="K114" s="91"/>
      <c r="L114" s="91"/>
      <c r="M114" s="91"/>
      <c r="N114" s="91"/>
      <c r="P114" s="92"/>
      <c r="Q114" s="92"/>
      <c r="R114" s="92"/>
    </row>
    <row r="115" spans="2:18" x14ac:dyDescent="0.3">
      <c r="B115" s="108">
        <v>41334</v>
      </c>
      <c r="C115" s="109">
        <v>40.700000000000003</v>
      </c>
      <c r="D115" s="109">
        <v>19.3</v>
      </c>
      <c r="E115" s="109">
        <v>4.2</v>
      </c>
      <c r="K115" s="91"/>
      <c r="L115" s="91"/>
      <c r="M115" s="91"/>
      <c r="N115" s="91"/>
      <c r="P115" s="92"/>
      <c r="Q115" s="92"/>
      <c r="R115" s="92"/>
    </row>
    <row r="116" spans="2:18" x14ac:dyDescent="0.3">
      <c r="B116" s="108">
        <v>41426</v>
      </c>
      <c r="C116" s="109">
        <v>38.4</v>
      </c>
      <c r="D116" s="109">
        <v>19.5</v>
      </c>
      <c r="E116" s="109">
        <v>4.5</v>
      </c>
      <c r="K116" s="91"/>
      <c r="L116" s="91"/>
      <c r="M116" s="91"/>
      <c r="N116" s="91"/>
      <c r="P116" s="92"/>
      <c r="Q116" s="92"/>
      <c r="R116" s="92"/>
    </row>
    <row r="117" spans="2:18" x14ac:dyDescent="0.3">
      <c r="B117" s="108">
        <v>41518</v>
      </c>
      <c r="C117" s="109">
        <v>40.700000000000003</v>
      </c>
      <c r="D117" s="109">
        <v>20.7</v>
      </c>
      <c r="E117" s="109">
        <v>4.8</v>
      </c>
      <c r="K117" s="91"/>
      <c r="L117" s="91"/>
      <c r="M117" s="91"/>
      <c r="N117" s="91"/>
      <c r="P117" s="92"/>
      <c r="Q117" s="92"/>
      <c r="R117" s="92"/>
    </row>
    <row r="118" spans="2:18" x14ac:dyDescent="0.3">
      <c r="B118" s="108">
        <v>41609</v>
      </c>
      <c r="C118" s="109">
        <v>41</v>
      </c>
      <c r="D118" s="109">
        <v>20.399999999999999</v>
      </c>
      <c r="E118" s="109">
        <v>4.9000000000000004</v>
      </c>
      <c r="K118" s="91"/>
      <c r="L118" s="91"/>
      <c r="M118" s="91"/>
      <c r="N118" s="91"/>
      <c r="P118" s="92"/>
      <c r="Q118" s="92"/>
      <c r="R118" s="92"/>
    </row>
    <row r="119" spans="2:18" x14ac:dyDescent="0.3">
      <c r="B119" s="108">
        <v>41699</v>
      </c>
      <c r="C119" s="109">
        <v>41.8</v>
      </c>
      <c r="D119" s="109">
        <v>19</v>
      </c>
      <c r="E119" s="109">
        <v>5.4</v>
      </c>
      <c r="K119" s="91"/>
      <c r="L119" s="91"/>
      <c r="M119" s="91"/>
      <c r="N119" s="91"/>
      <c r="P119" s="92"/>
      <c r="Q119" s="92"/>
      <c r="R119" s="92"/>
    </row>
    <row r="120" spans="2:18" x14ac:dyDescent="0.3">
      <c r="B120" s="108">
        <v>41791</v>
      </c>
      <c r="C120" s="109">
        <v>38.9</v>
      </c>
      <c r="D120" s="109">
        <v>19.3</v>
      </c>
      <c r="E120" s="109">
        <v>5.8</v>
      </c>
      <c r="K120" s="91"/>
      <c r="L120" s="91"/>
      <c r="M120" s="91"/>
      <c r="N120" s="91"/>
      <c r="P120" s="92"/>
      <c r="Q120" s="92"/>
      <c r="R120" s="92"/>
    </row>
    <row r="121" spans="2:18" x14ac:dyDescent="0.3">
      <c r="B121" s="108">
        <v>41883</v>
      </c>
      <c r="C121" s="109">
        <v>39.6</v>
      </c>
      <c r="D121" s="109">
        <v>19.3</v>
      </c>
      <c r="E121" s="109">
        <v>5.5</v>
      </c>
      <c r="K121" s="91"/>
      <c r="L121" s="91"/>
      <c r="M121" s="91"/>
      <c r="N121" s="91"/>
      <c r="P121" s="92"/>
      <c r="Q121" s="92"/>
      <c r="R121" s="92"/>
    </row>
    <row r="122" spans="2:18" x14ac:dyDescent="0.3">
      <c r="B122" s="108">
        <v>41974</v>
      </c>
      <c r="C122" s="109">
        <v>40.5</v>
      </c>
      <c r="D122" s="109">
        <v>21</v>
      </c>
      <c r="E122" s="109">
        <v>6.6</v>
      </c>
      <c r="K122" s="91"/>
      <c r="L122" s="91"/>
      <c r="M122" s="91"/>
      <c r="N122" s="91"/>
      <c r="P122" s="92"/>
      <c r="Q122" s="92"/>
      <c r="R122" s="92"/>
    </row>
    <row r="123" spans="2:18" x14ac:dyDescent="0.3">
      <c r="B123" s="108">
        <v>42064</v>
      </c>
      <c r="C123" s="109">
        <v>41.8</v>
      </c>
      <c r="D123" s="109">
        <v>20</v>
      </c>
      <c r="E123" s="109">
        <v>7</v>
      </c>
      <c r="K123" s="91"/>
      <c r="L123" s="91"/>
      <c r="M123" s="91"/>
      <c r="N123" s="91"/>
      <c r="P123" s="92"/>
      <c r="Q123" s="92"/>
      <c r="R123" s="92"/>
    </row>
    <row r="124" spans="2:18" x14ac:dyDescent="0.3">
      <c r="B124" s="108">
        <v>42156</v>
      </c>
      <c r="C124" s="109">
        <v>41.4</v>
      </c>
      <c r="D124" s="109">
        <v>19.600000000000001</v>
      </c>
      <c r="E124" s="109">
        <v>6.1</v>
      </c>
      <c r="K124" s="91"/>
      <c r="L124" s="91"/>
      <c r="M124" s="91"/>
      <c r="N124" s="91"/>
      <c r="P124" s="92"/>
      <c r="Q124" s="92"/>
      <c r="R124" s="92"/>
    </row>
    <row r="125" spans="2:18" x14ac:dyDescent="0.3">
      <c r="B125" s="108">
        <v>42248</v>
      </c>
      <c r="C125" s="109">
        <v>40.1</v>
      </c>
      <c r="D125" s="109">
        <v>20.9</v>
      </c>
      <c r="E125" s="109">
        <v>5.7</v>
      </c>
      <c r="K125" s="91"/>
      <c r="L125" s="91"/>
      <c r="M125" s="91"/>
      <c r="N125" s="91"/>
      <c r="P125" s="92"/>
      <c r="Q125" s="92"/>
      <c r="R125" s="92"/>
    </row>
    <row r="126" spans="2:18" x14ac:dyDescent="0.3">
      <c r="B126" s="108">
        <v>42339</v>
      </c>
      <c r="C126" s="109">
        <v>41.2</v>
      </c>
      <c r="D126" s="109">
        <v>21</v>
      </c>
      <c r="E126" s="109">
        <v>5.9</v>
      </c>
      <c r="K126" s="91"/>
      <c r="L126" s="91"/>
      <c r="M126" s="91"/>
      <c r="N126" s="91"/>
      <c r="P126" s="92"/>
      <c r="Q126" s="92"/>
      <c r="R126" s="92"/>
    </row>
    <row r="127" spans="2:18" x14ac:dyDescent="0.3">
      <c r="B127" s="108">
        <v>42430</v>
      </c>
      <c r="C127" s="109">
        <v>41.5</v>
      </c>
      <c r="D127" s="109">
        <v>21.6</v>
      </c>
      <c r="E127" s="109">
        <v>5.9</v>
      </c>
      <c r="K127" s="91"/>
      <c r="L127" s="91"/>
      <c r="M127" s="91"/>
      <c r="N127" s="91"/>
      <c r="P127" s="92"/>
      <c r="Q127" s="92"/>
      <c r="R127" s="92"/>
    </row>
    <row r="128" spans="2:18" x14ac:dyDescent="0.3">
      <c r="B128" s="108">
        <v>42522</v>
      </c>
      <c r="C128" s="109">
        <v>42.4</v>
      </c>
      <c r="D128" s="109">
        <v>23.2</v>
      </c>
      <c r="E128" s="109">
        <v>7</v>
      </c>
      <c r="K128" s="91"/>
      <c r="L128" s="91"/>
      <c r="M128" s="91"/>
      <c r="N128" s="91"/>
      <c r="P128" s="92"/>
      <c r="Q128" s="92"/>
      <c r="R128" s="92"/>
    </row>
    <row r="129" spans="2:18" x14ac:dyDescent="0.3">
      <c r="B129" s="108">
        <v>42614</v>
      </c>
      <c r="C129" s="109">
        <v>43.7</v>
      </c>
      <c r="D129" s="109">
        <v>22</v>
      </c>
      <c r="E129" s="109">
        <v>7.4</v>
      </c>
      <c r="K129" s="91"/>
      <c r="L129" s="91"/>
      <c r="M129" s="91"/>
      <c r="N129" s="91"/>
      <c r="P129" s="92"/>
      <c r="Q129" s="92"/>
      <c r="R129" s="92"/>
    </row>
    <row r="130" spans="2:18" x14ac:dyDescent="0.3">
      <c r="B130" s="108">
        <v>42705</v>
      </c>
      <c r="C130" s="109">
        <v>45</v>
      </c>
      <c r="D130" s="109">
        <v>22.9</v>
      </c>
      <c r="E130" s="109">
        <v>6.6</v>
      </c>
      <c r="K130" s="91"/>
      <c r="L130" s="91"/>
      <c r="M130" s="91"/>
      <c r="N130" s="91"/>
      <c r="P130" s="92"/>
      <c r="Q130" s="92"/>
      <c r="R130" s="92"/>
    </row>
    <row r="131" spans="2:18" x14ac:dyDescent="0.3">
      <c r="B131" s="108">
        <v>42795</v>
      </c>
      <c r="C131" s="109">
        <v>44.9</v>
      </c>
      <c r="D131" s="109">
        <v>23.2</v>
      </c>
      <c r="E131" s="109">
        <v>6.9</v>
      </c>
      <c r="K131" s="91"/>
      <c r="L131" s="91"/>
      <c r="M131" s="91"/>
      <c r="N131" s="91"/>
      <c r="P131" s="92"/>
      <c r="Q131" s="92"/>
      <c r="R131" s="92"/>
    </row>
    <row r="132" spans="2:18" x14ac:dyDescent="0.3">
      <c r="B132" s="108">
        <v>42887</v>
      </c>
      <c r="C132" s="109">
        <v>45</v>
      </c>
      <c r="D132" s="109">
        <v>22.8</v>
      </c>
      <c r="E132" s="109">
        <v>6.7</v>
      </c>
      <c r="K132" s="91"/>
      <c r="L132" s="91"/>
      <c r="M132" s="91"/>
      <c r="N132" s="91"/>
      <c r="P132" s="92"/>
      <c r="Q132" s="92"/>
      <c r="R132" s="92"/>
    </row>
    <row r="133" spans="2:18" x14ac:dyDescent="0.3">
      <c r="B133" s="108">
        <v>42979</v>
      </c>
      <c r="C133" s="109">
        <v>46.5</v>
      </c>
      <c r="D133" s="109">
        <v>22.9</v>
      </c>
      <c r="E133" s="109">
        <v>7.4</v>
      </c>
      <c r="K133" s="91"/>
      <c r="L133" s="91"/>
      <c r="M133" s="91"/>
      <c r="N133" s="91"/>
      <c r="P133" s="92"/>
      <c r="Q133" s="92"/>
      <c r="R133" s="92"/>
    </row>
    <row r="134" spans="2:18" x14ac:dyDescent="0.3">
      <c r="B134" s="108">
        <v>43070</v>
      </c>
      <c r="C134" s="109">
        <v>44.6</v>
      </c>
      <c r="D134" s="109">
        <v>23.5</v>
      </c>
      <c r="E134" s="109">
        <v>7.9</v>
      </c>
      <c r="K134" s="91"/>
      <c r="L134" s="91"/>
      <c r="M134" s="91"/>
      <c r="N134" s="91"/>
      <c r="P134" s="92"/>
      <c r="Q134" s="92"/>
      <c r="R134" s="92"/>
    </row>
    <row r="135" spans="2:18" x14ac:dyDescent="0.3">
      <c r="B135" s="108">
        <v>43160</v>
      </c>
      <c r="C135" s="109">
        <v>44.8</v>
      </c>
      <c r="D135" s="109">
        <v>23.9</v>
      </c>
      <c r="E135" s="109">
        <v>7.5</v>
      </c>
      <c r="K135" s="91"/>
      <c r="L135" s="91"/>
      <c r="M135" s="91"/>
      <c r="N135" s="91"/>
      <c r="P135" s="92"/>
      <c r="Q135" s="92"/>
      <c r="R135" s="92"/>
    </row>
    <row r="136" spans="2:18" x14ac:dyDescent="0.3">
      <c r="B136" s="108">
        <v>43252</v>
      </c>
      <c r="C136" s="109">
        <v>44.7</v>
      </c>
      <c r="D136" s="109">
        <v>24.1</v>
      </c>
      <c r="E136" s="109">
        <v>7</v>
      </c>
      <c r="K136" s="91"/>
      <c r="L136" s="91"/>
      <c r="M136" s="91"/>
      <c r="N136" s="91"/>
      <c r="P136" s="92"/>
      <c r="Q136" s="92"/>
      <c r="R136" s="92"/>
    </row>
    <row r="137" spans="2:18" x14ac:dyDescent="0.3">
      <c r="B137" s="108">
        <v>43344</v>
      </c>
      <c r="C137" s="109">
        <v>45.4</v>
      </c>
      <c r="D137" s="109">
        <v>24.5</v>
      </c>
      <c r="E137" s="109">
        <v>7</v>
      </c>
      <c r="K137" s="91"/>
      <c r="L137" s="91"/>
      <c r="M137" s="91"/>
      <c r="N137" s="91"/>
      <c r="P137" s="92"/>
      <c r="Q137" s="92"/>
      <c r="R137" s="92"/>
    </row>
    <row r="138" spans="2:18" x14ac:dyDescent="0.3">
      <c r="B138" s="108">
        <v>43435</v>
      </c>
      <c r="C138" s="109">
        <v>44.1</v>
      </c>
      <c r="D138" s="109">
        <v>23.8</v>
      </c>
      <c r="E138" s="109">
        <v>6.8</v>
      </c>
      <c r="K138" s="91"/>
      <c r="L138" s="91"/>
      <c r="M138" s="91"/>
      <c r="N138" s="91"/>
      <c r="P138" s="92"/>
      <c r="Q138" s="92"/>
      <c r="R138" s="92"/>
    </row>
    <row r="139" spans="2:18" x14ac:dyDescent="0.3">
      <c r="B139" s="108">
        <v>43525</v>
      </c>
      <c r="C139" s="109">
        <v>43.8</v>
      </c>
      <c r="D139" s="109">
        <v>23.5</v>
      </c>
      <c r="E139" s="109">
        <v>7.2</v>
      </c>
      <c r="K139" s="91"/>
      <c r="L139" s="91"/>
      <c r="M139" s="91"/>
      <c r="N139" s="91"/>
      <c r="P139" s="92"/>
      <c r="Q139" s="92"/>
      <c r="R139" s="92"/>
    </row>
    <row r="140" spans="2:18" x14ac:dyDescent="0.3">
      <c r="B140" s="108">
        <v>43617</v>
      </c>
      <c r="C140" s="109">
        <v>44.6</v>
      </c>
      <c r="D140" s="109">
        <v>22.7</v>
      </c>
      <c r="E140" s="109">
        <v>7.1</v>
      </c>
      <c r="K140" s="91"/>
      <c r="L140" s="91"/>
      <c r="M140" s="91"/>
      <c r="N140" s="91"/>
      <c r="P140" s="92"/>
      <c r="Q140" s="92"/>
      <c r="R140" s="92"/>
    </row>
    <row r="141" spans="2:18" x14ac:dyDescent="0.3">
      <c r="B141" s="108">
        <v>43709</v>
      </c>
      <c r="C141" s="109">
        <v>45.8</v>
      </c>
      <c r="D141" s="109">
        <v>23.7</v>
      </c>
      <c r="E141" s="109">
        <v>7.5</v>
      </c>
      <c r="K141" s="91"/>
      <c r="L141" s="91"/>
      <c r="M141" s="91"/>
      <c r="N141" s="91"/>
      <c r="P141" s="92"/>
      <c r="Q141" s="92"/>
      <c r="R141" s="92"/>
    </row>
    <row r="142" spans="2:18" x14ac:dyDescent="0.3">
      <c r="B142" s="108">
        <v>43800</v>
      </c>
      <c r="C142" s="109">
        <v>44.6</v>
      </c>
      <c r="D142" s="109">
        <v>25.4</v>
      </c>
      <c r="E142" s="109">
        <v>8.4</v>
      </c>
      <c r="K142" s="91"/>
      <c r="L142" s="91"/>
      <c r="M142" s="91"/>
      <c r="N142" s="91"/>
      <c r="P142" s="92"/>
      <c r="Q142" s="92"/>
      <c r="R142" s="92"/>
    </row>
    <row r="143" spans="2:18" x14ac:dyDescent="0.3">
      <c r="B143" s="108">
        <v>43891</v>
      </c>
      <c r="C143" s="109">
        <v>44.3</v>
      </c>
      <c r="D143" s="109">
        <v>23.8</v>
      </c>
      <c r="E143" s="109">
        <v>8</v>
      </c>
      <c r="K143" s="91"/>
      <c r="L143" s="91"/>
      <c r="M143" s="91"/>
      <c r="N143" s="91"/>
      <c r="P143" s="92"/>
      <c r="Q143" s="92"/>
      <c r="R143" s="92"/>
    </row>
    <row r="144" spans="2:18" x14ac:dyDescent="0.3">
      <c r="B144" s="108">
        <v>43983</v>
      </c>
      <c r="C144" s="109">
        <v>45.8</v>
      </c>
      <c r="D144" s="109">
        <v>24.2</v>
      </c>
      <c r="E144" s="109">
        <v>7.7</v>
      </c>
      <c r="K144" s="91"/>
      <c r="L144" s="91"/>
      <c r="M144" s="91"/>
      <c r="N144" s="91"/>
      <c r="P144" s="92"/>
      <c r="Q144" s="92"/>
      <c r="R144" s="92"/>
    </row>
    <row r="145" spans="2:18" x14ac:dyDescent="0.3">
      <c r="B145" s="108">
        <v>44075</v>
      </c>
      <c r="C145" s="109">
        <v>44.9</v>
      </c>
      <c r="D145" s="109">
        <v>25.5</v>
      </c>
      <c r="E145" s="109">
        <v>8</v>
      </c>
      <c r="K145" s="91"/>
      <c r="L145" s="91"/>
      <c r="M145" s="91"/>
      <c r="N145" s="91"/>
      <c r="P145" s="92"/>
      <c r="Q145" s="92"/>
      <c r="R145" s="92"/>
    </row>
    <row r="146" spans="2:18" x14ac:dyDescent="0.3">
      <c r="B146" s="108">
        <v>44166</v>
      </c>
      <c r="C146" s="109">
        <v>46.7</v>
      </c>
      <c r="D146" s="109">
        <v>25.8</v>
      </c>
      <c r="E146" s="109">
        <v>8</v>
      </c>
      <c r="K146" s="91"/>
      <c r="L146" s="91"/>
      <c r="M146" s="91"/>
      <c r="N146" s="91"/>
      <c r="P146" s="92"/>
      <c r="Q146" s="92"/>
      <c r="R146" s="92"/>
    </row>
    <row r="147" spans="2:18" x14ac:dyDescent="0.3">
      <c r="B147" s="108">
        <v>44256</v>
      </c>
      <c r="C147" s="109">
        <v>45.7</v>
      </c>
      <c r="D147" s="109">
        <v>25.6</v>
      </c>
      <c r="E147" s="109">
        <v>7.3</v>
      </c>
      <c r="K147" s="91"/>
      <c r="L147" s="91"/>
      <c r="M147" s="91"/>
      <c r="N147" s="91"/>
      <c r="P147" s="92"/>
      <c r="Q147" s="92"/>
      <c r="R147" s="92"/>
    </row>
    <row r="148" spans="2:18" x14ac:dyDescent="0.3">
      <c r="B148" s="108">
        <v>44348</v>
      </c>
      <c r="C148" s="109">
        <v>45.3</v>
      </c>
      <c r="D148" s="109">
        <v>24.9</v>
      </c>
      <c r="E148" s="109">
        <v>8.3000000000000007</v>
      </c>
      <c r="K148" s="91"/>
      <c r="L148" s="91"/>
      <c r="M148" s="91"/>
      <c r="N148" s="91"/>
      <c r="P148" s="92"/>
      <c r="Q148" s="92"/>
      <c r="R148" s="92"/>
    </row>
    <row r="149" spans="2:18" x14ac:dyDescent="0.3">
      <c r="B149" s="108">
        <v>44440</v>
      </c>
      <c r="C149" s="109">
        <v>46.5</v>
      </c>
      <c r="D149" s="109">
        <v>26.3</v>
      </c>
      <c r="E149" s="109">
        <v>8.1999999999999993</v>
      </c>
      <c r="K149" s="91"/>
      <c r="L149" s="91"/>
      <c r="M149" s="91"/>
      <c r="N149" s="91"/>
      <c r="P149" s="92"/>
      <c r="Q149" s="92"/>
      <c r="R149" s="92"/>
    </row>
    <row r="150" spans="2:18" x14ac:dyDescent="0.3">
      <c r="B150" s="108">
        <v>44531</v>
      </c>
      <c r="C150" s="109">
        <v>47.5</v>
      </c>
      <c r="D150" s="109">
        <v>25.1</v>
      </c>
      <c r="E150" s="109">
        <v>8.3000000000000007</v>
      </c>
      <c r="K150" s="91"/>
      <c r="L150" s="91"/>
      <c r="M150" s="91"/>
      <c r="N150" s="91"/>
      <c r="P150" s="92"/>
      <c r="Q150" s="92"/>
      <c r="R150" s="92"/>
    </row>
    <row r="151" spans="2:18" x14ac:dyDescent="0.3">
      <c r="B151" s="108">
        <v>44621</v>
      </c>
      <c r="C151" s="109">
        <v>47.3</v>
      </c>
      <c r="D151" s="109">
        <v>24.9</v>
      </c>
      <c r="E151" s="109">
        <v>8.6</v>
      </c>
      <c r="K151" s="91"/>
      <c r="L151" s="91"/>
      <c r="M151" s="91"/>
      <c r="N151" s="91"/>
      <c r="P151" s="92"/>
      <c r="Q151" s="92"/>
      <c r="R151" s="92"/>
    </row>
    <row r="152" spans="2:18" x14ac:dyDescent="0.3">
      <c r="B152" s="108">
        <v>44713</v>
      </c>
      <c r="C152" s="109">
        <v>46.8</v>
      </c>
      <c r="D152" s="109">
        <v>23.2</v>
      </c>
      <c r="E152" s="109">
        <v>7.8</v>
      </c>
      <c r="K152" s="91"/>
      <c r="L152" s="91"/>
      <c r="M152" s="91"/>
      <c r="N152" s="91"/>
      <c r="P152" s="92"/>
      <c r="Q152" s="92"/>
      <c r="R152" s="92"/>
    </row>
    <row r="153" spans="2:18" x14ac:dyDescent="0.3">
      <c r="B153" s="108">
        <v>44805</v>
      </c>
      <c r="C153" s="109">
        <v>48.6</v>
      </c>
      <c r="D153" s="109">
        <v>24.7</v>
      </c>
      <c r="E153" s="109">
        <v>8</v>
      </c>
      <c r="K153" s="91"/>
      <c r="L153" s="91"/>
      <c r="M153" s="91"/>
      <c r="N153" s="91"/>
      <c r="P153" s="92"/>
      <c r="Q153" s="92"/>
      <c r="R153" s="92"/>
    </row>
    <row r="154" spans="2:18" x14ac:dyDescent="0.3">
      <c r="B154" s="108">
        <v>44896</v>
      </c>
      <c r="C154" s="109">
        <v>49.1</v>
      </c>
      <c r="D154" s="109">
        <v>24.7</v>
      </c>
      <c r="E154" s="109">
        <v>8.5</v>
      </c>
      <c r="K154" s="91"/>
      <c r="L154" s="91"/>
      <c r="M154" s="91"/>
      <c r="N154" s="91"/>
      <c r="P154" s="92"/>
      <c r="Q154" s="92"/>
      <c r="R154" s="92"/>
    </row>
    <row r="155" spans="2:18" x14ac:dyDescent="0.3">
      <c r="B155" s="108">
        <v>44986</v>
      </c>
      <c r="C155" s="109">
        <v>49</v>
      </c>
      <c r="D155" s="109">
        <v>24.9</v>
      </c>
      <c r="E155" s="109">
        <v>9</v>
      </c>
      <c r="K155" s="91"/>
      <c r="L155" s="91"/>
      <c r="M155" s="91"/>
      <c r="N155" s="91"/>
      <c r="P155" s="92"/>
      <c r="Q155" s="92"/>
      <c r="R155" s="92"/>
    </row>
    <row r="156" spans="2:18" x14ac:dyDescent="0.3">
      <c r="B156" s="108">
        <v>45078</v>
      </c>
      <c r="C156" s="109">
        <v>48.8</v>
      </c>
      <c r="D156" s="109">
        <v>26.9</v>
      </c>
      <c r="E156" s="109">
        <v>9.1</v>
      </c>
      <c r="K156" s="91"/>
      <c r="L156" s="91"/>
      <c r="M156" s="91"/>
      <c r="N156" s="91"/>
      <c r="P156" s="92"/>
      <c r="Q156" s="92"/>
      <c r="R156" s="92"/>
    </row>
    <row r="157" spans="2:18" x14ac:dyDescent="0.3">
      <c r="B157" s="108">
        <v>45170</v>
      </c>
      <c r="C157" s="109">
        <v>48.6</v>
      </c>
      <c r="D157" s="109">
        <v>27.4</v>
      </c>
      <c r="E157" s="109">
        <v>8.9</v>
      </c>
      <c r="K157" s="91"/>
      <c r="L157" s="91"/>
      <c r="M157" s="91"/>
      <c r="N157" s="91"/>
      <c r="P157" s="92"/>
      <c r="Q157" s="92"/>
      <c r="R157" s="92"/>
    </row>
    <row r="158" spans="2:18" x14ac:dyDescent="0.3">
      <c r="B158" s="108">
        <v>45261</v>
      </c>
      <c r="C158" s="109">
        <v>47.8</v>
      </c>
      <c r="D158" s="109">
        <v>26.1</v>
      </c>
      <c r="E158" s="109">
        <v>9.5</v>
      </c>
      <c r="K158" s="91"/>
      <c r="L158" s="91"/>
      <c r="M158" s="91"/>
      <c r="N158" s="91"/>
      <c r="P158" s="92"/>
      <c r="Q158" s="92"/>
      <c r="R158" s="92"/>
    </row>
    <row r="159" spans="2:18" x14ac:dyDescent="0.3">
      <c r="B159" s="108">
        <v>45352</v>
      </c>
      <c r="C159" s="109">
        <v>48</v>
      </c>
      <c r="D159" s="109">
        <v>24.1</v>
      </c>
      <c r="E159" s="109">
        <v>8.8000000000000007</v>
      </c>
      <c r="K159" s="91"/>
      <c r="L159" s="91"/>
      <c r="M159" s="91"/>
      <c r="N159" s="91"/>
      <c r="P159" s="92"/>
      <c r="Q159" s="92"/>
      <c r="R159" s="92"/>
    </row>
    <row r="160" spans="2:18" x14ac:dyDescent="0.3">
      <c r="B160" s="108">
        <v>45444</v>
      </c>
      <c r="C160" s="109">
        <v>48.6</v>
      </c>
      <c r="D160" s="109">
        <v>24.9</v>
      </c>
      <c r="E160" s="109">
        <v>9</v>
      </c>
      <c r="K160" s="91"/>
      <c r="L160" s="91"/>
      <c r="M160" s="91"/>
      <c r="N160" s="91"/>
      <c r="P160" s="92"/>
      <c r="Q160" s="92"/>
      <c r="R160" s="92"/>
    </row>
    <row r="161" spans="2:18" x14ac:dyDescent="0.3">
      <c r="B161" s="108">
        <v>45536</v>
      </c>
      <c r="C161" s="109">
        <v>48.4</v>
      </c>
      <c r="D161" s="109">
        <v>25</v>
      </c>
      <c r="E161" s="109">
        <v>8.6</v>
      </c>
      <c r="K161" s="91"/>
      <c r="L161" s="91"/>
      <c r="M161" s="91"/>
      <c r="N161" s="91"/>
      <c r="P161" s="92"/>
      <c r="Q161" s="92"/>
      <c r="R161" s="92"/>
    </row>
    <row r="162" spans="2:18" x14ac:dyDescent="0.3">
      <c r="B162" s="108">
        <v>45627</v>
      </c>
      <c r="C162" s="109">
        <v>47.6</v>
      </c>
      <c r="D162" s="109">
        <v>26.2</v>
      </c>
      <c r="E162" s="109">
        <v>8.6999999999999993</v>
      </c>
      <c r="K162" s="91"/>
      <c r="L162" s="91"/>
      <c r="M162" s="91"/>
      <c r="N162" s="91"/>
      <c r="P162" s="92"/>
      <c r="Q162" s="92"/>
      <c r="R162" s="92"/>
    </row>
    <row r="163" spans="2:18" x14ac:dyDescent="0.3">
      <c r="B163" s="108">
        <v>45717</v>
      </c>
      <c r="C163" s="109">
        <v>47.4</v>
      </c>
      <c r="D163" s="109">
        <v>26.1</v>
      </c>
      <c r="E163" s="109">
        <v>9.1999999999999993</v>
      </c>
      <c r="K163" s="91"/>
      <c r="L163" s="91"/>
      <c r="M163" s="91"/>
      <c r="N163" s="91"/>
      <c r="P163" s="92"/>
      <c r="Q163" s="92"/>
      <c r="R163" s="92"/>
    </row>
    <row r="164" spans="2:18" x14ac:dyDescent="0.3">
      <c r="B164" s="108">
        <v>45809</v>
      </c>
      <c r="C164" s="109">
        <v>47</v>
      </c>
      <c r="D164" s="109">
        <v>26.6</v>
      </c>
      <c r="E164" s="109">
        <v>9.3000000000000007</v>
      </c>
      <c r="K164" s="91"/>
      <c r="L164" s="91"/>
      <c r="M164" s="91"/>
      <c r="N164" s="91"/>
      <c r="P164" s="92"/>
      <c r="Q164" s="92"/>
      <c r="R164" s="9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D335-7945-45E4-8436-21BCE730BA75}">
  <sheetPr codeName="Sheet21"/>
  <dimension ref="B2:BE71"/>
  <sheetViews>
    <sheetView zoomScaleNormal="100" workbookViewId="0">
      <selection activeCell="B7" sqref="B7"/>
    </sheetView>
  </sheetViews>
  <sheetFormatPr defaultColWidth="8.7109375" defaultRowHeight="16.5" x14ac:dyDescent="0.3"/>
  <cols>
    <col min="1" max="2" width="8.7109375" style="1"/>
    <col min="3" max="3" width="13" style="1" customWidth="1"/>
    <col min="4" max="4" width="13.85546875" style="1" customWidth="1"/>
    <col min="5" max="5" width="16.28515625" style="1" customWidth="1"/>
    <col min="6" max="6" width="15.28515625" style="1" customWidth="1"/>
    <col min="7" max="7" width="14.85546875" style="1" customWidth="1"/>
    <col min="8" max="8" width="8.7109375" style="1"/>
    <col min="9" max="10" width="8.7109375" style="29"/>
    <col min="11" max="16" width="8.7109375" style="1"/>
    <col min="17" max="17" width="9.140625" style="1" bestFit="1" customWidth="1"/>
    <col min="18" max="16384" width="8.7109375" style="1"/>
  </cols>
  <sheetData>
    <row r="2" spans="2:57" x14ac:dyDescent="0.3">
      <c r="B2" s="18" t="s">
        <v>319</v>
      </c>
      <c r="C2" s="32"/>
      <c r="D2" s="32"/>
      <c r="E2" s="32"/>
      <c r="F2" s="32"/>
      <c r="X2" s="1">
        <v>4.2999999999999997E-2</v>
      </c>
      <c r="Y2" s="1">
        <v>4.2999999999999997E-2</v>
      </c>
      <c r="Z2" s="1">
        <v>4.2999999999999997E-2</v>
      </c>
      <c r="AA2" s="1">
        <v>4.2999999999999997E-2</v>
      </c>
      <c r="AB2" s="1">
        <v>4.2999999999999997E-2</v>
      </c>
      <c r="AC2" s="1">
        <v>4.2999999999999997E-2</v>
      </c>
      <c r="AD2" s="1">
        <v>4.2999999999999997E-2</v>
      </c>
      <c r="AE2" s="1">
        <v>4.2999999999999997E-2</v>
      </c>
      <c r="AF2" s="1">
        <v>4.2999999999999997E-2</v>
      </c>
      <c r="AG2" s="1">
        <v>4.2999999999999997E-2</v>
      </c>
      <c r="AH2" s="1">
        <v>4.2999999999999997E-2</v>
      </c>
      <c r="AI2" s="1">
        <v>4.2999999999999997E-2</v>
      </c>
      <c r="AJ2" s="1">
        <v>4.2999999999999997E-2</v>
      </c>
      <c r="AK2" s="1">
        <v>4.2999999999999997E-2</v>
      </c>
      <c r="AL2" s="1">
        <v>4.2999999999999997E-2</v>
      </c>
      <c r="AM2" s="1">
        <v>4.2999999999999997E-2</v>
      </c>
      <c r="AN2" s="1">
        <v>4.2999999999999997E-2</v>
      </c>
      <c r="AO2" s="1">
        <v>4.2999999999999997E-2</v>
      </c>
      <c r="AP2" s="1">
        <v>4.2999999999999997E-2</v>
      </c>
      <c r="AQ2" s="1">
        <v>4.2999999999999997E-2</v>
      </c>
      <c r="AR2" s="1">
        <v>4.2999999999999997E-2</v>
      </c>
      <c r="AS2" s="1">
        <v>4.2999999999999997E-2</v>
      </c>
      <c r="AT2" s="1">
        <v>4.2999999999999997E-2</v>
      </c>
      <c r="AU2" s="1">
        <v>4.2999999999999997E-2</v>
      </c>
      <c r="AV2" s="1">
        <v>4.2999999999999997E-2</v>
      </c>
      <c r="AW2" s="1">
        <v>4.2999999999999997E-2</v>
      </c>
      <c r="AX2" s="1">
        <v>4.2999999999999997E-2</v>
      </c>
      <c r="AY2" s="1">
        <v>4.2999999999999997E-2</v>
      </c>
      <c r="AZ2" s="1">
        <v>4.2999999999999997E-2</v>
      </c>
      <c r="BA2" s="1">
        <v>4.2999999999999997E-2</v>
      </c>
      <c r="BB2" s="1">
        <v>4.2999999999999997E-2</v>
      </c>
      <c r="BC2" s="1">
        <v>4.2999999999999997E-2</v>
      </c>
      <c r="BD2" s="1">
        <v>4.2999999999999997E-2</v>
      </c>
      <c r="BE2" s="1">
        <v>4.2999999999999997E-2</v>
      </c>
    </row>
    <row r="3" spans="2:57" ht="23.25" x14ac:dyDescent="0.35">
      <c r="B3" s="32" t="s">
        <v>277</v>
      </c>
      <c r="C3" s="32"/>
      <c r="D3" s="32"/>
      <c r="E3" s="32"/>
      <c r="F3" s="32"/>
      <c r="J3" s="115"/>
      <c r="K3" s="115"/>
      <c r="L3" s="115"/>
      <c r="M3" s="115"/>
      <c r="N3" s="115"/>
      <c r="O3" s="115"/>
      <c r="P3" s="115"/>
      <c r="Q3" s="115"/>
      <c r="R3" s="115"/>
      <c r="S3" s="115"/>
      <c r="T3" s="115"/>
      <c r="U3" s="115"/>
      <c r="V3" s="115"/>
    </row>
    <row r="5" spans="2:57" x14ac:dyDescent="0.3">
      <c r="B5" s="38"/>
      <c r="C5" s="38" t="s">
        <v>174</v>
      </c>
      <c r="D5" s="38" t="s">
        <v>180</v>
      </c>
      <c r="E5" s="38" t="s">
        <v>178</v>
      </c>
      <c r="F5" s="38" t="s">
        <v>179</v>
      </c>
      <c r="G5" s="38" t="s">
        <v>16</v>
      </c>
      <c r="J5" s="28"/>
      <c r="K5" s="38"/>
      <c r="L5" s="38"/>
      <c r="M5" s="38"/>
      <c r="N5" s="38"/>
      <c r="O5" s="38"/>
    </row>
    <row r="6" spans="2:57" x14ac:dyDescent="0.3">
      <c r="B6" s="38"/>
      <c r="C6" s="38" t="s">
        <v>161</v>
      </c>
      <c r="D6" s="38" t="s">
        <v>161</v>
      </c>
      <c r="E6" s="38" t="s">
        <v>161</v>
      </c>
      <c r="F6" s="38" t="s">
        <v>161</v>
      </c>
      <c r="G6" s="38" t="s">
        <v>161</v>
      </c>
    </row>
    <row r="7" spans="2:57" ht="13.5" customHeight="1" x14ac:dyDescent="0.3">
      <c r="B7" s="38">
        <v>2001</v>
      </c>
      <c r="C7" s="57"/>
      <c r="D7" s="57"/>
      <c r="E7" s="57"/>
      <c r="F7" s="57"/>
      <c r="G7" s="57">
        <v>6.5</v>
      </c>
      <c r="H7" s="33"/>
      <c r="I7" s="85"/>
      <c r="J7" s="86"/>
    </row>
    <row r="8" spans="2:57" x14ac:dyDescent="0.3">
      <c r="B8" s="38">
        <v>2002</v>
      </c>
      <c r="C8" s="57"/>
      <c r="D8" s="57"/>
      <c r="E8" s="57"/>
      <c r="F8" s="57"/>
      <c r="G8" s="57">
        <v>6.8000000000000007</v>
      </c>
      <c r="H8" s="33"/>
      <c r="I8" s="85"/>
      <c r="J8" s="86"/>
    </row>
    <row r="9" spans="2:57" x14ac:dyDescent="0.3">
      <c r="B9" s="38">
        <v>2003</v>
      </c>
      <c r="C9" s="57"/>
      <c r="D9" s="57"/>
      <c r="E9" s="57"/>
      <c r="F9" s="57"/>
      <c r="G9" s="57">
        <v>5.6000000000000005</v>
      </c>
      <c r="H9" s="33"/>
      <c r="I9" s="85"/>
      <c r="J9" s="86"/>
    </row>
    <row r="10" spans="2:57" ht="14.45" customHeight="1" x14ac:dyDescent="0.3">
      <c r="B10" s="38">
        <v>2004</v>
      </c>
      <c r="C10" s="57">
        <v>6.2</v>
      </c>
      <c r="D10" s="57"/>
      <c r="E10" s="57"/>
      <c r="F10" s="57"/>
      <c r="G10" s="57">
        <v>6.2</v>
      </c>
      <c r="H10" s="33"/>
      <c r="I10" s="85"/>
      <c r="J10" s="86"/>
      <c r="P10" s="76"/>
      <c r="Q10" s="76"/>
      <c r="R10" s="76"/>
      <c r="S10" s="76"/>
    </row>
    <row r="11" spans="2:57" x14ac:dyDescent="0.3">
      <c r="B11" s="38">
        <v>2005</v>
      </c>
      <c r="C11" s="58">
        <v>5.8000000000000007</v>
      </c>
      <c r="D11" s="57"/>
      <c r="E11" s="57"/>
      <c r="F11" s="57"/>
      <c r="G11" s="57">
        <v>6.02</v>
      </c>
      <c r="H11" s="33"/>
      <c r="I11" s="85"/>
      <c r="J11" s="86"/>
      <c r="N11" s="82"/>
      <c r="P11" s="76"/>
      <c r="Q11" s="76"/>
      <c r="R11" s="76"/>
      <c r="S11" s="76"/>
      <c r="T11" s="76"/>
    </row>
    <row r="12" spans="2:57" x14ac:dyDescent="0.3">
      <c r="B12" s="38">
        <v>2006</v>
      </c>
      <c r="C12" s="57">
        <v>5.8000000000000007</v>
      </c>
      <c r="D12" s="57"/>
      <c r="E12" s="57"/>
      <c r="F12" s="57"/>
      <c r="G12" s="57">
        <v>5.79</v>
      </c>
      <c r="H12" s="33"/>
      <c r="I12" s="85"/>
      <c r="J12" s="86"/>
      <c r="N12" s="82"/>
      <c r="P12" s="76"/>
      <c r="Q12" s="76"/>
      <c r="R12" s="76"/>
      <c r="S12" s="76"/>
      <c r="T12" s="76"/>
    </row>
    <row r="13" spans="2:57" x14ac:dyDescent="0.3">
      <c r="B13" s="38">
        <v>2007</v>
      </c>
      <c r="C13" s="57">
        <v>5.8999999999999995</v>
      </c>
      <c r="D13" s="57"/>
      <c r="E13" s="57"/>
      <c r="F13" s="57"/>
      <c r="G13" s="57">
        <v>5.96</v>
      </c>
      <c r="H13" s="33"/>
      <c r="I13" s="85"/>
      <c r="J13" s="86"/>
      <c r="N13" s="82"/>
      <c r="P13" s="76"/>
      <c r="Q13" s="76"/>
      <c r="R13" s="76"/>
      <c r="S13" s="76"/>
      <c r="T13" s="76"/>
    </row>
    <row r="14" spans="2:57" x14ac:dyDescent="0.3">
      <c r="B14" s="38">
        <v>2008</v>
      </c>
      <c r="C14" s="57">
        <v>6</v>
      </c>
      <c r="D14" s="57"/>
      <c r="E14" s="57"/>
      <c r="F14" s="57"/>
      <c r="G14" s="57">
        <v>6.41</v>
      </c>
      <c r="H14" s="33"/>
      <c r="I14" s="85"/>
      <c r="N14" s="82"/>
      <c r="P14" s="76"/>
      <c r="Q14" s="76"/>
      <c r="R14" s="76"/>
      <c r="S14" s="76"/>
      <c r="T14" s="76"/>
    </row>
    <row r="15" spans="2:57" x14ac:dyDescent="0.3">
      <c r="B15" s="38">
        <v>2009</v>
      </c>
      <c r="C15" s="57">
        <v>6</v>
      </c>
      <c r="D15" s="57"/>
      <c r="E15" s="57"/>
      <c r="F15" s="57"/>
      <c r="G15" s="57">
        <v>5.43</v>
      </c>
      <c r="H15" s="33"/>
      <c r="I15" s="85"/>
      <c r="N15" s="82"/>
      <c r="P15" s="76"/>
      <c r="Q15" s="76"/>
      <c r="R15" s="76"/>
      <c r="S15" s="76"/>
      <c r="T15" s="76"/>
    </row>
    <row r="16" spans="2:57" x14ac:dyDescent="0.3">
      <c r="B16" s="38">
        <v>2010</v>
      </c>
      <c r="C16" s="57">
        <v>6</v>
      </c>
      <c r="D16" s="57"/>
      <c r="E16" s="57"/>
      <c r="F16" s="57"/>
      <c r="G16" s="57">
        <v>5.82</v>
      </c>
      <c r="H16" s="33"/>
      <c r="I16" s="85"/>
      <c r="N16" s="82"/>
      <c r="P16" s="76"/>
      <c r="Q16" s="76"/>
      <c r="R16" s="76"/>
      <c r="S16" s="76"/>
      <c r="T16" s="76"/>
    </row>
    <row r="17" spans="2:20" x14ac:dyDescent="0.3">
      <c r="B17" s="38">
        <v>2011</v>
      </c>
      <c r="C17" s="57">
        <v>6</v>
      </c>
      <c r="D17" s="57"/>
      <c r="E17" s="57"/>
      <c r="F17" s="57"/>
      <c r="G17" s="57">
        <v>5.42</v>
      </c>
      <c r="H17" s="33"/>
      <c r="I17" s="85"/>
      <c r="N17" s="82"/>
      <c r="P17" s="76"/>
      <c r="Q17" s="76"/>
      <c r="R17" s="76"/>
      <c r="S17" s="76"/>
      <c r="T17" s="76"/>
    </row>
    <row r="18" spans="2:20" x14ac:dyDescent="0.3">
      <c r="B18" s="38">
        <v>2012</v>
      </c>
      <c r="C18" s="57">
        <v>6</v>
      </c>
      <c r="D18" s="57"/>
      <c r="E18" s="57"/>
      <c r="F18" s="57"/>
      <c r="G18" s="57">
        <v>4.1399999999999997</v>
      </c>
      <c r="H18" s="33"/>
      <c r="I18" s="85"/>
      <c r="N18" s="82"/>
      <c r="P18" s="76"/>
      <c r="Q18" s="76"/>
      <c r="R18" s="76"/>
      <c r="S18" s="76"/>
      <c r="T18" s="76"/>
    </row>
    <row r="19" spans="2:20" x14ac:dyDescent="0.3">
      <c r="B19" s="38">
        <v>2013</v>
      </c>
      <c r="C19" s="57">
        <v>6</v>
      </c>
      <c r="D19" s="57"/>
      <c r="E19" s="57"/>
      <c r="F19" s="57"/>
      <c r="G19" s="57">
        <v>3.5700000000000003</v>
      </c>
      <c r="H19" s="33"/>
      <c r="I19" s="85"/>
      <c r="N19" s="82"/>
      <c r="P19" s="76"/>
      <c r="Q19" s="76"/>
      <c r="R19" s="76"/>
      <c r="S19" s="76"/>
      <c r="T19" s="76"/>
    </row>
    <row r="20" spans="2:20" x14ac:dyDescent="0.3">
      <c r="B20" s="38">
        <v>2014</v>
      </c>
      <c r="C20" s="57">
        <v>6</v>
      </c>
      <c r="D20" s="57"/>
      <c r="E20" s="57"/>
      <c r="F20" s="57"/>
      <c r="G20" s="57">
        <v>4.55</v>
      </c>
      <c r="H20" s="33"/>
      <c r="I20" s="85"/>
      <c r="N20" s="82"/>
      <c r="P20" s="76"/>
      <c r="Q20" s="76"/>
      <c r="R20" s="76"/>
      <c r="S20" s="76"/>
      <c r="T20" s="76"/>
    </row>
    <row r="21" spans="2:20" x14ac:dyDescent="0.3">
      <c r="B21" s="38">
        <v>2015</v>
      </c>
      <c r="C21" s="57">
        <v>6</v>
      </c>
      <c r="D21" s="57"/>
      <c r="E21" s="57"/>
      <c r="F21" s="57"/>
      <c r="G21" s="57">
        <v>3.7699999999999996</v>
      </c>
      <c r="H21" s="33"/>
      <c r="I21" s="85"/>
      <c r="N21" s="82"/>
      <c r="P21" s="76"/>
      <c r="Q21" s="76"/>
      <c r="R21" s="76"/>
      <c r="S21" s="76"/>
      <c r="T21" s="76"/>
    </row>
    <row r="22" spans="2:20" x14ac:dyDescent="0.3">
      <c r="B22" s="38">
        <v>2016</v>
      </c>
      <c r="C22" s="57">
        <v>6</v>
      </c>
      <c r="D22" s="57">
        <v>3.25</v>
      </c>
      <c r="E22" s="57"/>
      <c r="F22" s="57"/>
      <c r="G22" s="57">
        <v>3.16</v>
      </c>
      <c r="H22" s="33"/>
      <c r="I22" s="85"/>
      <c r="N22" s="82"/>
      <c r="P22" s="76"/>
      <c r="Q22" s="76"/>
      <c r="R22" s="76"/>
      <c r="S22" s="76"/>
      <c r="T22" s="76"/>
    </row>
    <row r="23" spans="2:20" x14ac:dyDescent="0.3">
      <c r="B23" s="38">
        <v>2017</v>
      </c>
      <c r="C23" s="57">
        <v>6</v>
      </c>
      <c r="D23" s="57">
        <v>3.11</v>
      </c>
      <c r="E23" s="57"/>
      <c r="F23" s="57"/>
      <c r="G23" s="57">
        <v>2.86</v>
      </c>
      <c r="H23" s="33"/>
      <c r="I23" s="85"/>
      <c r="N23" s="82"/>
      <c r="P23" s="76"/>
      <c r="Q23" s="76"/>
      <c r="R23" s="76"/>
      <c r="S23" s="76"/>
      <c r="T23" s="76"/>
    </row>
    <row r="24" spans="2:20" ht="13.5" customHeight="1" x14ac:dyDescent="0.3">
      <c r="B24" s="38">
        <v>2018</v>
      </c>
      <c r="C24" s="57">
        <v>6</v>
      </c>
      <c r="D24" s="57">
        <v>3.5900000000000003</v>
      </c>
      <c r="E24" s="57"/>
      <c r="F24" s="57"/>
      <c r="G24" s="57">
        <v>2.88</v>
      </c>
      <c r="H24" s="33"/>
      <c r="I24" s="85"/>
      <c r="L24" s="77"/>
      <c r="M24" s="31"/>
      <c r="N24" s="82"/>
      <c r="P24" s="76"/>
      <c r="Q24" s="76"/>
      <c r="R24" s="76"/>
      <c r="S24" s="76"/>
      <c r="T24" s="76"/>
    </row>
    <row r="25" spans="2:20" x14ac:dyDescent="0.3">
      <c r="B25" s="38">
        <v>2019</v>
      </c>
      <c r="C25" s="57">
        <v>6</v>
      </c>
      <c r="D25" s="57">
        <v>4.1300000000000008</v>
      </c>
      <c r="E25" s="57"/>
      <c r="F25" s="57"/>
      <c r="G25" s="57">
        <v>2.31</v>
      </c>
      <c r="H25" s="33"/>
      <c r="I25" s="85"/>
      <c r="L25" s="49"/>
      <c r="N25" s="82"/>
      <c r="P25" s="76"/>
      <c r="Q25" s="76"/>
      <c r="R25" s="76"/>
      <c r="S25" s="76"/>
      <c r="T25" s="76"/>
    </row>
    <row r="26" spans="2:20" ht="13.5" customHeight="1" x14ac:dyDescent="0.3">
      <c r="B26" s="38">
        <v>2020</v>
      </c>
      <c r="C26" s="57">
        <v>6</v>
      </c>
      <c r="D26" s="57">
        <v>4.3499999999999996</v>
      </c>
      <c r="E26" s="57"/>
      <c r="F26" s="57"/>
      <c r="G26" s="57">
        <v>1.18</v>
      </c>
      <c r="H26" s="33"/>
      <c r="I26" s="85"/>
      <c r="L26" s="49"/>
      <c r="N26" s="82"/>
      <c r="P26" s="76"/>
      <c r="Q26" s="76"/>
      <c r="R26" s="76"/>
      <c r="S26" s="76"/>
      <c r="T26" s="76"/>
    </row>
    <row r="27" spans="2:20" x14ac:dyDescent="0.3">
      <c r="B27" s="38">
        <v>2021</v>
      </c>
      <c r="C27" s="57">
        <v>6</v>
      </c>
      <c r="D27" s="57">
        <v>4.55</v>
      </c>
      <c r="E27" s="57">
        <v>1.1599999999999999</v>
      </c>
      <c r="F27" s="57"/>
      <c r="G27" s="57">
        <v>1.1599999999999999</v>
      </c>
      <c r="H27" s="33"/>
      <c r="I27" s="85"/>
      <c r="L27" s="49"/>
      <c r="N27" s="82"/>
      <c r="P27" s="76"/>
      <c r="Q27" s="76"/>
      <c r="R27" s="76"/>
      <c r="S27" s="76"/>
      <c r="T27" s="76"/>
    </row>
    <row r="28" spans="2:20" x14ac:dyDescent="0.3">
      <c r="B28" s="38">
        <v>2022</v>
      </c>
      <c r="C28" s="57">
        <v>6</v>
      </c>
      <c r="D28" s="57">
        <v>4.75</v>
      </c>
      <c r="E28" s="57">
        <v>2.06</v>
      </c>
      <c r="F28" s="57"/>
      <c r="G28" s="57">
        <v>2.65</v>
      </c>
      <c r="H28" s="33"/>
      <c r="I28" s="85"/>
      <c r="L28" s="49"/>
      <c r="N28" s="82"/>
      <c r="P28" s="76"/>
      <c r="Q28" s="76"/>
      <c r="R28" s="76"/>
      <c r="S28" s="76"/>
      <c r="T28" s="76"/>
    </row>
    <row r="29" spans="2:20" x14ac:dyDescent="0.3">
      <c r="B29" s="38">
        <v>2023</v>
      </c>
      <c r="C29" s="57">
        <v>6</v>
      </c>
      <c r="D29" s="57">
        <v>4.95</v>
      </c>
      <c r="E29" s="57">
        <v>2.35</v>
      </c>
      <c r="F29" s="57"/>
      <c r="G29" s="57">
        <v>4.1500000000000004</v>
      </c>
      <c r="H29" s="33"/>
      <c r="I29" s="85"/>
      <c r="L29" s="49"/>
      <c r="N29" s="82"/>
      <c r="P29" s="76"/>
      <c r="Q29" s="76"/>
      <c r="R29" s="76"/>
      <c r="S29" s="76"/>
      <c r="T29" s="76"/>
    </row>
    <row r="30" spans="2:20" x14ac:dyDescent="0.3">
      <c r="B30" s="38">
        <v>2024</v>
      </c>
      <c r="C30" s="57">
        <v>6</v>
      </c>
      <c r="D30" s="57">
        <v>5.1499999999999995</v>
      </c>
      <c r="E30" s="57">
        <v>2.58</v>
      </c>
      <c r="F30" s="57">
        <v>4.8500000000000005</v>
      </c>
      <c r="G30" s="57">
        <v>4.8500000000000005</v>
      </c>
      <c r="H30" s="33"/>
      <c r="I30" s="85"/>
      <c r="L30" s="49"/>
      <c r="N30" s="82"/>
      <c r="P30" s="76"/>
      <c r="Q30" s="76"/>
      <c r="R30" s="76"/>
      <c r="S30" s="76"/>
      <c r="T30" s="76"/>
    </row>
    <row r="31" spans="2:20" x14ac:dyDescent="0.3">
      <c r="B31" s="38">
        <v>2025</v>
      </c>
      <c r="C31" s="57">
        <v>6</v>
      </c>
      <c r="D31" s="57">
        <v>5.3</v>
      </c>
      <c r="E31" s="57">
        <v>2.8</v>
      </c>
      <c r="F31" s="57">
        <v>4.4400000000000004</v>
      </c>
      <c r="G31" s="59"/>
      <c r="H31" s="33"/>
      <c r="I31" s="85"/>
      <c r="L31" s="49"/>
      <c r="P31" s="76"/>
      <c r="Q31" s="76"/>
      <c r="R31" s="76"/>
      <c r="S31" s="76"/>
    </row>
    <row r="32" spans="2:20" x14ac:dyDescent="0.3">
      <c r="B32" s="38">
        <v>2026</v>
      </c>
      <c r="C32" s="57">
        <v>6</v>
      </c>
      <c r="D32" s="57">
        <v>5.3</v>
      </c>
      <c r="E32" s="57">
        <v>2.9465116279069767</v>
      </c>
      <c r="F32" s="57">
        <v>4.3</v>
      </c>
      <c r="G32" s="59"/>
      <c r="H32" s="33"/>
      <c r="I32" s="85"/>
      <c r="L32" s="49"/>
      <c r="P32" s="76"/>
      <c r="Q32" s="76"/>
      <c r="R32" s="76"/>
      <c r="S32" s="76"/>
    </row>
    <row r="33" spans="2:19" x14ac:dyDescent="0.3">
      <c r="B33" s="38">
        <v>2027</v>
      </c>
      <c r="C33" s="57">
        <v>6</v>
      </c>
      <c r="D33" s="57">
        <v>5.3</v>
      </c>
      <c r="E33" s="57">
        <v>3.0856303218584529</v>
      </c>
      <c r="F33" s="57">
        <v>4.29</v>
      </c>
      <c r="G33" s="59"/>
      <c r="H33" s="33"/>
      <c r="I33" s="85"/>
      <c r="L33" s="49"/>
      <c r="P33" s="76"/>
      <c r="Q33" s="76"/>
      <c r="R33" s="76"/>
      <c r="S33" s="76"/>
    </row>
    <row r="34" spans="2:19" x14ac:dyDescent="0.3">
      <c r="B34" s="38">
        <v>2028</v>
      </c>
      <c r="C34" s="57">
        <v>6</v>
      </c>
      <c r="D34" s="57">
        <v>5.3</v>
      </c>
      <c r="E34" s="57">
        <v>3.2163429695614427</v>
      </c>
      <c r="F34" s="57">
        <v>4.24</v>
      </c>
      <c r="G34" s="59"/>
      <c r="H34" s="33"/>
      <c r="I34" s="85"/>
      <c r="L34" s="49"/>
      <c r="P34" s="76"/>
      <c r="Q34" s="76"/>
      <c r="R34" s="76"/>
      <c r="S34" s="76"/>
    </row>
    <row r="35" spans="2:19" x14ac:dyDescent="0.3">
      <c r="B35" s="38">
        <v>2029</v>
      </c>
      <c r="C35" s="57">
        <v>6</v>
      </c>
      <c r="D35" s="57">
        <v>5.3</v>
      </c>
      <c r="E35" s="57">
        <v>3.3379271325126139</v>
      </c>
      <c r="F35" s="57">
        <v>4.26</v>
      </c>
      <c r="G35" s="59"/>
      <c r="H35" s="33"/>
      <c r="I35" s="85"/>
      <c r="L35" s="49"/>
      <c r="P35" s="76"/>
      <c r="Q35" s="76"/>
      <c r="R35" s="76"/>
      <c r="S35" s="76"/>
    </row>
    <row r="36" spans="2:19" x14ac:dyDescent="0.3">
      <c r="B36" s="38">
        <v>2030</v>
      </c>
      <c r="C36" s="57">
        <v>6</v>
      </c>
      <c r="D36" s="57">
        <v>5.3</v>
      </c>
      <c r="E36" s="57">
        <v>3.4499502416233239</v>
      </c>
      <c r="F36" s="57">
        <v>4.3</v>
      </c>
      <c r="G36" s="59"/>
      <c r="H36" s="33"/>
      <c r="I36" s="85"/>
      <c r="L36" s="49"/>
      <c r="P36" s="76"/>
      <c r="Q36" s="76"/>
      <c r="R36" s="76"/>
      <c r="S36" s="76"/>
    </row>
    <row r="37" spans="2:19" x14ac:dyDescent="0.3">
      <c r="B37" s="38">
        <v>2031</v>
      </c>
      <c r="C37" s="57">
        <v>6</v>
      </c>
      <c r="D37" s="57">
        <v>5.3</v>
      </c>
      <c r="E37" s="57">
        <v>3.5522512661339092</v>
      </c>
      <c r="F37" s="57">
        <v>4.3</v>
      </c>
      <c r="G37" s="59"/>
      <c r="I37" s="85"/>
      <c r="L37" s="49"/>
      <c r="P37" s="76"/>
      <c r="Q37" s="76"/>
      <c r="R37" s="76"/>
      <c r="S37" s="76"/>
    </row>
    <row r="38" spans="2:19" x14ac:dyDescent="0.3">
      <c r="B38" s="38">
        <v>2032</v>
      </c>
      <c r="C38" s="57">
        <v>6</v>
      </c>
      <c r="D38" s="57">
        <v>5.3</v>
      </c>
      <c r="E38" s="57">
        <v>3.6449091052022529</v>
      </c>
      <c r="F38" s="57">
        <v>4.3</v>
      </c>
      <c r="G38" s="59"/>
      <c r="I38" s="85"/>
      <c r="L38" s="49"/>
      <c r="P38" s="76"/>
      <c r="Q38" s="76"/>
      <c r="R38" s="76"/>
      <c r="S38" s="76"/>
    </row>
    <row r="39" spans="2:19" x14ac:dyDescent="0.3">
      <c r="B39" s="38">
        <v>2033</v>
      </c>
      <c r="C39" s="57">
        <v>6</v>
      </c>
      <c r="D39" s="57">
        <v>5.3</v>
      </c>
      <c r="E39" s="57">
        <v>3.728202597080744</v>
      </c>
      <c r="F39" s="57">
        <v>4.3</v>
      </c>
      <c r="G39" s="59"/>
      <c r="I39" s="85"/>
      <c r="L39" s="49"/>
      <c r="P39" s="76"/>
      <c r="Q39" s="76"/>
      <c r="R39" s="76"/>
      <c r="S39" s="76"/>
    </row>
    <row r="40" spans="2:19" x14ac:dyDescent="0.3">
      <c r="B40" s="38">
        <v>2034</v>
      </c>
      <c r="C40" s="57">
        <v>6</v>
      </c>
      <c r="D40" s="57">
        <v>5.3</v>
      </c>
      <c r="E40" s="57">
        <v>3.8025668957749623</v>
      </c>
      <c r="F40" s="57">
        <v>4.3</v>
      </c>
      <c r="G40" s="59"/>
      <c r="I40" s="85"/>
      <c r="L40" s="49"/>
      <c r="P40" s="76"/>
      <c r="Q40" s="76"/>
      <c r="R40" s="76"/>
      <c r="S40" s="76"/>
    </row>
    <row r="41" spans="2:19" x14ac:dyDescent="0.3">
      <c r="B41" s="38">
        <v>2035</v>
      </c>
      <c r="C41" s="57">
        <v>6</v>
      </c>
      <c r="D41" s="57">
        <v>5.3</v>
      </c>
      <c r="E41" s="57">
        <v>3.8685502442048012</v>
      </c>
      <c r="F41" s="57">
        <v>4.3</v>
      </c>
      <c r="G41" s="59"/>
      <c r="I41" s="85"/>
      <c r="L41" s="49"/>
      <c r="P41" s="76"/>
      <c r="Q41" s="76"/>
      <c r="R41" s="76"/>
      <c r="S41" s="76"/>
    </row>
    <row r="42" spans="2:19" x14ac:dyDescent="0.3">
      <c r="B42" s="38">
        <v>2036</v>
      </c>
      <c r="C42" s="57">
        <v>6</v>
      </c>
      <c r="D42" s="57">
        <v>5.3</v>
      </c>
      <c r="E42" s="57">
        <v>3.926774141581904</v>
      </c>
      <c r="F42" s="57">
        <v>4.3</v>
      </c>
      <c r="G42" s="59"/>
      <c r="I42" s="85"/>
      <c r="L42" s="49"/>
      <c r="P42" s="76"/>
      <c r="Q42" s="76"/>
      <c r="R42" s="76"/>
      <c r="S42" s="76"/>
    </row>
    <row r="43" spans="2:19" x14ac:dyDescent="0.3">
      <c r="B43" s="38">
        <v>2037</v>
      </c>
      <c r="C43" s="57">
        <v>6</v>
      </c>
      <c r="D43" s="57">
        <v>5.3</v>
      </c>
      <c r="E43" s="57">
        <v>3.9778988037844347</v>
      </c>
      <c r="F43" s="57">
        <v>4.3</v>
      </c>
      <c r="G43" s="59"/>
      <c r="I43" s="85"/>
      <c r="L43" s="49"/>
      <c r="P43" s="76"/>
      <c r="Q43" s="76"/>
      <c r="R43" s="76"/>
      <c r="S43" s="76"/>
    </row>
    <row r="44" spans="2:19" x14ac:dyDescent="0.3">
      <c r="B44" s="38">
        <v>2038</v>
      </c>
      <c r="C44" s="57">
        <v>6</v>
      </c>
      <c r="D44" s="57">
        <v>5.3</v>
      </c>
      <c r="E44" s="57">
        <v>4.0225948257538571</v>
      </c>
      <c r="F44" s="57">
        <v>4.3</v>
      </c>
      <c r="G44" s="59"/>
      <c r="I44" s="85"/>
      <c r="L44" s="49"/>
      <c r="P44" s="76"/>
      <c r="Q44" s="76"/>
      <c r="R44" s="76"/>
      <c r="S44" s="76"/>
    </row>
    <row r="45" spans="2:19" x14ac:dyDescent="0.3">
      <c r="B45" s="38">
        <v>2039</v>
      </c>
      <c r="C45" s="57">
        <v>6</v>
      </c>
      <c r="D45" s="57">
        <v>5.3</v>
      </c>
      <c r="E45" s="57">
        <v>4.0672908477232799</v>
      </c>
      <c r="F45" s="57">
        <v>4.3</v>
      </c>
      <c r="G45" s="59"/>
      <c r="I45" s="85"/>
      <c r="L45" s="49"/>
      <c r="P45" s="76"/>
      <c r="Q45" s="76"/>
      <c r="R45" s="76"/>
      <c r="S45" s="76"/>
    </row>
    <row r="46" spans="2:19" x14ac:dyDescent="0.3">
      <c r="B46" s="38">
        <v>2040</v>
      </c>
      <c r="C46" s="57">
        <v>6</v>
      </c>
      <c r="D46" s="57">
        <v>5.3</v>
      </c>
      <c r="E46" s="57">
        <v>4.1119868696927018</v>
      </c>
      <c r="F46" s="57">
        <v>4.3</v>
      </c>
      <c r="G46" s="59"/>
      <c r="I46" s="85"/>
      <c r="L46" s="49"/>
      <c r="P46" s="76"/>
      <c r="Q46" s="76"/>
      <c r="R46" s="76"/>
      <c r="S46" s="76"/>
    </row>
    <row r="47" spans="2:19" x14ac:dyDescent="0.3">
      <c r="B47" s="38">
        <v>2041</v>
      </c>
      <c r="C47" s="57">
        <v>6</v>
      </c>
      <c r="D47" s="57">
        <v>5.3</v>
      </c>
      <c r="E47" s="57">
        <v>4.1566828916621246</v>
      </c>
      <c r="F47" s="57">
        <v>4.3</v>
      </c>
      <c r="G47" s="59"/>
      <c r="I47" s="85"/>
      <c r="L47" s="49"/>
      <c r="P47" s="76"/>
      <c r="Q47" s="76"/>
      <c r="R47" s="76"/>
      <c r="S47" s="76"/>
    </row>
    <row r="48" spans="2:19" x14ac:dyDescent="0.3">
      <c r="B48" s="38">
        <v>2042</v>
      </c>
      <c r="C48" s="57">
        <v>6</v>
      </c>
      <c r="D48" s="57">
        <v>5.3</v>
      </c>
      <c r="E48" s="57">
        <v>4.2013789136315465</v>
      </c>
      <c r="F48" s="57">
        <v>4.3</v>
      </c>
      <c r="G48" s="59"/>
      <c r="I48" s="85"/>
      <c r="L48" s="49"/>
      <c r="P48" s="76"/>
      <c r="Q48" s="76"/>
      <c r="R48" s="76"/>
      <c r="S48" s="76"/>
    </row>
    <row r="49" spans="2:19" x14ac:dyDescent="0.3">
      <c r="B49" s="38">
        <v>2043</v>
      </c>
      <c r="C49" s="57">
        <v>6</v>
      </c>
      <c r="D49" s="57">
        <v>5.3</v>
      </c>
      <c r="E49" s="57">
        <v>4.2460749356009693</v>
      </c>
      <c r="F49" s="57">
        <v>4.3</v>
      </c>
      <c r="G49" s="59"/>
      <c r="I49" s="85"/>
      <c r="L49" s="49"/>
      <c r="P49" s="76"/>
      <c r="Q49" s="76"/>
      <c r="R49" s="76"/>
      <c r="S49" s="76"/>
    </row>
    <row r="50" spans="2:19" x14ac:dyDescent="0.3">
      <c r="B50" s="38">
        <v>2044</v>
      </c>
      <c r="C50" s="57">
        <v>6</v>
      </c>
      <c r="D50" s="57">
        <v>5.3</v>
      </c>
      <c r="E50" s="57">
        <v>4.2907709575703921</v>
      </c>
      <c r="F50" s="57">
        <v>4.3</v>
      </c>
      <c r="G50" s="59"/>
      <c r="I50" s="85"/>
      <c r="L50" s="49"/>
      <c r="P50" s="76"/>
      <c r="Q50" s="76"/>
      <c r="R50" s="76"/>
      <c r="S50" s="76"/>
    </row>
    <row r="51" spans="2:19" x14ac:dyDescent="0.3">
      <c r="B51" s="38">
        <v>2045</v>
      </c>
      <c r="C51" s="57">
        <v>6</v>
      </c>
      <c r="D51" s="57">
        <v>5.3</v>
      </c>
      <c r="E51" s="57">
        <v>4.3</v>
      </c>
      <c r="F51" s="57">
        <v>4.3</v>
      </c>
      <c r="G51" s="59"/>
      <c r="I51" s="85"/>
      <c r="L51" s="49"/>
      <c r="P51" s="76"/>
      <c r="Q51" s="76"/>
      <c r="R51" s="76"/>
      <c r="S51" s="76"/>
    </row>
    <row r="52" spans="2:19" x14ac:dyDescent="0.3">
      <c r="B52" s="38">
        <v>2046</v>
      </c>
      <c r="C52" s="57">
        <v>6</v>
      </c>
      <c r="D52" s="57">
        <v>5.3</v>
      </c>
      <c r="E52" s="57">
        <v>4.3</v>
      </c>
      <c r="F52" s="57">
        <v>4.3</v>
      </c>
      <c r="G52" s="59"/>
      <c r="I52" s="85"/>
      <c r="L52" s="49"/>
      <c r="P52" s="76"/>
      <c r="Q52" s="76"/>
      <c r="R52" s="76"/>
      <c r="S52" s="76"/>
    </row>
    <row r="53" spans="2:19" x14ac:dyDescent="0.3">
      <c r="B53" s="38">
        <v>2047</v>
      </c>
      <c r="C53" s="57">
        <v>6</v>
      </c>
      <c r="D53" s="57">
        <v>5.3</v>
      </c>
      <c r="E53" s="57">
        <v>4.3</v>
      </c>
      <c r="F53" s="57">
        <v>4.3</v>
      </c>
      <c r="G53" s="59"/>
      <c r="I53" s="85"/>
      <c r="L53" s="49"/>
      <c r="P53" s="76"/>
      <c r="Q53" s="76"/>
      <c r="R53" s="76"/>
      <c r="S53" s="76"/>
    </row>
    <row r="54" spans="2:19" x14ac:dyDescent="0.3">
      <c r="B54" s="38">
        <v>2048</v>
      </c>
      <c r="C54" s="57">
        <v>6</v>
      </c>
      <c r="D54" s="57">
        <v>5.3</v>
      </c>
      <c r="E54" s="57">
        <v>4.3</v>
      </c>
      <c r="F54" s="57">
        <v>4.3</v>
      </c>
      <c r="G54" s="59"/>
      <c r="I54" s="85"/>
      <c r="L54" s="49"/>
      <c r="P54" s="76"/>
      <c r="Q54" s="76"/>
      <c r="R54" s="76"/>
      <c r="S54" s="76"/>
    </row>
    <row r="55" spans="2:19" x14ac:dyDescent="0.3">
      <c r="B55" s="38">
        <v>2049</v>
      </c>
      <c r="C55" s="57">
        <v>6</v>
      </c>
      <c r="D55" s="57">
        <v>5.3</v>
      </c>
      <c r="E55" s="57">
        <v>4.3</v>
      </c>
      <c r="F55" s="57">
        <v>4.3</v>
      </c>
      <c r="G55" s="59"/>
      <c r="I55" s="85"/>
      <c r="L55" s="49"/>
      <c r="P55" s="76"/>
      <c r="Q55" s="76"/>
      <c r="R55" s="76"/>
      <c r="S55" s="76"/>
    </row>
    <row r="56" spans="2:19" x14ac:dyDescent="0.3">
      <c r="B56" s="38">
        <v>2050</v>
      </c>
      <c r="C56" s="57">
        <v>6</v>
      </c>
      <c r="D56" s="57">
        <v>5.3</v>
      </c>
      <c r="E56" s="57">
        <v>4.3</v>
      </c>
      <c r="F56" s="57">
        <v>4.3</v>
      </c>
      <c r="G56" s="59"/>
      <c r="I56" s="85"/>
      <c r="L56" s="49"/>
      <c r="P56" s="76"/>
      <c r="Q56" s="76"/>
      <c r="R56" s="76"/>
      <c r="S56" s="76"/>
    </row>
    <row r="57" spans="2:19" x14ac:dyDescent="0.3">
      <c r="C57" s="34"/>
      <c r="D57" s="34"/>
      <c r="E57" s="34"/>
      <c r="F57" s="34"/>
      <c r="I57" s="85"/>
      <c r="L57" s="49"/>
    </row>
    <row r="58" spans="2:19" x14ac:dyDescent="0.3">
      <c r="C58" s="34"/>
      <c r="D58" s="34"/>
      <c r="E58" s="34"/>
      <c r="F58" s="34"/>
      <c r="I58" s="85"/>
      <c r="L58" s="49"/>
    </row>
    <row r="59" spans="2:19" x14ac:dyDescent="0.3">
      <c r="C59" s="34"/>
      <c r="D59" s="34"/>
      <c r="E59" s="34"/>
      <c r="F59" s="34"/>
      <c r="I59" s="85"/>
      <c r="L59" s="49"/>
    </row>
    <row r="60" spans="2:19" x14ac:dyDescent="0.3">
      <c r="C60" s="34"/>
      <c r="D60" s="34"/>
      <c r="E60" s="34"/>
      <c r="F60" s="34"/>
      <c r="I60" s="85"/>
      <c r="L60" s="49"/>
    </row>
    <row r="61" spans="2:19" x14ac:dyDescent="0.3">
      <c r="C61" s="34"/>
      <c r="D61" s="34"/>
      <c r="E61" s="34"/>
      <c r="F61" s="34"/>
      <c r="I61" s="85"/>
      <c r="L61" s="49"/>
    </row>
    <row r="62" spans="2:19" x14ac:dyDescent="0.3">
      <c r="C62" s="34"/>
      <c r="D62" s="34"/>
      <c r="E62" s="34"/>
      <c r="F62" s="34"/>
      <c r="I62" s="85"/>
      <c r="L62" s="49"/>
    </row>
    <row r="63" spans="2:19" x14ac:dyDescent="0.3">
      <c r="C63" s="34"/>
      <c r="D63" s="34"/>
      <c r="E63" s="34"/>
      <c r="F63" s="34"/>
      <c r="I63" s="85"/>
      <c r="L63" s="49"/>
    </row>
    <row r="64" spans="2:19" x14ac:dyDescent="0.3">
      <c r="C64" s="34"/>
      <c r="D64" s="34"/>
      <c r="E64" s="34"/>
      <c r="F64" s="34"/>
      <c r="I64" s="85"/>
      <c r="L64" s="49"/>
    </row>
    <row r="65" spans="3:12" x14ac:dyDescent="0.3">
      <c r="C65" s="34"/>
      <c r="D65" s="34"/>
      <c r="E65" s="34"/>
      <c r="F65" s="34"/>
      <c r="I65" s="85"/>
      <c r="L65" s="49"/>
    </row>
    <row r="66" spans="3:12" x14ac:dyDescent="0.3">
      <c r="C66" s="34"/>
      <c r="D66" s="34"/>
      <c r="E66" s="34"/>
      <c r="F66" s="34"/>
      <c r="I66" s="85"/>
      <c r="L66" s="49"/>
    </row>
    <row r="67" spans="3:12" x14ac:dyDescent="0.3">
      <c r="C67" s="34"/>
      <c r="D67" s="34"/>
      <c r="E67" s="34"/>
      <c r="F67" s="34"/>
      <c r="I67" s="85"/>
      <c r="L67" s="49"/>
    </row>
    <row r="68" spans="3:12" x14ac:dyDescent="0.3">
      <c r="C68" s="34"/>
      <c r="D68" s="34"/>
      <c r="E68" s="34"/>
      <c r="F68" s="34"/>
      <c r="I68" s="85"/>
    </row>
    <row r="69" spans="3:12" x14ac:dyDescent="0.3">
      <c r="C69" s="34"/>
      <c r="D69" s="34"/>
      <c r="E69" s="34"/>
      <c r="F69" s="34"/>
      <c r="I69" s="85"/>
    </row>
    <row r="70" spans="3:12" x14ac:dyDescent="0.3">
      <c r="C70" s="34"/>
      <c r="D70" s="34"/>
      <c r="E70" s="34"/>
      <c r="F70" s="34"/>
      <c r="I70" s="85"/>
    </row>
    <row r="71" spans="3:12" x14ac:dyDescent="0.3">
      <c r="C71" s="34"/>
      <c r="D71" s="34"/>
      <c r="E71" s="34"/>
      <c r="F71" s="34"/>
    </row>
  </sheetData>
  <mergeCells count="1">
    <mergeCell ref="J3:V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89D5-FFB9-4B0D-A11E-435863EF1A67}">
  <sheetPr codeName="Sheet23"/>
  <dimension ref="B2:L112"/>
  <sheetViews>
    <sheetView zoomScaleNormal="100" workbookViewId="0">
      <selection activeCell="B7" sqref="B7"/>
    </sheetView>
  </sheetViews>
  <sheetFormatPr defaultColWidth="8.7109375" defaultRowHeight="16.5" x14ac:dyDescent="0.3"/>
  <cols>
    <col min="1" max="2" width="8.7109375" style="1"/>
    <col min="3" max="3" width="14.7109375" style="1" customWidth="1"/>
    <col min="4" max="4" width="15.5703125" style="1" customWidth="1"/>
    <col min="5" max="5" width="17.7109375" style="1" customWidth="1"/>
    <col min="6" max="16384" width="8.7109375" style="1"/>
  </cols>
  <sheetData>
    <row r="2" spans="2:12" x14ac:dyDescent="0.3">
      <c r="B2" s="18" t="s">
        <v>278</v>
      </c>
      <c r="C2" s="32"/>
      <c r="D2" s="32"/>
      <c r="E2" s="32"/>
      <c r="F2" s="32"/>
    </row>
    <row r="3" spans="2:12" x14ac:dyDescent="0.3">
      <c r="B3" s="32" t="s">
        <v>279</v>
      </c>
      <c r="C3" s="32"/>
      <c r="D3" s="32"/>
      <c r="E3" s="32"/>
      <c r="F3" s="32"/>
    </row>
    <row r="5" spans="2:12" s="35" customFormat="1" ht="82.5" x14ac:dyDescent="0.3">
      <c r="C5" s="35" t="s">
        <v>186</v>
      </c>
      <c r="D5" s="35" t="s">
        <v>187</v>
      </c>
      <c r="E5" s="35" t="s">
        <v>188</v>
      </c>
    </row>
    <row r="6" spans="2:12" s="35" customFormat="1" x14ac:dyDescent="0.3">
      <c r="C6" s="35" t="s">
        <v>161</v>
      </c>
      <c r="D6" s="35" t="s">
        <v>161</v>
      </c>
      <c r="E6" s="35" t="s">
        <v>161</v>
      </c>
    </row>
    <row r="7" spans="2:12" x14ac:dyDescent="0.3">
      <c r="B7" s="1">
        <v>1993</v>
      </c>
      <c r="C7" s="4">
        <v>0.15977300765144253</v>
      </c>
      <c r="D7" s="4">
        <v>0.97476990947255193</v>
      </c>
      <c r="E7" s="4">
        <v>0.71803052952515078</v>
      </c>
      <c r="L7" s="4"/>
    </row>
    <row r="8" spans="2:12" x14ac:dyDescent="0.3">
      <c r="B8" s="1">
        <v>1994</v>
      </c>
      <c r="C8" s="4">
        <v>1.5060821421726489</v>
      </c>
      <c r="D8" s="4">
        <v>0.97476990947255193</v>
      </c>
      <c r="E8" s="4">
        <v>0.71803052952515078</v>
      </c>
      <c r="L8" s="4"/>
    </row>
    <row r="9" spans="2:12" x14ac:dyDescent="0.3">
      <c r="B9" s="1">
        <v>1995</v>
      </c>
      <c r="C9" s="4">
        <v>-8.3886246491360339E-3</v>
      </c>
      <c r="D9" s="4">
        <v>0.97476990947255193</v>
      </c>
      <c r="E9" s="4">
        <v>0.71803052952515078</v>
      </c>
      <c r="L9" s="4"/>
    </row>
    <row r="10" spans="2:12" x14ac:dyDescent="0.3">
      <c r="B10" s="1">
        <v>1996</v>
      </c>
      <c r="C10" s="4">
        <v>0.43828112092050286</v>
      </c>
      <c r="D10" s="4">
        <v>0.97476990947255193</v>
      </c>
      <c r="E10" s="4">
        <v>0.71803052952515078</v>
      </c>
      <c r="L10" s="4"/>
    </row>
    <row r="11" spans="2:12" x14ac:dyDescent="0.3">
      <c r="B11" s="1">
        <v>1997</v>
      </c>
      <c r="C11" s="4">
        <v>2.9280828268073877</v>
      </c>
      <c r="D11" s="4">
        <v>0.97476990947255193</v>
      </c>
      <c r="E11" s="4">
        <v>0.71803052952515078</v>
      </c>
      <c r="L11" s="4"/>
    </row>
    <row r="12" spans="2:12" x14ac:dyDescent="0.3">
      <c r="B12" s="1">
        <v>1998</v>
      </c>
      <c r="C12" s="4">
        <v>1.6730726936318163</v>
      </c>
      <c r="D12" s="4">
        <v>0.97476990947255193</v>
      </c>
      <c r="E12" s="4">
        <v>0.71803052952515078</v>
      </c>
      <c r="L12" s="4"/>
    </row>
    <row r="13" spans="2:12" x14ac:dyDescent="0.3">
      <c r="B13" s="1">
        <v>1999</v>
      </c>
      <c r="C13" s="4">
        <v>1.3731273669357558</v>
      </c>
      <c r="D13" s="4">
        <v>0.97476990947255193</v>
      </c>
      <c r="E13" s="4">
        <v>0.71803052952515078</v>
      </c>
      <c r="L13" s="4"/>
    </row>
    <row r="14" spans="2:12" x14ac:dyDescent="0.3">
      <c r="B14" s="1">
        <v>2000</v>
      </c>
      <c r="C14" s="4">
        <v>3.42440713440888</v>
      </c>
      <c r="D14" s="4">
        <v>0.97476990947255193</v>
      </c>
      <c r="E14" s="4">
        <v>0.71803052952515078</v>
      </c>
      <c r="L14" s="4"/>
    </row>
    <row r="15" spans="2:12" x14ac:dyDescent="0.3">
      <c r="B15" s="1">
        <v>2001</v>
      </c>
      <c r="C15" s="4">
        <v>-8.0182979848331115E-2</v>
      </c>
      <c r="D15" s="4">
        <v>0.97476990947255193</v>
      </c>
      <c r="E15" s="4">
        <v>0.71803052952515078</v>
      </c>
      <c r="L15" s="4"/>
    </row>
    <row r="16" spans="2:12" x14ac:dyDescent="0.3">
      <c r="B16" s="1">
        <v>2002</v>
      </c>
      <c r="C16" s="4">
        <v>1.6614061630303212</v>
      </c>
      <c r="D16" s="4">
        <v>0.97476990947255193</v>
      </c>
      <c r="E16" s="4">
        <v>0.71803052952515078</v>
      </c>
      <c r="L16" s="4"/>
    </row>
    <row r="17" spans="2:12" x14ac:dyDescent="0.3">
      <c r="B17" s="1">
        <v>2003</v>
      </c>
      <c r="C17" s="4">
        <v>2.1400528735130875</v>
      </c>
      <c r="D17" s="4">
        <v>0.97476990947255193</v>
      </c>
      <c r="E17" s="4">
        <v>0.71803052952515078</v>
      </c>
      <c r="L17" s="4"/>
    </row>
    <row r="18" spans="2:12" x14ac:dyDescent="0.3">
      <c r="B18" s="1">
        <v>2004</v>
      </c>
      <c r="C18" s="4">
        <v>1.3326281189232514</v>
      </c>
      <c r="D18" s="4">
        <v>0.97476990947255193</v>
      </c>
      <c r="E18" s="4">
        <v>0.71803052952515078</v>
      </c>
      <c r="L18" s="4"/>
    </row>
    <row r="19" spans="2:12" x14ac:dyDescent="0.3">
      <c r="B19" s="1">
        <v>2005</v>
      </c>
      <c r="C19" s="4">
        <v>0.7061461609018993</v>
      </c>
      <c r="D19" s="4">
        <v>0.97476990947255193</v>
      </c>
      <c r="E19" s="4">
        <v>0.71803052952515078</v>
      </c>
      <c r="G19" s="84"/>
      <c r="H19" s="4"/>
      <c r="I19" s="49"/>
      <c r="L19" s="4"/>
    </row>
    <row r="20" spans="2:12" x14ac:dyDescent="0.3">
      <c r="B20" s="1">
        <v>2006</v>
      </c>
      <c r="C20" s="4">
        <v>1.0208957230847027</v>
      </c>
      <c r="D20" s="4">
        <v>0.97476990947255193</v>
      </c>
      <c r="E20" s="4">
        <v>0.71803052952515078</v>
      </c>
      <c r="G20" s="84"/>
      <c r="H20" s="4"/>
      <c r="I20" s="49"/>
      <c r="L20" s="4"/>
    </row>
    <row r="21" spans="2:12" x14ac:dyDescent="0.3">
      <c r="B21" s="1">
        <v>2007</v>
      </c>
      <c r="C21" s="4">
        <v>2.0867436272844042</v>
      </c>
      <c r="D21" s="4">
        <v>0.97476990947255193</v>
      </c>
      <c r="E21" s="4">
        <v>0.71803052952515078</v>
      </c>
      <c r="G21" s="84"/>
      <c r="H21" s="4"/>
      <c r="I21" s="49"/>
      <c r="L21" s="4"/>
    </row>
    <row r="22" spans="2:12" x14ac:dyDescent="0.3">
      <c r="B22" s="1">
        <v>2008</v>
      </c>
      <c r="C22" s="4">
        <v>2.0283265945309603</v>
      </c>
      <c r="D22" s="4">
        <v>0.97476990947255193</v>
      </c>
      <c r="E22" s="4">
        <v>0.71803052952515078</v>
      </c>
      <c r="G22" s="84"/>
      <c r="H22" s="4"/>
      <c r="I22" s="49"/>
      <c r="L22" s="4"/>
    </row>
    <row r="23" spans="2:12" x14ac:dyDescent="0.3">
      <c r="B23" s="1">
        <v>2009</v>
      </c>
      <c r="C23" s="4">
        <v>-0.25308967021668849</v>
      </c>
      <c r="D23" s="4">
        <v>0.97476990947255193</v>
      </c>
      <c r="E23" s="4">
        <v>0.71803052952515078</v>
      </c>
      <c r="G23" s="84"/>
      <c r="H23" s="4"/>
      <c r="I23" s="49"/>
      <c r="L23" s="4"/>
    </row>
    <row r="24" spans="2:12" x14ac:dyDescent="0.3">
      <c r="B24" s="1">
        <v>2010</v>
      </c>
      <c r="C24" s="4">
        <v>2.9327707059153107</v>
      </c>
      <c r="D24" s="4">
        <v>0.97476990947255193</v>
      </c>
      <c r="E24" s="4">
        <v>0.71803052952515078</v>
      </c>
      <c r="G24" s="84"/>
      <c r="H24" s="4"/>
      <c r="I24" s="49"/>
      <c r="L24" s="4"/>
    </row>
    <row r="25" spans="2:12" x14ac:dyDescent="0.3">
      <c r="B25" s="1">
        <v>2011</v>
      </c>
      <c r="C25" s="4">
        <v>-0.76281661497942244</v>
      </c>
      <c r="D25" s="4">
        <v>0.97476990947255193</v>
      </c>
      <c r="E25" s="4">
        <v>0.71803052952515078</v>
      </c>
      <c r="G25" s="84"/>
      <c r="H25" s="4"/>
      <c r="I25" s="49"/>
      <c r="L25" s="4"/>
    </row>
    <row r="26" spans="2:12" x14ac:dyDescent="0.3">
      <c r="B26" s="1">
        <v>2012</v>
      </c>
      <c r="C26" s="4">
        <v>2.1492416503762213</v>
      </c>
      <c r="D26" s="4">
        <v>0.97476990947255193</v>
      </c>
      <c r="E26" s="4">
        <v>0.71803052952515078</v>
      </c>
      <c r="G26" s="84"/>
      <c r="H26" s="4"/>
      <c r="I26" s="49"/>
      <c r="L26" s="4"/>
    </row>
    <row r="27" spans="2:12" x14ac:dyDescent="0.3">
      <c r="B27" s="1">
        <v>2013</v>
      </c>
      <c r="C27" s="4">
        <v>1.347158361481382</v>
      </c>
      <c r="D27" s="4">
        <v>0.97476990947255193</v>
      </c>
      <c r="E27" s="4">
        <v>0.71803052952515078</v>
      </c>
      <c r="G27" s="84"/>
      <c r="H27" s="4"/>
      <c r="I27" s="49"/>
      <c r="L27" s="4"/>
    </row>
    <row r="28" spans="2:12" x14ac:dyDescent="0.3">
      <c r="B28" s="1">
        <v>2014</v>
      </c>
      <c r="C28" s="4">
        <v>-0.63608349612466197</v>
      </c>
      <c r="D28" s="4">
        <v>0.97476990947255193</v>
      </c>
      <c r="E28" s="4">
        <v>0.71803052952515078</v>
      </c>
      <c r="G28" s="84"/>
      <c r="H28" s="4"/>
      <c r="I28" s="49"/>
      <c r="L28" s="4"/>
    </row>
    <row r="29" spans="2:12" x14ac:dyDescent="0.3">
      <c r="B29" s="1">
        <v>2015</v>
      </c>
      <c r="C29" s="4">
        <v>0.98094132495096797</v>
      </c>
      <c r="D29" s="4">
        <v>0.97476990947255193</v>
      </c>
      <c r="E29" s="4">
        <v>0.71803052952515078</v>
      </c>
      <c r="G29" s="84"/>
      <c r="H29" s="4"/>
      <c r="I29" s="49"/>
      <c r="L29" s="4"/>
    </row>
    <row r="30" spans="2:12" x14ac:dyDescent="0.3">
      <c r="B30" s="1">
        <v>2016</v>
      </c>
      <c r="C30" s="4">
        <v>0.40674328362604317</v>
      </c>
      <c r="D30" s="4">
        <v>0.97476990947255193</v>
      </c>
      <c r="E30" s="4">
        <v>0.71803052952515078</v>
      </c>
      <c r="G30" s="84"/>
      <c r="H30" s="4"/>
      <c r="I30" s="49"/>
      <c r="L30" s="4"/>
    </row>
    <row r="31" spans="2:12" x14ac:dyDescent="0.3">
      <c r="B31" s="1">
        <v>2017</v>
      </c>
      <c r="C31" s="4">
        <v>-1.5529428445181903</v>
      </c>
      <c r="D31" s="4">
        <v>0.97476990947255193</v>
      </c>
      <c r="E31" s="4">
        <v>0.71803052952515078</v>
      </c>
      <c r="G31" s="84"/>
      <c r="H31" s="4"/>
      <c r="I31" s="49"/>
      <c r="L31" s="4"/>
    </row>
    <row r="32" spans="2:12" x14ac:dyDescent="0.3">
      <c r="B32" s="1">
        <v>2018</v>
      </c>
      <c r="C32" s="4">
        <v>-0.7564605896921206</v>
      </c>
      <c r="D32" s="4">
        <v>0.97476990947255193</v>
      </c>
      <c r="E32" s="4">
        <v>0.71803052952515078</v>
      </c>
      <c r="G32" s="84"/>
      <c r="H32" s="4"/>
      <c r="I32" s="49"/>
      <c r="L32" s="4"/>
    </row>
    <row r="33" spans="2:12" x14ac:dyDescent="0.3">
      <c r="B33" s="1">
        <v>2019</v>
      </c>
      <c r="C33" s="4">
        <v>0.7831655062706222</v>
      </c>
      <c r="D33" s="4">
        <v>0.97476990947255193</v>
      </c>
      <c r="E33" s="4">
        <v>0.71803052952515078</v>
      </c>
      <c r="G33" s="84"/>
      <c r="H33" s="4"/>
      <c r="I33" s="49"/>
      <c r="L33" s="4"/>
    </row>
    <row r="34" spans="2:12" x14ac:dyDescent="0.3">
      <c r="B34" s="1">
        <v>2020</v>
      </c>
      <c r="C34" s="4">
        <v>0.58547901332115515</v>
      </c>
      <c r="D34" s="4">
        <v>0.97476990947255193</v>
      </c>
      <c r="E34" s="4">
        <v>0.71803052952515078</v>
      </c>
      <c r="G34" s="84"/>
      <c r="H34" s="4"/>
      <c r="I34" s="49"/>
      <c r="L34" s="4"/>
    </row>
    <row r="35" spans="2:12" x14ac:dyDescent="0.3">
      <c r="B35" s="1">
        <v>2021</v>
      </c>
      <c r="C35" s="4">
        <v>2.9016811977040202</v>
      </c>
      <c r="D35" s="4">
        <v>0.97476990947255193</v>
      </c>
      <c r="E35" s="4">
        <v>0.71803052952515078</v>
      </c>
      <c r="G35" s="84"/>
      <c r="H35" s="4"/>
      <c r="I35" s="49"/>
      <c r="L35" s="4"/>
    </row>
    <row r="36" spans="2:12" x14ac:dyDescent="0.3">
      <c r="B36" s="1">
        <v>2022</v>
      </c>
      <c r="C36" s="4">
        <v>1.743137628925906</v>
      </c>
      <c r="D36" s="4">
        <v>0.97476990947255193</v>
      </c>
      <c r="E36" s="4">
        <v>0.71803052952515078</v>
      </c>
      <c r="G36" s="84"/>
      <c r="H36" s="4"/>
      <c r="I36" s="49"/>
      <c r="L36" s="4"/>
    </row>
    <row r="37" spans="2:12" x14ac:dyDescent="0.3">
      <c r="B37" s="1">
        <v>2023</v>
      </c>
      <c r="C37" s="4">
        <v>-0.86971612010154908</v>
      </c>
      <c r="D37" s="4">
        <v>0.97476990947255193</v>
      </c>
      <c r="E37" s="4">
        <v>0.71803052952515078</v>
      </c>
      <c r="G37" s="84"/>
      <c r="H37" s="4"/>
      <c r="I37" s="49"/>
      <c r="L37" s="4"/>
    </row>
    <row r="38" spans="2:12" x14ac:dyDescent="0.3">
      <c r="B38" s="1">
        <v>2024</v>
      </c>
      <c r="C38" s="4">
        <v>-0.48071085223794219</v>
      </c>
      <c r="D38" s="4">
        <v>0.97476990947255193</v>
      </c>
      <c r="E38" s="4">
        <v>0.71803052952515078</v>
      </c>
      <c r="G38" s="84"/>
      <c r="H38" s="4"/>
      <c r="I38" s="49"/>
      <c r="L38" s="4"/>
    </row>
    <row r="83" ht="15" customHeight="1" x14ac:dyDescent="0.3"/>
    <row r="85" ht="14.45" customHeight="1" x14ac:dyDescent="0.3"/>
    <row r="110" ht="15" customHeight="1" x14ac:dyDescent="0.3"/>
    <row r="112" ht="15" customHeight="1"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214CF-9AA0-4FC7-ABC0-372274239701}">
  <sheetPr codeName="Sheet25"/>
  <dimension ref="B3:K26"/>
  <sheetViews>
    <sheetView showGridLines="0" zoomScaleNormal="100" workbookViewId="0"/>
  </sheetViews>
  <sheetFormatPr defaultColWidth="8.7109375" defaultRowHeight="16.5" x14ac:dyDescent="0.3"/>
  <cols>
    <col min="1" max="2" width="8.7109375" style="1"/>
    <col min="3" max="3" width="16.5703125" style="1" customWidth="1"/>
    <col min="4" max="4" width="10.85546875" style="1" customWidth="1"/>
    <col min="5" max="6" width="13.5703125" style="1" customWidth="1"/>
    <col min="7" max="7" width="14.85546875" style="1" customWidth="1"/>
    <col min="8" max="9" width="13.85546875" style="1" customWidth="1"/>
    <col min="10" max="10" width="9.42578125" style="1" customWidth="1"/>
    <col min="11" max="11" width="14.140625" style="1" customWidth="1"/>
    <col min="12" max="12" width="11.140625" style="1" customWidth="1"/>
    <col min="13" max="13" width="9.85546875" style="1" customWidth="1"/>
    <col min="14" max="16" width="8.7109375" style="1"/>
    <col min="17" max="17" width="14.7109375" style="1" bestFit="1" customWidth="1"/>
    <col min="18" max="18" width="15.5703125" style="1" bestFit="1" customWidth="1"/>
    <col min="19" max="19" width="8.42578125" style="1" customWidth="1"/>
    <col min="20" max="16384" width="8.7109375" style="1"/>
  </cols>
  <sheetData>
    <row r="3" spans="2:11" x14ac:dyDescent="0.3">
      <c r="B3" s="9" t="s">
        <v>280</v>
      </c>
      <c r="C3" s="9"/>
      <c r="D3" s="9"/>
      <c r="E3" s="9"/>
      <c r="F3" s="9"/>
      <c r="G3" s="9"/>
      <c r="H3" s="9"/>
      <c r="I3" s="8"/>
      <c r="J3" s="8"/>
      <c r="K3" s="8"/>
    </row>
    <row r="4" spans="2:11" x14ac:dyDescent="0.3">
      <c r="B4" s="8" t="s">
        <v>281</v>
      </c>
      <c r="C4" s="8"/>
      <c r="D4" s="8"/>
      <c r="E4" s="8"/>
      <c r="F4" s="8"/>
      <c r="G4" s="8"/>
      <c r="H4" s="8"/>
      <c r="I4" s="8"/>
      <c r="J4" s="8"/>
      <c r="K4" s="8"/>
    </row>
    <row r="7" spans="2:11" ht="33" x14ac:dyDescent="0.3">
      <c r="C7" s="35" t="s">
        <v>27</v>
      </c>
      <c r="D7" s="35" t="s">
        <v>26</v>
      </c>
      <c r="E7" s="35" t="s">
        <v>135</v>
      </c>
      <c r="F7" s="35" t="s">
        <v>25</v>
      </c>
      <c r="G7" s="35" t="s">
        <v>24</v>
      </c>
      <c r="H7" s="35" t="s">
        <v>28</v>
      </c>
      <c r="I7" s="35" t="s">
        <v>57</v>
      </c>
    </row>
    <row r="8" spans="2:11" x14ac:dyDescent="0.3">
      <c r="B8" s="1">
        <v>2006</v>
      </c>
      <c r="C8" s="31">
        <v>1.049507194294419E-3</v>
      </c>
      <c r="D8" s="31">
        <v>4.1975794264197397E-3</v>
      </c>
      <c r="E8" s="31">
        <v>1.4155814952893087E-3</v>
      </c>
      <c r="F8" s="31">
        <v>5.0354241351251439E-3</v>
      </c>
      <c r="G8" s="31">
        <v>9.195949894277522E-3</v>
      </c>
      <c r="H8" s="31">
        <v>-7.4500680305401579E-3</v>
      </c>
      <c r="I8" s="31">
        <v>1.3443974114865975E-2</v>
      </c>
      <c r="J8" s="31"/>
      <c r="K8" s="31"/>
    </row>
    <row r="9" spans="2:11" x14ac:dyDescent="0.3">
      <c r="B9" s="1">
        <v>2007</v>
      </c>
      <c r="C9" s="31">
        <v>-4.2376250744495803E-3</v>
      </c>
      <c r="D9" s="31">
        <v>7.9475632987062728E-3</v>
      </c>
      <c r="E9" s="31">
        <v>2.8241476900023987E-2</v>
      </c>
      <c r="F9" s="31">
        <v>1.0093524980256507E-2</v>
      </c>
      <c r="G9" s="31">
        <v>1.2351020892535924E-2</v>
      </c>
      <c r="H9" s="31">
        <v>4.0183586775307534E-3</v>
      </c>
      <c r="I9" s="31">
        <v>5.8414319674603865E-2</v>
      </c>
      <c r="J9" s="31"/>
      <c r="K9" s="31"/>
    </row>
    <row r="10" spans="2:11" x14ac:dyDescent="0.3">
      <c r="B10" s="1">
        <v>2008</v>
      </c>
      <c r="C10" s="31">
        <v>4.4134854892385889E-3</v>
      </c>
      <c r="D10" s="31">
        <v>9.020593925110898E-3</v>
      </c>
      <c r="E10" s="31">
        <v>5.1687393469163845E-2</v>
      </c>
      <c r="F10" s="31">
        <v>1.3167534997588159E-2</v>
      </c>
      <c r="G10" s="31">
        <v>6.5796159766124962E-3</v>
      </c>
      <c r="H10" s="31">
        <v>-5.2770930593093457E-4</v>
      </c>
      <c r="I10" s="31">
        <v>8.4340914551783053E-2</v>
      </c>
      <c r="J10" s="31"/>
      <c r="K10" s="31"/>
    </row>
    <row r="11" spans="2:11" x14ac:dyDescent="0.3">
      <c r="B11" s="1">
        <v>2009</v>
      </c>
      <c r="C11" s="31">
        <v>1.870169863523663E-2</v>
      </c>
      <c r="D11" s="31">
        <v>9.5164331612878073E-3</v>
      </c>
      <c r="E11" s="31">
        <v>3.512307932590808E-2</v>
      </c>
      <c r="F11" s="31">
        <v>1.2151854487167491E-2</v>
      </c>
      <c r="G11" s="31">
        <v>-9.6124012252758462E-3</v>
      </c>
      <c r="H11" s="31">
        <v>-3.6454533344933093E-2</v>
      </c>
      <c r="I11" s="31">
        <v>2.9426131039391068E-2</v>
      </c>
      <c r="J11" s="31"/>
      <c r="K11" s="31"/>
    </row>
    <row r="12" spans="2:11" x14ac:dyDescent="0.3">
      <c r="B12" s="1">
        <v>2010</v>
      </c>
      <c r="C12" s="31">
        <v>1.7042477649253485E-2</v>
      </c>
      <c r="D12" s="31">
        <v>1.3203621963391976E-2</v>
      </c>
      <c r="E12" s="31">
        <v>2.8104930980973442E-2</v>
      </c>
      <c r="F12" s="31">
        <v>-2.7338967339451958E-3</v>
      </c>
      <c r="G12" s="31">
        <v>2.2692263984965599E-2</v>
      </c>
      <c r="H12" s="31">
        <v>-6.2682210708804198E-2</v>
      </c>
      <c r="I12" s="31">
        <v>1.5627187135835108E-2</v>
      </c>
      <c r="J12" s="31"/>
      <c r="K12" s="31"/>
    </row>
    <row r="13" spans="2:11" x14ac:dyDescent="0.3">
      <c r="B13" s="1">
        <v>2011</v>
      </c>
      <c r="C13" s="31">
        <v>3.822780455065522E-2</v>
      </c>
      <c r="D13" s="31">
        <v>1.4540700543457463E-2</v>
      </c>
      <c r="E13" s="31">
        <v>3.4029742747358815E-2</v>
      </c>
      <c r="F13" s="31">
        <v>-2.7806252628459482E-3</v>
      </c>
      <c r="G13" s="31">
        <v>-1.2579705214669445E-2</v>
      </c>
      <c r="H13" s="31">
        <v>-5.9602949024192942E-2</v>
      </c>
      <c r="I13" s="31">
        <v>1.1834968339763163E-2</v>
      </c>
      <c r="J13" s="31"/>
      <c r="K13" s="31"/>
    </row>
    <row r="14" spans="2:11" x14ac:dyDescent="0.3">
      <c r="B14" s="1">
        <v>2012</v>
      </c>
      <c r="C14" s="31">
        <v>4.1615001592909762E-2</v>
      </c>
      <c r="D14" s="31">
        <v>1.277120005865906E-2</v>
      </c>
      <c r="E14" s="31">
        <v>2.3776536221322697E-2</v>
      </c>
      <c r="F14" s="31">
        <v>2.0385570877077264E-3</v>
      </c>
      <c r="G14" s="31">
        <v>2.6655232370620396E-4</v>
      </c>
      <c r="H14" s="31">
        <v>-6.7848857017968056E-2</v>
      </c>
      <c r="I14" s="31">
        <v>1.2618990266337393E-2</v>
      </c>
      <c r="J14" s="31"/>
      <c r="K14" s="31"/>
    </row>
    <row r="15" spans="2:11" x14ac:dyDescent="0.3">
      <c r="B15" s="1">
        <v>2013</v>
      </c>
      <c r="C15" s="31">
        <v>2.7983357580861457E-2</v>
      </c>
      <c r="D15" s="31">
        <v>1.1831817642565357E-2</v>
      </c>
      <c r="E15" s="31">
        <v>1.0482193675775631E-2</v>
      </c>
      <c r="F15" s="31">
        <v>-2.33536490085684E-3</v>
      </c>
      <c r="G15" s="31">
        <v>4.7343494446825396E-3</v>
      </c>
      <c r="H15" s="31">
        <v>-7.4713464848428113E-2</v>
      </c>
      <c r="I15" s="31">
        <v>-2.2017111405399969E-2</v>
      </c>
      <c r="J15" s="31"/>
      <c r="K15" s="31"/>
    </row>
    <row r="16" spans="2:11" x14ac:dyDescent="0.3">
      <c r="B16" s="1">
        <v>2014</v>
      </c>
      <c r="C16" s="31">
        <v>2.2814209907644045E-2</v>
      </c>
      <c r="D16" s="31">
        <v>1.8367774661043779E-2</v>
      </c>
      <c r="E16" s="31">
        <v>5.1387290243845807E-2</v>
      </c>
      <c r="F16" s="31">
        <v>1.1250998487963404E-2</v>
      </c>
      <c r="G16" s="31">
        <v>-2.8891533678348624E-2</v>
      </c>
      <c r="H16" s="31">
        <v>-4.4430212669468783E-2</v>
      </c>
      <c r="I16" s="31">
        <v>3.0498526952679628E-2</v>
      </c>
      <c r="J16" s="31"/>
      <c r="K16" s="31"/>
    </row>
    <row r="17" spans="2:11" x14ac:dyDescent="0.3">
      <c r="B17" s="1">
        <v>2015</v>
      </c>
      <c r="C17" s="31">
        <v>5.8633056857877452E-3</v>
      </c>
      <c r="D17" s="31">
        <v>3.2353402333236359E-2</v>
      </c>
      <c r="E17" s="31">
        <v>4.2766921325595786E-2</v>
      </c>
      <c r="F17" s="31">
        <v>2.4541854899471804E-2</v>
      </c>
      <c r="G17" s="31">
        <v>-3.6204549529955665E-2</v>
      </c>
      <c r="H17" s="31">
        <v>-4.8020908250972716E-2</v>
      </c>
      <c r="I17" s="31">
        <v>2.1300026463163313E-2</v>
      </c>
      <c r="J17" s="31"/>
      <c r="K17" s="31"/>
    </row>
    <row r="18" spans="2:11" x14ac:dyDescent="0.3">
      <c r="B18" s="1">
        <v>2016</v>
      </c>
      <c r="C18" s="31">
        <v>-1.4995300517384624E-2</v>
      </c>
      <c r="D18" s="31">
        <v>4.9522784196343261E-2</v>
      </c>
      <c r="E18" s="31">
        <v>4.8865727109182244E-2</v>
      </c>
      <c r="F18" s="31">
        <v>2.3631592338390073E-2</v>
      </c>
      <c r="G18" s="31">
        <v>-4.3204496777281554E-2</v>
      </c>
      <c r="H18" s="31">
        <v>-2.6686334425661262E-2</v>
      </c>
      <c r="I18" s="31">
        <v>3.7133971923588138E-2</v>
      </c>
      <c r="J18" s="31"/>
      <c r="K18" s="31"/>
    </row>
    <row r="19" spans="2:11" x14ac:dyDescent="0.3">
      <c r="B19" s="1">
        <v>2017</v>
      </c>
      <c r="C19" s="31">
        <v>-2.2690108340360116E-2</v>
      </c>
      <c r="D19" s="31">
        <v>6.7186656242933518E-2</v>
      </c>
      <c r="E19" s="31">
        <v>6.2475112149980361E-2</v>
      </c>
      <c r="F19" s="31">
        <v>5.0137235132145519E-2</v>
      </c>
      <c r="G19" s="31">
        <v>-7.7429708343367265E-2</v>
      </c>
      <c r="H19" s="31">
        <v>-1.4466813310367588E-3</v>
      </c>
      <c r="I19" s="31">
        <v>7.8232505510295258E-2</v>
      </c>
      <c r="J19" s="31"/>
      <c r="K19" s="31"/>
    </row>
    <row r="20" spans="2:11" x14ac:dyDescent="0.3">
      <c r="B20" s="1">
        <v>2018</v>
      </c>
      <c r="C20" s="31">
        <v>-2.9258500794272502E-2</v>
      </c>
      <c r="D20" s="31">
        <v>8.2070897252868091E-2</v>
      </c>
      <c r="E20" s="31">
        <v>7.3528783880564164E-2</v>
      </c>
      <c r="F20" s="31">
        <v>6.2571764986745992E-2</v>
      </c>
      <c r="G20" s="31">
        <v>-9.2902274676782248E-2</v>
      </c>
      <c r="H20" s="31">
        <v>3.9431646662079434E-2</v>
      </c>
      <c r="I20" s="31">
        <v>0.13544231731120293</v>
      </c>
      <c r="J20" s="31"/>
      <c r="K20" s="31"/>
    </row>
    <row r="21" spans="2:11" x14ac:dyDescent="0.3">
      <c r="B21" s="1">
        <v>2019</v>
      </c>
      <c r="C21" s="31">
        <v>-3.3269039659430177E-2</v>
      </c>
      <c r="D21" s="31">
        <v>9.3295407198226821E-2</v>
      </c>
      <c r="E21" s="31">
        <v>7.0869525783115339E-2</v>
      </c>
      <c r="F21" s="31">
        <v>6.0410560119985135E-2</v>
      </c>
      <c r="G21" s="31">
        <v>-8.6377498385548312E-2</v>
      </c>
      <c r="H21" s="31">
        <v>5.1102405484037217E-2</v>
      </c>
      <c r="I21" s="31">
        <v>0.15603136054038602</v>
      </c>
      <c r="J21" s="31"/>
      <c r="K21" s="31"/>
    </row>
    <row r="22" spans="2:11" x14ac:dyDescent="0.3">
      <c r="B22" s="1">
        <v>2020</v>
      </c>
      <c r="C22" s="31">
        <v>-3.6234786714583356E-2</v>
      </c>
      <c r="D22" s="31">
        <v>0.10915865956206972</v>
      </c>
      <c r="E22" s="31">
        <v>8.2695941111374571E-2</v>
      </c>
      <c r="F22" s="31">
        <v>5.8278361662388312E-2</v>
      </c>
      <c r="G22" s="31">
        <v>-0.10899865101047301</v>
      </c>
      <c r="H22" s="31">
        <v>2.1924087676578496E-2</v>
      </c>
      <c r="I22" s="31">
        <v>0.12682361228735473</v>
      </c>
      <c r="J22" s="31"/>
      <c r="K22" s="31"/>
    </row>
    <row r="23" spans="2:11" x14ac:dyDescent="0.3">
      <c r="B23" s="1">
        <v>2021</v>
      </c>
      <c r="C23" s="31">
        <v>-3.7810038041534044E-2</v>
      </c>
      <c r="D23" s="31">
        <v>0.11227519442183098</v>
      </c>
      <c r="E23" s="31">
        <v>7.6277540670731669E-2</v>
      </c>
      <c r="F23" s="31">
        <v>6.0637252443761169E-2</v>
      </c>
      <c r="G23" s="31">
        <v>-9.0576294098025922E-2</v>
      </c>
      <c r="H23" s="31">
        <v>9.3141701905762875E-2</v>
      </c>
      <c r="I23" s="31">
        <v>0.21394535730252673</v>
      </c>
      <c r="J23" s="31"/>
      <c r="K23" s="31"/>
    </row>
    <row r="24" spans="2:11" x14ac:dyDescent="0.3">
      <c r="B24" s="1">
        <v>2022</v>
      </c>
      <c r="C24" s="31">
        <v>2.0308961577377493E-2</v>
      </c>
      <c r="D24" s="31">
        <v>0.10578722863629086</v>
      </c>
      <c r="E24" s="31">
        <v>7.0093124508785021E-2</v>
      </c>
      <c r="F24" s="31">
        <v>7.5019357272007925E-2</v>
      </c>
      <c r="G24" s="31">
        <v>-8.7335201958523401E-2</v>
      </c>
      <c r="H24" s="31">
        <v>9.57394540659946E-2</v>
      </c>
      <c r="I24" s="31">
        <v>0.2796129241019325</v>
      </c>
      <c r="J24" s="31"/>
      <c r="K24" s="31"/>
    </row>
    <row r="25" spans="2:11" x14ac:dyDescent="0.3">
      <c r="B25" s="1">
        <v>2023</v>
      </c>
      <c r="C25" s="31">
        <v>9.0428481392095472E-2</v>
      </c>
      <c r="D25" s="31">
        <v>0.11388406789487227</v>
      </c>
      <c r="E25" s="31">
        <v>5.4131065863325611E-2</v>
      </c>
      <c r="F25" s="31">
        <v>9.4068902539286348E-2</v>
      </c>
      <c r="G25" s="31">
        <v>-0.11174962205992034</v>
      </c>
      <c r="H25" s="31">
        <v>0.18712493114427042</v>
      </c>
      <c r="I25" s="31">
        <v>0.42788782677392989</v>
      </c>
      <c r="J25" s="31"/>
      <c r="K25" s="31"/>
    </row>
    <row r="26" spans="2:11" x14ac:dyDescent="0.3">
      <c r="B26" s="1">
        <v>2024</v>
      </c>
      <c r="C26" s="31">
        <v>0.12968727150883552</v>
      </c>
      <c r="D26" s="31">
        <v>0.13724439455955273</v>
      </c>
      <c r="E26" s="31">
        <v>5.2451028384472242E-2</v>
      </c>
      <c r="F26" s="31">
        <v>9.4902835489072301E-2</v>
      </c>
      <c r="G26" s="31">
        <v>-0.13786053921015751</v>
      </c>
      <c r="H26" s="31">
        <v>0.192877989736017</v>
      </c>
      <c r="I26" s="31">
        <v>0.46930298046779217</v>
      </c>
      <c r="J26" s="31"/>
      <c r="K26" s="31"/>
    </row>
  </sheetData>
  <phoneticPr fontId="18"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DA67-C1E1-409C-AA07-FBEE17D84347}">
  <sheetPr codeName="Sheet27"/>
  <dimension ref="B2:K78"/>
  <sheetViews>
    <sheetView showGridLines="0" workbookViewId="0"/>
  </sheetViews>
  <sheetFormatPr defaultColWidth="8.7109375" defaultRowHeight="16.5" x14ac:dyDescent="0.3"/>
  <cols>
    <col min="1" max="2" width="8.7109375" style="1"/>
    <col min="3" max="3" width="9.42578125" style="1" bestFit="1" customWidth="1"/>
    <col min="4" max="4" width="8.7109375" style="1"/>
    <col min="5" max="5" width="9.42578125" style="1" bestFit="1" customWidth="1"/>
    <col min="6" max="16384" width="8.7109375" style="1"/>
  </cols>
  <sheetData>
    <row r="2" spans="2:11" x14ac:dyDescent="0.3">
      <c r="B2" s="9" t="s">
        <v>282</v>
      </c>
      <c r="C2" s="8"/>
      <c r="D2" s="8"/>
      <c r="E2" s="8"/>
      <c r="F2" s="8"/>
      <c r="G2" s="8"/>
      <c r="H2" s="8"/>
      <c r="I2" s="8"/>
      <c r="J2" s="8"/>
      <c r="K2" s="8"/>
    </row>
    <row r="3" spans="2:11" x14ac:dyDescent="0.3">
      <c r="B3" s="8" t="s">
        <v>277</v>
      </c>
      <c r="C3" s="8"/>
      <c r="D3" s="8"/>
      <c r="E3" s="8"/>
      <c r="F3" s="8"/>
      <c r="G3" s="8"/>
      <c r="H3" s="8"/>
      <c r="I3" s="8"/>
      <c r="J3" s="8"/>
      <c r="K3" s="8"/>
    </row>
    <row r="5" spans="2:11" x14ac:dyDescent="0.3">
      <c r="C5" s="13">
        <v>2025</v>
      </c>
      <c r="D5" s="13">
        <v>2021</v>
      </c>
      <c r="E5" s="13">
        <v>2016</v>
      </c>
      <c r="F5" s="13">
        <v>2013</v>
      </c>
      <c r="G5" s="36">
        <v>2009</v>
      </c>
      <c r="H5" s="13">
        <v>2006</v>
      </c>
    </row>
    <row r="6" spans="2:11" x14ac:dyDescent="0.3">
      <c r="C6" s="1" t="s">
        <v>3</v>
      </c>
      <c r="D6" s="1" t="s">
        <v>3</v>
      </c>
      <c r="E6" s="1" t="s">
        <v>3</v>
      </c>
      <c r="F6" s="1" t="s">
        <v>3</v>
      </c>
      <c r="G6" s="1" t="s">
        <v>3</v>
      </c>
      <c r="H6" s="1" t="s">
        <v>3</v>
      </c>
    </row>
    <row r="7" spans="2:11" x14ac:dyDescent="0.3">
      <c r="B7" s="110">
        <v>1994</v>
      </c>
      <c r="C7" s="37">
        <v>46.717882953605717</v>
      </c>
    </row>
    <row r="8" spans="2:11" x14ac:dyDescent="0.3">
      <c r="B8" s="110">
        <v>1995</v>
      </c>
      <c r="C8" s="37">
        <v>43.382280567954957</v>
      </c>
    </row>
    <row r="9" spans="2:11" x14ac:dyDescent="0.3">
      <c r="B9" s="110">
        <v>1996</v>
      </c>
      <c r="C9" s="37">
        <v>35.732737353469211</v>
      </c>
    </row>
    <row r="10" spans="2:11" x14ac:dyDescent="0.3">
      <c r="B10" s="110">
        <v>1997</v>
      </c>
      <c r="C10" s="37">
        <v>30.609097884799834</v>
      </c>
    </row>
    <row r="11" spans="2:11" x14ac:dyDescent="0.3">
      <c r="B11" s="110">
        <v>1998</v>
      </c>
      <c r="C11" s="37">
        <v>30.004585557021603</v>
      </c>
    </row>
    <row r="12" spans="2:11" x14ac:dyDescent="0.3">
      <c r="B12" s="110">
        <v>1999</v>
      </c>
      <c r="C12" s="37">
        <v>24.76738355706301</v>
      </c>
    </row>
    <row r="13" spans="2:11" x14ac:dyDescent="0.3">
      <c r="B13" s="110">
        <v>2000</v>
      </c>
      <c r="C13" s="37">
        <v>23.319815568603438</v>
      </c>
    </row>
    <row r="14" spans="2:11" x14ac:dyDescent="0.3">
      <c r="B14" s="110">
        <v>2001</v>
      </c>
      <c r="C14" s="37">
        <v>21.044251436296044</v>
      </c>
    </row>
    <row r="15" spans="2:11" x14ac:dyDescent="0.3">
      <c r="B15" s="110">
        <v>2002</v>
      </c>
      <c r="C15" s="37">
        <v>20.178155748779982</v>
      </c>
    </row>
    <row r="16" spans="2:11" x14ac:dyDescent="0.3">
      <c r="B16" s="110">
        <v>2003</v>
      </c>
      <c r="C16" s="37">
        <v>18.478330596441538</v>
      </c>
    </row>
    <row r="17" spans="2:8" x14ac:dyDescent="0.3">
      <c r="B17" s="110">
        <v>2004</v>
      </c>
      <c r="C17" s="37">
        <v>16.664584017266549</v>
      </c>
    </row>
    <row r="18" spans="2:8" x14ac:dyDescent="0.3">
      <c r="B18" s="110">
        <v>2005</v>
      </c>
      <c r="C18" s="4">
        <v>12.677675809774049</v>
      </c>
      <c r="D18" s="4"/>
      <c r="E18" s="4"/>
      <c r="G18" s="4"/>
    </row>
    <row r="19" spans="2:8" x14ac:dyDescent="0.3">
      <c r="B19" s="110">
        <v>2006</v>
      </c>
      <c r="C19" s="4">
        <v>9.8275557420210014</v>
      </c>
      <c r="D19" s="4"/>
      <c r="E19" s="4"/>
      <c r="G19" s="4"/>
    </row>
    <row r="20" spans="2:8" x14ac:dyDescent="0.3">
      <c r="B20" s="110">
        <v>2007</v>
      </c>
      <c r="C20" s="4">
        <v>7.6275389500447499</v>
      </c>
      <c r="D20" s="4"/>
      <c r="E20" s="4"/>
      <c r="F20" s="4"/>
      <c r="G20" s="37"/>
      <c r="H20" s="4"/>
    </row>
    <row r="21" spans="2:8" x14ac:dyDescent="0.3">
      <c r="B21" s="110">
        <v>2008</v>
      </c>
      <c r="C21" s="4">
        <v>5.4295816395663961</v>
      </c>
      <c r="D21" s="4"/>
      <c r="E21" s="4"/>
      <c r="F21" s="4">
        <v>5.5246178868794349</v>
      </c>
      <c r="G21" s="37">
        <v>5.7234680042627488</v>
      </c>
      <c r="H21" s="4"/>
    </row>
    <row r="22" spans="2:8" x14ac:dyDescent="0.3">
      <c r="B22" s="110">
        <v>2009</v>
      </c>
      <c r="C22" s="4">
        <v>9.0158365678834187</v>
      </c>
      <c r="D22" s="4"/>
      <c r="E22" s="4"/>
      <c r="F22" s="4">
        <v>9.2292182201448103</v>
      </c>
      <c r="G22" s="37">
        <v>9.5892186742611596</v>
      </c>
      <c r="H22" s="4"/>
    </row>
    <row r="23" spans="2:8" x14ac:dyDescent="0.3">
      <c r="B23" s="110">
        <v>2010</v>
      </c>
      <c r="C23" s="4">
        <v>13.548311908103749</v>
      </c>
      <c r="D23" s="4"/>
      <c r="E23" s="4"/>
      <c r="F23" s="4">
        <v>13.94070845368565</v>
      </c>
      <c r="G23" s="37">
        <v>15.606298969639395</v>
      </c>
      <c r="H23" s="4">
        <v>12.836404683877525</v>
      </c>
    </row>
    <row r="24" spans="2:8" x14ac:dyDescent="0.3">
      <c r="B24" s="110">
        <v>2011</v>
      </c>
      <c r="C24" s="4">
        <v>19.470349057244611</v>
      </c>
      <c r="D24" s="4"/>
      <c r="E24" s="4"/>
      <c r="F24" s="4">
        <v>20.040552553512388</v>
      </c>
      <c r="G24" s="37">
        <v>21.759899631643336</v>
      </c>
      <c r="H24" s="4">
        <v>13.510539464867374</v>
      </c>
    </row>
    <row r="25" spans="2:8" x14ac:dyDescent="0.3">
      <c r="B25" s="110">
        <v>2012</v>
      </c>
      <c r="C25" s="4">
        <v>23.54633196559432</v>
      </c>
      <c r="D25" s="4"/>
      <c r="E25" s="4"/>
      <c r="F25" s="4">
        <v>24.306484959250156</v>
      </c>
      <c r="G25" s="37">
        <v>27.103055408987487</v>
      </c>
      <c r="H25" s="4">
        <v>14.217133633053322</v>
      </c>
    </row>
    <row r="26" spans="2:8" x14ac:dyDescent="0.3">
      <c r="B26" s="110">
        <v>2013</v>
      </c>
      <c r="C26" s="4">
        <v>25.474147173822786</v>
      </c>
      <c r="D26" s="4"/>
      <c r="E26" s="4"/>
      <c r="F26" s="4">
        <v>27.096855651783546</v>
      </c>
      <c r="G26" s="37">
        <v>30.926636767976802</v>
      </c>
      <c r="H26" s="4">
        <v>14.863503780470811</v>
      </c>
    </row>
    <row r="27" spans="2:8" x14ac:dyDescent="0.3">
      <c r="B27" s="110">
        <v>2014</v>
      </c>
      <c r="C27" s="4">
        <v>25.281901362997839</v>
      </c>
      <c r="D27" s="4"/>
      <c r="E27" s="4"/>
      <c r="F27" s="4">
        <v>28.419163463394941</v>
      </c>
      <c r="G27" s="37">
        <v>33.672004835129989</v>
      </c>
      <c r="H27" s="4">
        <v>15.455754454660189</v>
      </c>
    </row>
    <row r="28" spans="2:8" x14ac:dyDescent="0.3">
      <c r="B28" s="110">
        <v>2015</v>
      </c>
      <c r="C28" s="4">
        <v>24.659578967918268</v>
      </c>
      <c r="D28" s="4"/>
      <c r="E28" s="4">
        <v>25.097690206142893</v>
      </c>
      <c r="F28" s="4">
        <v>28.674869932844167</v>
      </c>
      <c r="G28" s="37">
        <v>35.649797339240337</v>
      </c>
      <c r="H28" s="4">
        <v>15.996242203802865</v>
      </c>
    </row>
    <row r="29" spans="2:8" x14ac:dyDescent="0.3">
      <c r="B29" s="110">
        <v>2016</v>
      </c>
      <c r="C29" s="4">
        <v>23.898443202576772</v>
      </c>
      <c r="D29" s="4"/>
      <c r="E29" s="4">
        <v>24.896252288846423</v>
      </c>
      <c r="F29" s="4">
        <v>28.490984790923218</v>
      </c>
      <c r="G29" s="37">
        <v>37.175191745565719</v>
      </c>
      <c r="H29" s="4">
        <v>16.50264122408857</v>
      </c>
    </row>
    <row r="30" spans="2:8" x14ac:dyDescent="0.3">
      <c r="B30" s="110">
        <v>2017</v>
      </c>
      <c r="C30" s="4">
        <v>21.560411199234437</v>
      </c>
      <c r="D30" s="4"/>
      <c r="E30" s="4">
        <v>25.591031141014163</v>
      </c>
      <c r="F30" s="4">
        <v>28.638953080328978</v>
      </c>
      <c r="G30" s="37">
        <v>39.13115002477678</v>
      </c>
      <c r="H30" s="4">
        <v>17.038604929830665</v>
      </c>
    </row>
    <row r="31" spans="2:8" x14ac:dyDescent="0.3">
      <c r="B31" s="110">
        <v>2018</v>
      </c>
      <c r="C31" s="4">
        <v>19.436002663809042</v>
      </c>
      <c r="D31" s="4"/>
      <c r="E31" s="4">
        <v>24.964731852436607</v>
      </c>
      <c r="F31" s="4">
        <v>28.657175740621526</v>
      </c>
      <c r="G31" s="37">
        <v>41.000749966537207</v>
      </c>
      <c r="H31" s="4">
        <v>17.574262657934543</v>
      </c>
    </row>
    <row r="32" spans="2:8" x14ac:dyDescent="0.3">
      <c r="B32" s="110">
        <v>2019</v>
      </c>
      <c r="C32" s="4">
        <v>18.593806358530426</v>
      </c>
      <c r="D32" s="4"/>
      <c r="E32" s="4">
        <v>23.057307557166659</v>
      </c>
      <c r="F32" s="4">
        <v>28.029571475881831</v>
      </c>
      <c r="G32" s="37">
        <v>42.822479095577975</v>
      </c>
      <c r="H32" s="4">
        <v>18.1104800780628</v>
      </c>
    </row>
    <row r="33" spans="2:8" x14ac:dyDescent="0.3">
      <c r="B33" s="110">
        <v>2020</v>
      </c>
      <c r="C33" s="4">
        <v>26.249012218580681</v>
      </c>
      <c r="D33" s="4">
        <v>26.33848467234451</v>
      </c>
      <c r="E33" s="4">
        <v>20.839266018249276</v>
      </c>
      <c r="F33" s="4">
        <v>27.371275400696547</v>
      </c>
      <c r="G33" s="37">
        <v>44.595819939125697</v>
      </c>
      <c r="H33" s="4">
        <v>18.647506474476902</v>
      </c>
    </row>
    <row r="34" spans="2:8" x14ac:dyDescent="0.3">
      <c r="B34" s="110">
        <v>2021</v>
      </c>
      <c r="C34" s="4">
        <v>29.726872708529296</v>
      </c>
      <c r="D34" s="4">
        <v>33.987840872729876</v>
      </c>
      <c r="E34" s="4">
        <v>20.512064513167772</v>
      </c>
      <c r="F34" s="4">
        <v>27.625982705491438</v>
      </c>
      <c r="G34" s="37">
        <v>47.246425251550647</v>
      </c>
      <c r="H34" s="4">
        <v>19.228273892608268</v>
      </c>
    </row>
    <row r="35" spans="2:8" x14ac:dyDescent="0.3">
      <c r="B35" s="110">
        <v>2022</v>
      </c>
      <c r="C35" s="4">
        <v>35.238545756816762</v>
      </c>
      <c r="D35" s="4">
        <v>43.835455850312513</v>
      </c>
      <c r="E35" s="4">
        <v>20.73533129773098</v>
      </c>
      <c r="F35" s="4">
        <v>27.981229310833459</v>
      </c>
      <c r="G35" s="37">
        <v>49.889514962381689</v>
      </c>
      <c r="H35" s="4">
        <v>19.907224138167525</v>
      </c>
    </row>
    <row r="36" spans="2:8" x14ac:dyDescent="0.3">
      <c r="B36" s="110">
        <v>2023</v>
      </c>
      <c r="C36" s="4">
        <v>38.668698807362524</v>
      </c>
      <c r="D36" s="4">
        <v>48.019651471573447</v>
      </c>
      <c r="E36" s="4">
        <v>21.306109352161791</v>
      </c>
      <c r="F36" s="4">
        <v>28.483979489116429</v>
      </c>
      <c r="G36" s="37">
        <v>52.418843347355391</v>
      </c>
      <c r="H36" s="4">
        <v>20.656779731706752</v>
      </c>
    </row>
    <row r="37" spans="2:8" x14ac:dyDescent="0.3">
      <c r="B37" s="110">
        <v>2024</v>
      </c>
      <c r="C37" s="4">
        <v>41.715364388928776</v>
      </c>
      <c r="D37" s="4">
        <v>46.897638356471219</v>
      </c>
      <c r="E37" s="4">
        <v>22.179450076739677</v>
      </c>
      <c r="F37" s="4">
        <v>29.149872113027019</v>
      </c>
      <c r="G37" s="37">
        <v>55.261229837245843</v>
      </c>
      <c r="H37" s="4">
        <v>21.510952066038357</v>
      </c>
    </row>
    <row r="38" spans="2:8" x14ac:dyDescent="0.3">
      <c r="B38" s="110">
        <v>2025</v>
      </c>
      <c r="C38" s="4">
        <v>42.662266631123209</v>
      </c>
      <c r="D38" s="4">
        <v>43.626535389367504</v>
      </c>
      <c r="E38" s="4">
        <v>23.279044908493905</v>
      </c>
      <c r="F38" s="4">
        <v>29.98444076534474</v>
      </c>
      <c r="G38" s="37">
        <v>58.435837100333941</v>
      </c>
      <c r="H38" s="4">
        <v>22.497439755577638</v>
      </c>
    </row>
    <row r="39" spans="2:8" x14ac:dyDescent="0.3">
      <c r="B39" s="110">
        <v>2026</v>
      </c>
      <c r="C39" s="4">
        <v>43.856251533527278</v>
      </c>
      <c r="D39" s="4">
        <v>41.349367092058841</v>
      </c>
      <c r="E39" s="4">
        <v>24.679520036911345</v>
      </c>
      <c r="F39" s="4">
        <v>31.013166065395005</v>
      </c>
      <c r="G39" s="111">
        <v>61.988801375022319</v>
      </c>
      <c r="H39" s="4">
        <v>23.635844316261764</v>
      </c>
    </row>
    <row r="40" spans="2:8" x14ac:dyDescent="0.3">
      <c r="B40" s="110">
        <v>2027</v>
      </c>
      <c r="C40" s="4">
        <v>45.720325679720375</v>
      </c>
      <c r="D40" s="4">
        <v>41.299352600643566</v>
      </c>
      <c r="E40" s="4">
        <v>26.317473958853732</v>
      </c>
      <c r="F40" s="4">
        <v>32.210383038203446</v>
      </c>
      <c r="G40" s="111">
        <v>65.989347702368505</v>
      </c>
      <c r="H40" s="4">
        <v>24.947319222353386</v>
      </c>
    </row>
    <row r="41" spans="2:8" x14ac:dyDescent="0.3">
      <c r="B41" s="110">
        <v>2028</v>
      </c>
      <c r="C41" s="4">
        <v>45.969979994649258</v>
      </c>
      <c r="D41" s="4">
        <v>41.568812622795363</v>
      </c>
      <c r="E41" s="4">
        <v>28.155103696868167</v>
      </c>
      <c r="F41" s="4">
        <v>33.606575761315668</v>
      </c>
      <c r="G41" s="111">
        <v>70.312170443925552</v>
      </c>
      <c r="H41" s="4">
        <v>26.411209695647305</v>
      </c>
    </row>
    <row r="42" spans="2:8" x14ac:dyDescent="0.3">
      <c r="B42" s="110">
        <v>2029</v>
      </c>
      <c r="C42" s="4">
        <v>45.50753450532509</v>
      </c>
      <c r="D42" s="4">
        <v>42.115641250900389</v>
      </c>
      <c r="E42" s="4">
        <v>30.227161712060351</v>
      </c>
      <c r="F42" s="4">
        <v>35.222559742091327</v>
      </c>
      <c r="G42" s="111">
        <v>74.826365221140534</v>
      </c>
      <c r="H42" s="4">
        <v>28.030350579587161</v>
      </c>
    </row>
    <row r="43" spans="2:8" x14ac:dyDescent="0.3">
      <c r="B43" s="110">
        <v>2030</v>
      </c>
      <c r="C43" s="4">
        <v>45.994639863852179</v>
      </c>
      <c r="D43" s="4">
        <v>42.934260054053212</v>
      </c>
      <c r="E43" s="4">
        <v>32.534790868598741</v>
      </c>
      <c r="F43" s="4">
        <v>37.055508457926308</v>
      </c>
      <c r="G43" s="111">
        <v>79.524251899902538</v>
      </c>
      <c r="H43" s="4">
        <v>29.795661243645604</v>
      </c>
    </row>
    <row r="44" spans="2:8" x14ac:dyDescent="0.3">
      <c r="B44" s="110">
        <v>2031</v>
      </c>
      <c r="C44" s="4">
        <v>46.745755798944231</v>
      </c>
      <c r="D44" s="4">
        <v>43.96662628393112</v>
      </c>
      <c r="E44" s="4">
        <v>35.088989302724237</v>
      </c>
      <c r="F44" s="4">
        <v>39.114153652523385</v>
      </c>
      <c r="G44" s="111">
        <v>84.434199570311989</v>
      </c>
      <c r="H44" s="4">
        <v>31.719251939426833</v>
      </c>
    </row>
    <row r="45" spans="2:8" x14ac:dyDescent="0.3">
      <c r="B45" s="110">
        <v>2032</v>
      </c>
      <c r="C45" s="4">
        <v>47.902018331619956</v>
      </c>
      <c r="D45" s="4">
        <v>45.229959008836133</v>
      </c>
      <c r="E45" s="4">
        <v>37.90171491383817</v>
      </c>
      <c r="F45" s="4">
        <v>41.3919314743708</v>
      </c>
      <c r="G45" s="111">
        <v>89.578177402771772</v>
      </c>
      <c r="H45" s="4">
        <v>33.854700528397764</v>
      </c>
    </row>
    <row r="46" spans="2:8" x14ac:dyDescent="0.3">
      <c r="B46" s="110">
        <v>2033</v>
      </c>
      <c r="C46" s="4">
        <v>49.474451588221683</v>
      </c>
      <c r="D46" s="4">
        <v>46.759869729990314</v>
      </c>
      <c r="E46" s="4">
        <v>40.974601963666366</v>
      </c>
      <c r="F46" s="4">
        <v>43.863756115529227</v>
      </c>
      <c r="G46" s="111">
        <v>94.913651270428232</v>
      </c>
      <c r="H46" s="4">
        <v>36.181927527425948</v>
      </c>
    </row>
    <row r="47" spans="2:8" x14ac:dyDescent="0.3">
      <c r="B47" s="110">
        <v>2034</v>
      </c>
      <c r="C47" s="4">
        <v>51.410059238652636</v>
      </c>
      <c r="D47" s="4">
        <v>48.529675173833006</v>
      </c>
      <c r="E47" s="4">
        <v>44.273450843575887</v>
      </c>
      <c r="F47" s="4">
        <v>46.545229272910454</v>
      </c>
      <c r="G47" s="111">
        <v>100.47395519619609</v>
      </c>
      <c r="H47" s="4">
        <v>38.690851126738423</v>
      </c>
    </row>
    <row r="48" spans="2:8" x14ac:dyDescent="0.3">
      <c r="B48" s="110">
        <v>2035</v>
      </c>
      <c r="C48" s="4">
        <v>53.639633556887688</v>
      </c>
      <c r="D48" s="4">
        <v>50.529367848738985</v>
      </c>
      <c r="E48" s="4">
        <v>47.780087590717848</v>
      </c>
      <c r="F48" s="4">
        <v>49.435031139875264</v>
      </c>
      <c r="G48" s="111">
        <v>106.23038573417097</v>
      </c>
      <c r="H48" s="4">
        <v>41.3808705508796</v>
      </c>
    </row>
    <row r="49" spans="2:9" x14ac:dyDescent="0.3">
      <c r="B49" s="110">
        <v>2036</v>
      </c>
      <c r="C49" s="4">
        <v>55.792886503026232</v>
      </c>
      <c r="D49" s="4">
        <v>52.767320332914501</v>
      </c>
      <c r="E49" s="4">
        <v>51.502277584690781</v>
      </c>
      <c r="F49" s="4">
        <v>52.546390381492756</v>
      </c>
      <c r="G49" s="111">
        <v>112.23971145934254</v>
      </c>
      <c r="H49" s="4">
        <v>44.255071091976525</v>
      </c>
    </row>
    <row r="50" spans="2:9" x14ac:dyDescent="0.3">
      <c r="B50" s="110">
        <v>2037</v>
      </c>
      <c r="C50" s="4">
        <v>58.042324639763123</v>
      </c>
      <c r="D50" s="4">
        <v>55.245767320824925</v>
      </c>
      <c r="E50" s="4">
        <v>55.434410890566042</v>
      </c>
      <c r="F50" s="4">
        <v>55.87775490452146</v>
      </c>
      <c r="G50" s="111">
        <v>118.51479718807963</v>
      </c>
      <c r="H50" s="4">
        <v>47.323627339085881</v>
      </c>
    </row>
    <row r="51" spans="2:9" x14ac:dyDescent="0.3">
      <c r="B51" s="110">
        <v>2038</v>
      </c>
      <c r="C51" s="4">
        <v>60.498660534783376</v>
      </c>
      <c r="D51" s="4">
        <v>57.962462529982353</v>
      </c>
      <c r="E51" s="4">
        <v>59.577417079731113</v>
      </c>
      <c r="F51" s="4">
        <v>59.436311869455416</v>
      </c>
      <c r="G51" s="111">
        <v>124.99667567447584</v>
      </c>
      <c r="H51" s="4">
        <v>50.557416246700704</v>
      </c>
    </row>
    <row r="52" spans="2:9" x14ac:dyDescent="0.3">
      <c r="B52" s="110">
        <v>2039</v>
      </c>
      <c r="C52" s="4">
        <v>63.174159719252209</v>
      </c>
      <c r="D52" s="4">
        <v>60.925301569466363</v>
      </c>
      <c r="E52" s="4">
        <v>63.924580175191828</v>
      </c>
      <c r="F52" s="4">
        <v>63.218428501670942</v>
      </c>
      <c r="G52" s="111">
        <v>131.72660397291889</v>
      </c>
      <c r="H52" s="4">
        <v>53.958850086039853</v>
      </c>
    </row>
    <row r="53" spans="2:9" x14ac:dyDescent="0.3">
      <c r="B53" s="110">
        <v>2040</v>
      </c>
      <c r="C53" s="4">
        <v>66.002794014467909</v>
      </c>
      <c r="D53" s="4">
        <v>64.139811594594079</v>
      </c>
      <c r="E53" s="4">
        <v>68.465512373702367</v>
      </c>
      <c r="F53" s="4">
        <v>67.208976448238474</v>
      </c>
      <c r="G53" s="111">
        <v>138.67260491084403</v>
      </c>
      <c r="H53" s="4">
        <v>57.510394384529874</v>
      </c>
    </row>
    <row r="54" spans="2:9" x14ac:dyDescent="0.3">
      <c r="B54" s="110">
        <v>2041</v>
      </c>
      <c r="C54" s="4">
        <v>68.992727316958778</v>
      </c>
      <c r="D54" s="4">
        <v>67.607598308494246</v>
      </c>
      <c r="E54" s="4">
        <v>73.193983721480166</v>
      </c>
      <c r="F54" s="4">
        <v>71.410460714279751</v>
      </c>
      <c r="G54" s="111">
        <v>145.87373289679769</v>
      </c>
      <c r="H54" s="4">
        <v>61.209921003574287</v>
      </c>
    </row>
    <row r="55" spans="2:9" x14ac:dyDescent="0.3">
      <c r="B55" s="110">
        <v>2042</v>
      </c>
      <c r="C55" s="4">
        <v>72.143805681006384</v>
      </c>
      <c r="D55" s="4">
        <v>71.343967982807882</v>
      </c>
      <c r="E55" s="4">
        <v>78.116628576950518</v>
      </c>
      <c r="F55" s="4">
        <v>75.820513956057795</v>
      </c>
      <c r="G55" s="111">
        <v>153.36545993045672</v>
      </c>
      <c r="H55" s="4">
        <v>65.10381617725487</v>
      </c>
    </row>
    <row r="56" spans="2:9" x14ac:dyDescent="0.3">
      <c r="B56" s="110">
        <v>2043</v>
      </c>
      <c r="C56" s="4">
        <v>75.45883598356383</v>
      </c>
      <c r="D56" s="4">
        <v>75.348110661147274</v>
      </c>
      <c r="E56" s="4">
        <v>83.225349521862157</v>
      </c>
      <c r="F56" s="4">
        <v>80.434885764230103</v>
      </c>
      <c r="G56" s="111">
        <v>161.11084663161054</v>
      </c>
      <c r="H56" s="4">
        <v>69.1529640794176</v>
      </c>
    </row>
    <row r="57" spans="2:9" x14ac:dyDescent="0.3">
      <c r="B57" s="110">
        <v>2044</v>
      </c>
      <c r="C57" s="4">
        <v>78.940304126756189</v>
      </c>
      <c r="D57" s="4">
        <v>79.628487140890073</v>
      </c>
      <c r="E57" s="4">
        <v>88.520794052220452</v>
      </c>
      <c r="F57" s="4">
        <v>85.252705194837645</v>
      </c>
      <c r="G57" s="111">
        <v>169.13259444749596</v>
      </c>
      <c r="H57" s="4">
        <v>73.385842823052698</v>
      </c>
    </row>
    <row r="58" spans="2:9" x14ac:dyDescent="0.3">
      <c r="B58" s="110">
        <v>2045</v>
      </c>
      <c r="C58" s="4">
        <v>82.592221057046871</v>
      </c>
      <c r="D58" s="4">
        <v>84.163318109699361</v>
      </c>
      <c r="E58" s="4">
        <v>94.001572579401795</v>
      </c>
      <c r="F58" s="4">
        <v>90.28334465393003</v>
      </c>
      <c r="G58" s="111">
        <v>177.41595859684941</v>
      </c>
      <c r="H58" s="4">
        <v>77.776502111147366</v>
      </c>
    </row>
    <row r="59" spans="2:9" x14ac:dyDescent="0.3">
      <c r="B59" s="110">
        <v>2046</v>
      </c>
      <c r="C59" s="4">
        <v>86.419370432243412</v>
      </c>
      <c r="D59" s="4">
        <v>88.950524143797665</v>
      </c>
      <c r="E59" s="4">
        <v>99.679185180106828</v>
      </c>
      <c r="F59" s="4">
        <v>95.544694197857766</v>
      </c>
      <c r="G59" s="111">
        <v>186.00350300417654</v>
      </c>
      <c r="H59" s="4">
        <v>82.340448101488434</v>
      </c>
    </row>
    <row r="60" spans="2:9" x14ac:dyDescent="0.3">
      <c r="B60" s="110">
        <v>2047</v>
      </c>
      <c r="C60" s="4">
        <v>90.426369443103468</v>
      </c>
      <c r="D60" s="4">
        <v>94.006077996983734</v>
      </c>
      <c r="E60" s="4">
        <v>105.54920319976715</v>
      </c>
      <c r="F60" s="4">
        <v>101.01372136608262</v>
      </c>
      <c r="G60" s="111">
        <v>194.87591260050482</v>
      </c>
      <c r="H60" s="4">
        <v>87.065776456737254</v>
      </c>
    </row>
    <row r="61" spans="2:9" x14ac:dyDescent="0.3">
      <c r="B61" s="110">
        <v>2048</v>
      </c>
      <c r="C61" s="4">
        <v>94.620476617891711</v>
      </c>
      <c r="D61" s="4">
        <v>99.333596673210636</v>
      </c>
      <c r="E61" s="4">
        <v>111.62505707906686</v>
      </c>
      <c r="F61" s="4">
        <v>106.71533090312863</v>
      </c>
      <c r="G61" s="111">
        <v>204.07224396359817</v>
      </c>
      <c r="H61" s="4">
        <v>91.954026324778241</v>
      </c>
    </row>
    <row r="62" spans="2:9" x14ac:dyDescent="0.3">
      <c r="B62" s="110">
        <v>2049</v>
      </c>
      <c r="C62" s="4">
        <v>99.00777145746747</v>
      </c>
      <c r="D62" s="4">
        <v>104.92817000406269</v>
      </c>
      <c r="E62" s="4">
        <v>117.9194102992134</v>
      </c>
      <c r="F62" s="4">
        <v>112.67762375897354</v>
      </c>
      <c r="G62" s="111">
        <v>213.56602173228401</v>
      </c>
      <c r="H62" s="4">
        <v>96.973642225885143</v>
      </c>
    </row>
    <row r="63" spans="2:9" x14ac:dyDescent="0.3">
      <c r="B63" s="110">
        <v>2050</v>
      </c>
      <c r="C63" s="4">
        <v>103.59208253345477</v>
      </c>
      <c r="D63" s="4">
        <v>110.80484492676321</v>
      </c>
      <c r="E63" s="4">
        <v>124.43815780587579</v>
      </c>
      <c r="F63" s="4">
        <v>118.88875347135294</v>
      </c>
      <c r="G63" s="37">
        <v>223.37859274478444</v>
      </c>
      <c r="H63" s="4">
        <v>102.14514818994031</v>
      </c>
    </row>
    <row r="64" spans="2:9" x14ac:dyDescent="0.3">
      <c r="B64" s="110">
        <v>2051</v>
      </c>
      <c r="C64" s="4">
        <v>108.37763071072106</v>
      </c>
      <c r="D64" s="4">
        <v>116.97779124268848</v>
      </c>
      <c r="E64" s="4">
        <v>131.18756885705079</v>
      </c>
      <c r="F64" s="4">
        <v>125.36600263846327</v>
      </c>
      <c r="I64" s="4"/>
    </row>
    <row r="65" spans="2:9" x14ac:dyDescent="0.3">
      <c r="B65" s="110">
        <v>2052</v>
      </c>
      <c r="C65" s="4">
        <v>113.37678136034725</v>
      </c>
      <c r="D65" s="4">
        <v>123.45504122815846</v>
      </c>
      <c r="E65" s="4">
        <v>138.20953373930578</v>
      </c>
      <c r="F65" s="4">
        <v>132.14281018809595</v>
      </c>
      <c r="I65" s="4"/>
    </row>
    <row r="66" spans="2:9" x14ac:dyDescent="0.3">
      <c r="B66" s="110">
        <v>2053</v>
      </c>
      <c r="C66" s="4">
        <v>118.595341758323</v>
      </c>
      <c r="D66" s="4">
        <v>130.24121896748707</v>
      </c>
      <c r="E66" s="4">
        <v>145.5009759279464</v>
      </c>
      <c r="F66" s="4">
        <v>139.22023253107233</v>
      </c>
      <c r="I66" s="4"/>
    </row>
    <row r="67" spans="2:9" x14ac:dyDescent="0.3">
      <c r="B67" s="110">
        <v>2054</v>
      </c>
      <c r="C67" s="4">
        <v>124.03839608169436</v>
      </c>
      <c r="D67" s="4">
        <v>137.35949327654998</v>
      </c>
      <c r="E67" s="4">
        <v>153.09834809043471</v>
      </c>
      <c r="F67" s="4">
        <v>146.6070948247949</v>
      </c>
      <c r="I67" s="4"/>
    </row>
    <row r="68" spans="2:9" x14ac:dyDescent="0.3">
      <c r="B68" s="110">
        <v>2055</v>
      </c>
      <c r="C68" s="4">
        <v>129.71358707590875</v>
      </c>
      <c r="D68" s="4">
        <v>144.81912363583186</v>
      </c>
      <c r="E68" s="4">
        <v>161.01877743387817</v>
      </c>
      <c r="F68" s="4">
        <v>154.30663275048889</v>
      </c>
      <c r="I68" s="4"/>
    </row>
    <row r="69" spans="2:9" x14ac:dyDescent="0.3">
      <c r="B69" s="110">
        <v>2056</v>
      </c>
      <c r="C69" s="4">
        <v>135.63550650685855</v>
      </c>
      <c r="D69" s="4">
        <v>152.61689472522258</v>
      </c>
      <c r="E69" s="4">
        <v>169.27112913897201</v>
      </c>
      <c r="F69" s="4">
        <v>162.35237439098225</v>
      </c>
      <c r="I69" s="4"/>
    </row>
    <row r="70" spans="2:9" x14ac:dyDescent="0.3">
      <c r="B70" s="110">
        <v>2057</v>
      </c>
      <c r="C70" s="4">
        <v>141.80317962623471</v>
      </c>
      <c r="D70" s="4">
        <v>160.77246117007101</v>
      </c>
      <c r="E70" s="4">
        <v>177.86455108312552</v>
      </c>
      <c r="F70" s="4">
        <v>170.76638914715446</v>
      </c>
      <c r="I70" s="4"/>
    </row>
    <row r="71" spans="2:9" x14ac:dyDescent="0.3">
      <c r="B71" s="110">
        <v>2058</v>
      </c>
      <c r="C71" s="4">
        <v>148.21684127458337</v>
      </c>
      <c r="D71" s="4">
        <v>169.27069626680364</v>
      </c>
      <c r="E71" s="4">
        <v>186.80913366802125</v>
      </c>
      <c r="F71" s="4">
        <v>179.54573729572533</v>
      </c>
      <c r="I71" s="4"/>
    </row>
    <row r="72" spans="2:9" x14ac:dyDescent="0.3">
      <c r="B72" s="110">
        <v>2059</v>
      </c>
      <c r="C72" s="4">
        <v>154.87340162203637</v>
      </c>
      <c r="D72" s="4">
        <v>178.12468480125045</v>
      </c>
      <c r="E72" s="4">
        <v>196.10178908566769</v>
      </c>
      <c r="F72" s="4">
        <v>188.70854426748303</v>
      </c>
    </row>
    <row r="73" spans="2:9" x14ac:dyDescent="0.3">
      <c r="B73" s="110">
        <v>2060</v>
      </c>
      <c r="C73" s="4">
        <v>161.77874586949704</v>
      </c>
      <c r="D73" s="4">
        <v>187.35778717507296</v>
      </c>
      <c r="E73" s="4">
        <v>205.76748705269381</v>
      </c>
      <c r="F73" s="4">
        <v>198.25778166289905</v>
      </c>
    </row>
    <row r="74" spans="2:9" x14ac:dyDescent="0.3">
      <c r="B74" s="110">
        <v>2061</v>
      </c>
      <c r="C74" s="4">
        <v>168.92589308825092</v>
      </c>
      <c r="D74" s="4">
        <v>196.94431310166559</v>
      </c>
    </row>
    <row r="75" spans="2:9" x14ac:dyDescent="0.3">
      <c r="B75" s="110">
        <v>2062</v>
      </c>
      <c r="C75" s="4">
        <v>176.32532755945135</v>
      </c>
    </row>
    <row r="76" spans="2:9" x14ac:dyDescent="0.3">
      <c r="B76" s="110">
        <v>2063</v>
      </c>
      <c r="C76" s="4">
        <v>183.97419005984332</v>
      </c>
    </row>
    <row r="77" spans="2:9" x14ac:dyDescent="0.3">
      <c r="B77" s="110">
        <v>2064</v>
      </c>
      <c r="C77" s="4">
        <v>191.87530189258945</v>
      </c>
    </row>
    <row r="78" spans="2:9" x14ac:dyDescent="0.3">
      <c r="B78" s="110">
        <v>2065</v>
      </c>
      <c r="C78" s="4">
        <v>200.04067114934801</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1C05-EE18-4433-9326-946E85905EB1}">
  <dimension ref="B2:M65"/>
  <sheetViews>
    <sheetView showGridLines="0" workbookViewId="0"/>
  </sheetViews>
  <sheetFormatPr defaultColWidth="8.7109375" defaultRowHeight="16.5" x14ac:dyDescent="0.3"/>
  <cols>
    <col min="1" max="3" width="8.7109375" style="1"/>
    <col min="4" max="4" width="9.42578125" style="1" bestFit="1" customWidth="1"/>
    <col min="5" max="12" width="8.7109375" style="1"/>
    <col min="13" max="13" width="46.140625" style="1" bestFit="1" customWidth="1"/>
    <col min="14" max="14" width="8.7109375" style="1"/>
    <col min="15" max="15" width="8.85546875" style="1" customWidth="1"/>
    <col min="16" max="16384" width="8.7109375" style="1"/>
  </cols>
  <sheetData>
    <row r="2" spans="2:13" x14ac:dyDescent="0.3">
      <c r="B2" s="9" t="s">
        <v>283</v>
      </c>
      <c r="C2" s="8"/>
      <c r="D2" s="8"/>
      <c r="E2" s="8"/>
      <c r="F2" s="8"/>
      <c r="G2" s="8"/>
      <c r="H2" s="8"/>
      <c r="I2" s="8"/>
      <c r="J2" s="8"/>
      <c r="K2" s="8"/>
    </row>
    <row r="3" spans="2:13" x14ac:dyDescent="0.3">
      <c r="B3" s="8" t="s">
        <v>284</v>
      </c>
      <c r="C3" s="8"/>
      <c r="D3" s="8"/>
      <c r="E3" s="8"/>
      <c r="F3" s="8"/>
      <c r="G3" s="8"/>
      <c r="H3" s="8"/>
      <c r="I3" s="8"/>
      <c r="J3" s="8"/>
      <c r="K3" s="8"/>
    </row>
    <row r="5" spans="2:13" x14ac:dyDescent="0.3">
      <c r="C5" s="1" t="s">
        <v>1</v>
      </c>
      <c r="D5" s="1" t="s">
        <v>17</v>
      </c>
      <c r="E5" s="1" t="s">
        <v>18</v>
      </c>
      <c r="F5" s="1" t="s">
        <v>19</v>
      </c>
      <c r="G5" s="1" t="s">
        <v>20</v>
      </c>
      <c r="H5" s="1" t="s">
        <v>21</v>
      </c>
      <c r="I5" s="1" t="s">
        <v>16</v>
      </c>
    </row>
    <row r="6" spans="2:13" x14ac:dyDescent="0.3">
      <c r="B6" s="1">
        <v>2006</v>
      </c>
      <c r="E6" s="4">
        <v>30.965166996731746</v>
      </c>
      <c r="H6" s="4">
        <v>32.063754909050111</v>
      </c>
    </row>
    <row r="7" spans="2:13" x14ac:dyDescent="0.3">
      <c r="B7" s="1">
        <v>2007</v>
      </c>
      <c r="D7" s="4">
        <v>30.495378105736165</v>
      </c>
      <c r="E7" s="4">
        <v>30.494334738006579</v>
      </c>
      <c r="F7" s="4">
        <v>30.873370512776098</v>
      </c>
      <c r="G7" s="4">
        <v>31.617938333284062</v>
      </c>
      <c r="H7" s="4">
        <v>32.039820403633627</v>
      </c>
      <c r="I7" s="4">
        <v>30.495030308559954</v>
      </c>
    </row>
    <row r="8" spans="2:13" x14ac:dyDescent="0.3">
      <c r="B8" s="1">
        <v>2008</v>
      </c>
      <c r="D8" s="4">
        <v>30.055241010756902</v>
      </c>
      <c r="E8" s="4">
        <v>30.009307343282316</v>
      </c>
      <c r="F8" s="4">
        <v>30.562048277124916</v>
      </c>
      <c r="G8" s="4">
        <v>31.662082163959671</v>
      </c>
      <c r="H8" s="4">
        <v>31.177214488945708</v>
      </c>
      <c r="I8" s="4">
        <v>30.041557479022735</v>
      </c>
    </row>
    <row r="9" spans="2:13" x14ac:dyDescent="0.3">
      <c r="B9" s="1">
        <v>2009</v>
      </c>
      <c r="D9" s="4">
        <v>28.873235718095074</v>
      </c>
      <c r="E9" s="4">
        <v>28.857997815107421</v>
      </c>
      <c r="F9" s="4">
        <v>29.479693994727391</v>
      </c>
      <c r="G9" s="4">
        <v>30.629596724532636</v>
      </c>
      <c r="H9" s="4">
        <v>30.461843057383959</v>
      </c>
      <c r="I9" s="4">
        <v>28.804639843231456</v>
      </c>
      <c r="M9" s="13"/>
    </row>
    <row r="10" spans="2:13" x14ac:dyDescent="0.3">
      <c r="B10" s="1">
        <v>2010</v>
      </c>
      <c r="C10" s="4">
        <v>25.712302321221365</v>
      </c>
      <c r="D10" s="4">
        <v>25.784683865263542</v>
      </c>
      <c r="E10" s="4">
        <v>25.797530261666186</v>
      </c>
      <c r="F10" s="4">
        <v>26.457001637139072</v>
      </c>
      <c r="G10" s="4">
        <v>29.465679594933931</v>
      </c>
      <c r="H10" s="4">
        <v>31.148765550021341</v>
      </c>
      <c r="I10" s="4">
        <v>25.712302321221365</v>
      </c>
      <c r="M10" s="13"/>
    </row>
    <row r="11" spans="2:13" x14ac:dyDescent="0.3">
      <c r="B11" s="1">
        <v>2011</v>
      </c>
      <c r="C11" s="4">
        <v>25.015769197178038</v>
      </c>
      <c r="D11" s="4">
        <v>25.070265013372232</v>
      </c>
      <c r="E11" s="4">
        <v>25.047975786195607</v>
      </c>
      <c r="F11" s="4">
        <v>25.748374401949718</v>
      </c>
      <c r="G11" s="4">
        <v>28.373959015642175</v>
      </c>
      <c r="H11" s="4">
        <v>31.153385168058367</v>
      </c>
      <c r="I11" s="4">
        <v>25.015769197178038</v>
      </c>
    </row>
    <row r="12" spans="2:13" x14ac:dyDescent="0.3">
      <c r="B12" s="1">
        <v>2012</v>
      </c>
      <c r="C12" s="4">
        <v>25.595617039270994</v>
      </c>
      <c r="D12" s="4">
        <v>25.621691521923175</v>
      </c>
      <c r="E12" s="4">
        <v>25.5748193822781</v>
      </c>
      <c r="F12" s="4">
        <v>26.421927691193332</v>
      </c>
      <c r="G12" s="4">
        <v>28.502849120247269</v>
      </c>
      <c r="H12" s="4">
        <v>31.170334420403968</v>
      </c>
      <c r="I12" s="4">
        <v>25.595617039270994</v>
      </c>
    </row>
    <row r="13" spans="2:13" x14ac:dyDescent="0.3">
      <c r="B13" s="1">
        <v>2013</v>
      </c>
      <c r="C13" s="4">
        <v>26.758918346769594</v>
      </c>
      <c r="D13" s="4">
        <v>26.804043616953216</v>
      </c>
      <c r="E13" s="4">
        <v>26.802451251445209</v>
      </c>
      <c r="F13" s="4">
        <v>27.256317689530686</v>
      </c>
      <c r="G13" s="4">
        <v>28.838987563790479</v>
      </c>
      <c r="H13" s="4">
        <v>31.185465809624397</v>
      </c>
      <c r="I13" s="4">
        <v>26.758918346769594</v>
      </c>
    </row>
    <row r="14" spans="2:13" x14ac:dyDescent="0.3">
      <c r="B14" s="1">
        <v>2014</v>
      </c>
      <c r="C14" s="4">
        <v>25.970360808433629</v>
      </c>
      <c r="D14" s="4">
        <v>25.989876431674357</v>
      </c>
      <c r="E14" s="4">
        <v>26.200477509799171</v>
      </c>
      <c r="F14" s="4">
        <v>27.373931511417695</v>
      </c>
      <c r="G14" s="4">
        <v>29.289020941104749</v>
      </c>
      <c r="H14" s="4">
        <v>31.199841620404957</v>
      </c>
      <c r="I14" s="4">
        <v>25.970360808433629</v>
      </c>
    </row>
    <row r="15" spans="2:13" x14ac:dyDescent="0.3">
      <c r="B15" s="1">
        <v>2015</v>
      </c>
      <c r="C15" s="4">
        <v>27.101906683152205</v>
      </c>
      <c r="D15" s="4">
        <v>27.134573411082513</v>
      </c>
      <c r="E15" s="4">
        <v>27.58340922261776</v>
      </c>
      <c r="F15" s="4">
        <v>27.770073207426645</v>
      </c>
      <c r="G15" s="4">
        <v>29.633574677065244</v>
      </c>
      <c r="H15" s="4">
        <v>31.214172432245551</v>
      </c>
      <c r="I15" s="4">
        <v>27.101906683152205</v>
      </c>
    </row>
    <row r="16" spans="2:13" x14ac:dyDescent="0.3">
      <c r="B16" s="1">
        <v>2016</v>
      </c>
      <c r="C16" s="4">
        <v>27.206299796469303</v>
      </c>
      <c r="D16" s="4">
        <v>27.228698650257421</v>
      </c>
      <c r="E16" s="4">
        <v>27.858759185370573</v>
      </c>
      <c r="F16" s="4">
        <v>28.095917807777294</v>
      </c>
      <c r="G16" s="4">
        <v>29.875089341069071</v>
      </c>
      <c r="H16" s="4">
        <v>31.227986979013945</v>
      </c>
      <c r="I16" s="4">
        <v>27.206299796469303</v>
      </c>
    </row>
    <row r="17" spans="2:13" x14ac:dyDescent="0.3">
      <c r="B17" s="1">
        <v>2017</v>
      </c>
      <c r="C17" s="4">
        <v>27.41956531195175</v>
      </c>
      <c r="D17" s="4">
        <v>27.433387612108639</v>
      </c>
      <c r="E17" s="4">
        <v>27.76573253911916</v>
      </c>
      <c r="F17" s="4">
        <v>28.310505833550398</v>
      </c>
      <c r="G17" s="4">
        <v>30.0231538554116</v>
      </c>
      <c r="H17" s="4">
        <v>31.243959138778614</v>
      </c>
      <c r="I17" s="4">
        <v>27.41956531195175</v>
      </c>
    </row>
    <row r="18" spans="2:13" x14ac:dyDescent="0.3">
      <c r="B18" s="1">
        <v>2018</v>
      </c>
      <c r="C18" s="4">
        <v>27.119469131253442</v>
      </c>
      <c r="D18" s="4">
        <v>27.097576134244878</v>
      </c>
      <c r="E18" s="4">
        <v>27.658268096397165</v>
      </c>
      <c r="F18" s="4">
        <v>28.625883373970819</v>
      </c>
      <c r="G18" s="4">
        <v>30.173005605550141</v>
      </c>
      <c r="H18" s="4">
        <v>31.259800701067096</v>
      </c>
      <c r="I18" s="4">
        <v>27.119469131253442</v>
      </c>
      <c r="M18" s="13"/>
    </row>
    <row r="19" spans="2:13" x14ac:dyDescent="0.3">
      <c r="B19" s="1">
        <v>2019</v>
      </c>
      <c r="C19" s="4">
        <v>27.846910908435103</v>
      </c>
      <c r="D19" s="4">
        <v>27.869438956233623</v>
      </c>
      <c r="E19" s="4">
        <v>27.924605756151529</v>
      </c>
      <c r="F19" s="4">
        <v>28.785136672431193</v>
      </c>
      <c r="G19" s="4">
        <v>30.324666164592912</v>
      </c>
      <c r="H19" s="4">
        <v>31.27682386187054</v>
      </c>
      <c r="I19" s="4">
        <v>27.846910908435103</v>
      </c>
      <c r="M19" s="13"/>
    </row>
    <row r="20" spans="2:13" x14ac:dyDescent="0.3">
      <c r="B20" s="1">
        <v>2020</v>
      </c>
      <c r="C20" s="4">
        <v>26.792724891462111</v>
      </c>
      <c r="D20" s="4">
        <v>26.884050645707497</v>
      </c>
      <c r="E20" s="4">
        <v>28.209833216350809</v>
      </c>
      <c r="F20" s="4">
        <v>28.92410485050786</v>
      </c>
      <c r="G20" s="4">
        <v>30.478157366049668</v>
      </c>
      <c r="H20" s="4">
        <v>31.295054891921243</v>
      </c>
      <c r="I20" s="4">
        <v>26.792724891462111</v>
      </c>
    </row>
    <row r="21" spans="2:13" x14ac:dyDescent="0.3">
      <c r="B21" s="1">
        <v>2021</v>
      </c>
      <c r="C21" s="4">
        <v>28.533779081111149</v>
      </c>
      <c r="D21" s="4">
        <v>27.375380907239556</v>
      </c>
      <c r="E21" s="4">
        <v>28.358686787660016</v>
      </c>
      <c r="F21" s="4">
        <v>29.02579241813396</v>
      </c>
      <c r="G21" s="4">
        <v>30.63350130697501</v>
      </c>
      <c r="H21" s="4">
        <v>31.315859399911073</v>
      </c>
      <c r="I21" s="4">
        <v>28.533779081111149</v>
      </c>
    </row>
    <row r="22" spans="2:13" x14ac:dyDescent="0.3">
      <c r="B22" s="1">
        <v>2022</v>
      </c>
      <c r="C22" s="4">
        <v>29.656345360881119</v>
      </c>
      <c r="D22" s="4">
        <v>26.644783869252191</v>
      </c>
      <c r="E22" s="4">
        <v>28.478989939503329</v>
      </c>
      <c r="F22" s="4">
        <v>29.02579241813396</v>
      </c>
      <c r="G22" s="4">
        <v>30.79072035114941</v>
      </c>
      <c r="H22" s="4">
        <v>31.338742436360967</v>
      </c>
      <c r="I22" s="4">
        <v>29.656345360881119</v>
      </c>
    </row>
    <row r="23" spans="2:13" x14ac:dyDescent="0.3">
      <c r="B23" s="1">
        <v>2023</v>
      </c>
      <c r="C23" s="4">
        <v>27.9812823903553</v>
      </c>
      <c r="D23" s="4">
        <v>27.360584593612192</v>
      </c>
      <c r="E23" s="4">
        <v>28.524837060062175</v>
      </c>
      <c r="F23" s="4">
        <v>29.02579241813396</v>
      </c>
      <c r="G23" s="4">
        <v>30.949837132298875</v>
      </c>
      <c r="H23" s="4">
        <v>31.362300699754236</v>
      </c>
      <c r="I23" s="4">
        <v>27.9812823903553</v>
      </c>
    </row>
    <row r="24" spans="2:13" x14ac:dyDescent="0.3">
      <c r="B24" s="1">
        <v>2024</v>
      </c>
      <c r="C24" s="4">
        <v>28.663740840945078</v>
      </c>
      <c r="D24" s="4">
        <v>27.263517469238565</v>
      </c>
      <c r="E24" s="4">
        <v>28.524837060062168</v>
      </c>
      <c r="F24" s="4">
        <v>29.02579241813396</v>
      </c>
      <c r="G24" s="4">
        <v>30.749837132298875</v>
      </c>
      <c r="H24" s="4">
        <v>31.389345207052699</v>
      </c>
      <c r="I24" s="4">
        <v>28.663740840945078</v>
      </c>
    </row>
    <row r="25" spans="2:13" x14ac:dyDescent="0.3">
      <c r="B25" s="1">
        <v>2025</v>
      </c>
      <c r="C25" s="4">
        <v>27.782271778797096</v>
      </c>
      <c r="D25" s="4">
        <v>27.328120852337172</v>
      </c>
      <c r="E25" s="4">
        <v>28.524837060062175</v>
      </c>
      <c r="F25" s="4">
        <v>29.02579241813396</v>
      </c>
      <c r="G25" s="4">
        <v>30.549837132298869</v>
      </c>
      <c r="H25" s="4">
        <v>31.416812903396035</v>
      </c>
    </row>
    <row r="26" spans="2:13" x14ac:dyDescent="0.3">
      <c r="B26" s="1">
        <v>2026</v>
      </c>
      <c r="C26" s="4">
        <v>27.394055171930315</v>
      </c>
      <c r="D26" s="4">
        <v>27.489623301720599</v>
      </c>
      <c r="E26" s="4">
        <v>28.52702630435509</v>
      </c>
      <c r="F26" s="4">
        <v>29.02579241813396</v>
      </c>
      <c r="G26" s="4">
        <v>30.349837132298873</v>
      </c>
      <c r="H26" s="4">
        <v>31.447258305027809</v>
      </c>
      <c r="M26" s="13"/>
    </row>
    <row r="27" spans="2:13" x14ac:dyDescent="0.3">
      <c r="B27" s="1">
        <v>2027</v>
      </c>
      <c r="C27" s="4">
        <v>27.841429976767063</v>
      </c>
      <c r="D27" s="4">
        <v>27.534322739448346</v>
      </c>
      <c r="E27" s="4">
        <v>28.577026304355091</v>
      </c>
      <c r="F27" s="4">
        <v>29.025792418133957</v>
      </c>
      <c r="G27" s="4">
        <v>30.149837132298874</v>
      </c>
      <c r="H27" s="4">
        <v>31.479601937610376</v>
      </c>
      <c r="M27" s="13"/>
    </row>
    <row r="28" spans="2:13" x14ac:dyDescent="0.3">
      <c r="B28" s="1">
        <v>2028</v>
      </c>
      <c r="C28" s="4">
        <v>28.049618061517457</v>
      </c>
      <c r="D28" s="4">
        <v>27.548918892830425</v>
      </c>
      <c r="E28" s="4">
        <v>28.6</v>
      </c>
      <c r="F28" s="4">
        <v>29.02579241813396</v>
      </c>
      <c r="G28" s="4">
        <v>30.008604719161891</v>
      </c>
      <c r="H28" s="4">
        <v>31.511070582374888</v>
      </c>
    </row>
    <row r="29" spans="2:13" x14ac:dyDescent="0.3">
      <c r="B29" s="1">
        <v>2029</v>
      </c>
      <c r="C29" s="4">
        <v>28.275859437306583</v>
      </c>
      <c r="D29" s="4">
        <v>27.598918892830422</v>
      </c>
      <c r="E29" s="4">
        <v>28.599999999999998</v>
      </c>
      <c r="F29" s="4">
        <v>29.025792418133967</v>
      </c>
      <c r="G29" s="4">
        <v>30.008604719161891</v>
      </c>
      <c r="H29" s="4">
        <v>31.540312836057964</v>
      </c>
    </row>
    <row r="30" spans="2:13" x14ac:dyDescent="0.3">
      <c r="B30" s="1">
        <v>2030</v>
      </c>
      <c r="C30" s="4">
        <v>28.14507280718145</v>
      </c>
      <c r="D30" s="4">
        <v>27.600000000000009</v>
      </c>
      <c r="E30" s="4">
        <v>28.599999999999998</v>
      </c>
      <c r="F30" s="4">
        <v>29.025792418133957</v>
      </c>
      <c r="G30" s="4">
        <v>30.008604719161884</v>
      </c>
      <c r="H30" s="4">
        <v>31.565612643927278</v>
      </c>
    </row>
    <row r="31" spans="2:13" x14ac:dyDescent="0.3">
      <c r="B31" s="1">
        <v>2031</v>
      </c>
      <c r="C31" s="4">
        <v>28.1017498988334</v>
      </c>
      <c r="D31" s="4">
        <v>27.6</v>
      </c>
      <c r="E31" s="4">
        <v>28.6</v>
      </c>
      <c r="F31" s="4">
        <v>29.025792418133957</v>
      </c>
      <c r="G31" s="4">
        <v>30.008604719161891</v>
      </c>
      <c r="H31" s="4">
        <v>31.588947232023923</v>
      </c>
    </row>
    <row r="32" spans="2:13" x14ac:dyDescent="0.3">
      <c r="B32" s="1">
        <v>2032</v>
      </c>
      <c r="C32" s="4">
        <v>28.092435757332051</v>
      </c>
      <c r="D32" s="4">
        <v>27.599999999999998</v>
      </c>
      <c r="E32" s="4">
        <v>28.599999999999998</v>
      </c>
      <c r="F32" s="4">
        <v>29.02579241813396</v>
      </c>
      <c r="G32" s="4">
        <v>30.008604719161891</v>
      </c>
      <c r="H32" s="4">
        <v>31.612807381294981</v>
      </c>
    </row>
    <row r="33" spans="2:13" x14ac:dyDescent="0.3">
      <c r="B33" s="1">
        <v>2033</v>
      </c>
      <c r="C33" s="4">
        <v>28.087224082770117</v>
      </c>
      <c r="D33" s="4">
        <v>27.6</v>
      </c>
      <c r="E33" s="4">
        <v>28.599999999999998</v>
      </c>
      <c r="F33" s="4">
        <v>29.02579241813396</v>
      </c>
      <c r="G33" s="4">
        <v>30.008604719161884</v>
      </c>
      <c r="H33" s="4">
        <v>31.636039783885415</v>
      </c>
      <c r="M33" s="13"/>
    </row>
    <row r="34" spans="2:13" x14ac:dyDescent="0.3">
      <c r="B34" s="1">
        <v>2034</v>
      </c>
      <c r="C34" s="4">
        <v>28.082131797995785</v>
      </c>
      <c r="D34" s="4">
        <v>27.599999999999991</v>
      </c>
      <c r="E34" s="4">
        <v>28.6</v>
      </c>
      <c r="F34" s="4">
        <v>29.02579241813396</v>
      </c>
      <c r="G34" s="4">
        <v>30.008604719161891</v>
      </c>
      <c r="H34" s="4">
        <v>31.659080415149493</v>
      </c>
      <c r="M34" s="13"/>
    </row>
    <row r="35" spans="2:13" x14ac:dyDescent="0.3">
      <c r="B35" s="1">
        <v>2035</v>
      </c>
      <c r="C35" s="4">
        <v>28.076985169688857</v>
      </c>
      <c r="D35" s="4">
        <v>27.599999999999998</v>
      </c>
      <c r="E35" s="4">
        <v>28.599999999999991</v>
      </c>
      <c r="F35" s="4">
        <v>29.025792418133957</v>
      </c>
      <c r="G35" s="4">
        <v>30.008604719161891</v>
      </c>
      <c r="H35" s="4">
        <v>31.680675271558499</v>
      </c>
    </row>
    <row r="36" spans="2:13" x14ac:dyDescent="0.3">
      <c r="B36" s="1">
        <v>2036</v>
      </c>
      <c r="C36" s="4">
        <v>28.071976786791954</v>
      </c>
      <c r="D36" s="4">
        <v>27.599999999999998</v>
      </c>
      <c r="E36" s="4">
        <v>28.599999999999991</v>
      </c>
      <c r="F36" s="4">
        <v>29.025792418133957</v>
      </c>
      <c r="G36" s="4">
        <v>30.008604719161884</v>
      </c>
      <c r="H36" s="4">
        <v>31.70335431928369</v>
      </c>
    </row>
    <row r="37" spans="2:13" x14ac:dyDescent="0.3">
      <c r="B37" s="1">
        <v>2037</v>
      </c>
      <c r="C37" s="4">
        <v>28.066952379202366</v>
      </c>
      <c r="D37" s="4">
        <v>27.6</v>
      </c>
      <c r="E37" s="4">
        <v>28.6</v>
      </c>
      <c r="F37" s="4">
        <v>29.02579241813396</v>
      </c>
      <c r="G37" s="4">
        <v>30.008604719161891</v>
      </c>
      <c r="H37" s="4">
        <v>31.724810319436898</v>
      </c>
    </row>
    <row r="38" spans="2:13" x14ac:dyDescent="0.3">
      <c r="B38" s="1">
        <v>2038</v>
      </c>
      <c r="C38" s="4">
        <v>28.06160858460175</v>
      </c>
      <c r="D38" s="4">
        <v>27.6</v>
      </c>
      <c r="E38" s="4">
        <v>28.599999999999998</v>
      </c>
      <c r="F38" s="4">
        <v>29.025792418133967</v>
      </c>
      <c r="G38" s="4">
        <v>30.008604719161891</v>
      </c>
      <c r="H38" s="4">
        <v>31.741226593333081</v>
      </c>
    </row>
    <row r="39" spans="2:13" x14ac:dyDescent="0.3">
      <c r="B39" s="1">
        <v>2039</v>
      </c>
      <c r="C39" s="4">
        <v>28.056412224505973</v>
      </c>
      <c r="D39" s="4">
        <v>27.599999999999998</v>
      </c>
      <c r="E39" s="4">
        <v>28.599999999999998</v>
      </c>
      <c r="F39" s="4">
        <v>29.02579241813396</v>
      </c>
      <c r="G39" s="4">
        <v>30.008604719161884</v>
      </c>
      <c r="H39" s="4">
        <v>31.753907569594901</v>
      </c>
    </row>
    <row r="40" spans="2:13" x14ac:dyDescent="0.3">
      <c r="B40" s="1">
        <v>2040</v>
      </c>
      <c r="C40" s="4">
        <v>28.051410362010671</v>
      </c>
      <c r="D40" s="4">
        <v>27.6</v>
      </c>
      <c r="E40" s="4">
        <v>28.599999999999998</v>
      </c>
      <c r="F40" s="4">
        <v>29.025792418133957</v>
      </c>
      <c r="G40" s="4">
        <v>30.008604719161891</v>
      </c>
      <c r="H40" s="4">
        <v>31.762103263695472</v>
      </c>
      <c r="M40" s="13"/>
    </row>
    <row r="41" spans="2:13" x14ac:dyDescent="0.3">
      <c r="B41" s="1">
        <v>2041</v>
      </c>
      <c r="C41" s="4">
        <v>28.046473246621751</v>
      </c>
      <c r="D41" s="4">
        <v>27.6</v>
      </c>
      <c r="E41" s="4">
        <v>28.599999999999998</v>
      </c>
      <c r="F41" s="4">
        <v>29.02579241813396</v>
      </c>
      <c r="G41" s="4">
        <v>30.008604719161891</v>
      </c>
      <c r="H41" s="4">
        <v>31.766011152316352</v>
      </c>
      <c r="M41" s="13"/>
    </row>
    <row r="42" spans="2:13" x14ac:dyDescent="0.3">
      <c r="B42" s="1">
        <v>2042</v>
      </c>
      <c r="C42" s="4">
        <v>28.041549628722361</v>
      </c>
      <c r="D42" s="4">
        <v>27.6</v>
      </c>
      <c r="E42" s="4">
        <v>28.599999999999998</v>
      </c>
      <c r="F42" s="4">
        <v>29.02579241813396</v>
      </c>
      <c r="G42" s="4">
        <v>30.008604719161884</v>
      </c>
      <c r="H42" s="4">
        <v>31.769724008204935</v>
      </c>
    </row>
    <row r="43" spans="2:13" x14ac:dyDescent="0.3">
      <c r="B43" s="1">
        <v>2043</v>
      </c>
      <c r="C43" s="4">
        <v>28.036662061252969</v>
      </c>
      <c r="D43" s="4">
        <v>27.6</v>
      </c>
      <c r="E43" s="4">
        <v>28.599999999999998</v>
      </c>
      <c r="F43" s="4">
        <v>29.02579241813396</v>
      </c>
      <c r="G43" s="4">
        <v>30.008604719161884</v>
      </c>
      <c r="H43" s="4">
        <v>31.770951386495451</v>
      </c>
    </row>
    <row r="44" spans="2:13" x14ac:dyDescent="0.3">
      <c r="B44" s="1">
        <v>2044</v>
      </c>
      <c r="C44" s="4">
        <v>28.031839448085854</v>
      </c>
      <c r="D44" s="4">
        <v>27.6</v>
      </c>
      <c r="E44" s="4">
        <v>28.6</v>
      </c>
      <c r="F44" s="4">
        <v>29.02579241813396</v>
      </c>
      <c r="G44" s="4">
        <v>30.008604719161884</v>
      </c>
      <c r="H44" s="4">
        <v>31.773530531022882</v>
      </c>
    </row>
    <row r="45" spans="2:13" x14ac:dyDescent="0.3">
      <c r="B45" s="1">
        <v>2045</v>
      </c>
      <c r="C45" s="4">
        <v>28.027082061593926</v>
      </c>
      <c r="D45" s="4">
        <v>27.6</v>
      </c>
      <c r="E45" s="4">
        <v>28.599999999999998</v>
      </c>
      <c r="F45" s="4">
        <v>29.025792418133967</v>
      </c>
      <c r="G45" s="4">
        <v>30.008604719161884</v>
      </c>
      <c r="H45" s="4">
        <v>31.775845409964116</v>
      </c>
    </row>
    <row r="46" spans="2:13" x14ac:dyDescent="0.3">
      <c r="B46" s="1">
        <v>2046</v>
      </c>
      <c r="C46" s="4">
        <v>28.022417350216166</v>
      </c>
      <c r="D46" s="4">
        <v>27.599999999999998</v>
      </c>
      <c r="E46" s="4">
        <v>28.599999999999998</v>
      </c>
      <c r="F46" s="4">
        <v>29.02579241813396</v>
      </c>
      <c r="G46" s="4">
        <v>30.008604719161884</v>
      </c>
      <c r="H46" s="4">
        <v>31.778511094457546</v>
      </c>
      <c r="M46" s="13"/>
    </row>
    <row r="47" spans="2:13" x14ac:dyDescent="0.3">
      <c r="B47" s="1">
        <v>2047</v>
      </c>
      <c r="C47" s="4">
        <v>28.017847276689899</v>
      </c>
      <c r="D47" s="4">
        <v>27.599999999999998</v>
      </c>
      <c r="E47" s="4">
        <v>28.599999999999998</v>
      </c>
      <c r="F47" s="4">
        <v>29.02579241813396</v>
      </c>
      <c r="G47" s="4">
        <v>30.008604719161891</v>
      </c>
      <c r="H47" s="4">
        <v>31.780662241739648</v>
      </c>
      <c r="M47" s="13"/>
    </row>
    <row r="48" spans="2:13" x14ac:dyDescent="0.3">
      <c r="B48" s="1">
        <v>2048</v>
      </c>
      <c r="C48" s="4">
        <v>28.013398176351558</v>
      </c>
      <c r="D48" s="4">
        <v>27.6</v>
      </c>
      <c r="E48" s="4">
        <v>28.599999999999998</v>
      </c>
      <c r="F48" s="4">
        <v>29.02579241813396</v>
      </c>
      <c r="G48" s="4">
        <v>30.008604719161891</v>
      </c>
      <c r="H48" s="4">
        <v>31.782801599813524</v>
      </c>
    </row>
    <row r="49" spans="2:13" x14ac:dyDescent="0.3">
      <c r="B49" s="1">
        <v>2049</v>
      </c>
      <c r="C49" s="4">
        <v>28.009073993351883</v>
      </c>
      <c r="D49" s="4">
        <v>27.6</v>
      </c>
      <c r="E49" s="4">
        <v>28.6</v>
      </c>
      <c r="F49" s="4">
        <v>29.02579241813396</v>
      </c>
      <c r="G49" s="4">
        <v>30.008604719161884</v>
      </c>
      <c r="H49" s="4">
        <v>31.783814083555917</v>
      </c>
    </row>
    <row r="50" spans="2:13" x14ac:dyDescent="0.3">
      <c r="B50" s="1">
        <v>2050</v>
      </c>
      <c r="C50" s="4">
        <v>28.004898191493794</v>
      </c>
      <c r="D50" s="4">
        <v>27.599999999999998</v>
      </c>
      <c r="E50" s="4">
        <v>28.599999999999998</v>
      </c>
      <c r="F50" s="4">
        <v>29.025792418133957</v>
      </c>
      <c r="G50" s="4">
        <v>30.008604719161891</v>
      </c>
      <c r="H50" s="4">
        <v>31.784245909936153</v>
      </c>
    </row>
    <row r="51" spans="2:13" x14ac:dyDescent="0.3">
      <c r="B51" s="1">
        <v>2051</v>
      </c>
      <c r="C51" s="4">
        <v>28.000843285314652</v>
      </c>
      <c r="D51" s="4">
        <v>27.6</v>
      </c>
      <c r="E51" s="4">
        <v>28.599999999999998</v>
      </c>
      <c r="F51" s="4">
        <v>29.025792418133957</v>
      </c>
    </row>
    <row r="52" spans="2:13" x14ac:dyDescent="0.3">
      <c r="B52" s="1">
        <v>2052</v>
      </c>
      <c r="C52" s="4">
        <v>27.996962513924057</v>
      </c>
      <c r="D52" s="4">
        <v>27.6</v>
      </c>
      <c r="E52" s="4">
        <v>28.599999999999998</v>
      </c>
      <c r="F52" s="4">
        <v>29.02579241813396</v>
      </c>
    </row>
    <row r="53" spans="2:13" x14ac:dyDescent="0.3">
      <c r="B53" s="1">
        <v>2053</v>
      </c>
      <c r="C53" s="4">
        <v>27.993234747021727</v>
      </c>
      <c r="D53" s="4">
        <v>27.599999999999998</v>
      </c>
      <c r="E53" s="4">
        <v>28.599999999999991</v>
      </c>
      <c r="F53" s="4">
        <v>29.02579241813396</v>
      </c>
    </row>
    <row r="54" spans="2:13" x14ac:dyDescent="0.3">
      <c r="B54" s="1">
        <v>2054</v>
      </c>
      <c r="C54" s="4">
        <v>27.989640820479543</v>
      </c>
      <c r="D54" s="4">
        <v>27.599999999999998</v>
      </c>
      <c r="E54" s="4">
        <v>28.599999999999998</v>
      </c>
      <c r="F54" s="4">
        <v>29.02579241813396</v>
      </c>
      <c r="M54" s="13"/>
    </row>
    <row r="55" spans="2:13" x14ac:dyDescent="0.3">
      <c r="B55" s="1">
        <v>2055</v>
      </c>
      <c r="C55" s="4">
        <v>27.986179832330631</v>
      </c>
      <c r="D55" s="4">
        <v>27.6</v>
      </c>
      <c r="E55" s="4">
        <v>28.599999999999998</v>
      </c>
      <c r="F55" s="4">
        <v>29.02579241813396</v>
      </c>
    </row>
    <row r="56" spans="2:13" x14ac:dyDescent="0.3">
      <c r="B56" s="1">
        <v>2056</v>
      </c>
      <c r="C56" s="4">
        <v>27.982837851619525</v>
      </c>
      <c r="D56" s="4">
        <v>27.6</v>
      </c>
      <c r="E56" s="4">
        <v>28.599999999999998</v>
      </c>
      <c r="F56" s="4">
        <v>29.025792418133967</v>
      </c>
    </row>
    <row r="57" spans="2:13" x14ac:dyDescent="0.3">
      <c r="B57" s="1">
        <v>2057</v>
      </c>
      <c r="C57" s="4">
        <v>27.979590640288095</v>
      </c>
      <c r="D57" s="4">
        <v>27.599999999999998</v>
      </c>
      <c r="E57" s="4">
        <v>28.599999999999998</v>
      </c>
      <c r="F57" s="4">
        <v>29.02579241813396</v>
      </c>
    </row>
    <row r="58" spans="2:13" x14ac:dyDescent="0.3">
      <c r="B58" s="1">
        <v>2058</v>
      </c>
      <c r="C58" s="4">
        <v>27.976404913790841</v>
      </c>
      <c r="D58" s="4">
        <v>27.599999999999998</v>
      </c>
      <c r="E58" s="4">
        <v>28.6</v>
      </c>
      <c r="F58" s="4">
        <v>29.02579241813396</v>
      </c>
    </row>
    <row r="59" spans="2:13" x14ac:dyDescent="0.3">
      <c r="B59" s="1">
        <v>2059</v>
      </c>
      <c r="C59" s="4">
        <v>27.973276616780012</v>
      </c>
      <c r="D59" s="4">
        <v>27.6</v>
      </c>
      <c r="E59" s="4">
        <v>28.6</v>
      </c>
      <c r="F59" s="4">
        <v>29.02579241813396</v>
      </c>
    </row>
    <row r="60" spans="2:13" x14ac:dyDescent="0.3">
      <c r="B60" s="1">
        <v>2060</v>
      </c>
      <c r="C60" s="4">
        <v>27.970172339933271</v>
      </c>
      <c r="D60" s="4">
        <v>27.599999999999998</v>
      </c>
      <c r="E60" s="4">
        <v>28.599999999999998</v>
      </c>
      <c r="F60" s="4">
        <v>29.025792418133957</v>
      </c>
    </row>
    <row r="61" spans="2:13" x14ac:dyDescent="0.3">
      <c r="B61" s="1">
        <v>2061</v>
      </c>
      <c r="C61" s="4">
        <v>27.967056548034421</v>
      </c>
      <c r="D61" s="4">
        <v>27.599999999999998</v>
      </c>
    </row>
    <row r="62" spans="2:13" x14ac:dyDescent="0.3">
      <c r="B62" s="1">
        <v>2062</v>
      </c>
      <c r="C62" s="4">
        <v>27.963969720995056</v>
      </c>
    </row>
    <row r="63" spans="2:13" x14ac:dyDescent="0.3">
      <c r="B63" s="1">
        <v>2063</v>
      </c>
      <c r="C63" s="4">
        <v>27.960853423185334</v>
      </c>
    </row>
    <row r="64" spans="2:13" x14ac:dyDescent="0.3">
      <c r="B64" s="1">
        <v>2064</v>
      </c>
      <c r="C64" s="4">
        <v>27.957724772132419</v>
      </c>
    </row>
    <row r="65" spans="2:3" x14ac:dyDescent="0.3">
      <c r="B65" s="1">
        <v>2065</v>
      </c>
      <c r="C65" s="4">
        <v>27.954588396333751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6797-ADAE-4237-9FBD-3BCD6AC9B2A0}">
  <dimension ref="B2:BQ65"/>
  <sheetViews>
    <sheetView showGridLines="0" workbookViewId="0"/>
  </sheetViews>
  <sheetFormatPr defaultColWidth="8.7109375" defaultRowHeight="16.5" x14ac:dyDescent="0.3"/>
  <cols>
    <col min="1" max="2" width="8.7109375" style="1"/>
    <col min="3" max="6" width="9.42578125" style="1" bestFit="1" customWidth="1"/>
    <col min="7" max="7" width="10.42578125" style="1" customWidth="1"/>
    <col min="8" max="8" width="9.42578125" style="1" bestFit="1" customWidth="1"/>
    <col min="9" max="9" width="9.5703125" style="1" customWidth="1"/>
    <col min="10" max="12" width="8.7109375" style="1"/>
    <col min="13" max="13" width="47.140625" style="1" customWidth="1"/>
    <col min="14" max="16384" width="8.7109375" style="1"/>
  </cols>
  <sheetData>
    <row r="2" spans="2:69" x14ac:dyDescent="0.3">
      <c r="B2" s="9" t="s">
        <v>285</v>
      </c>
      <c r="C2" s="8"/>
      <c r="D2" s="8"/>
      <c r="E2" s="8"/>
      <c r="F2" s="8"/>
      <c r="G2" s="8"/>
      <c r="H2" s="8"/>
      <c r="I2" s="8"/>
      <c r="J2" s="8"/>
      <c r="K2" s="8"/>
    </row>
    <row r="3" spans="2:69" x14ac:dyDescent="0.3">
      <c r="B3" s="8" t="s">
        <v>277</v>
      </c>
      <c r="C3" s="8"/>
      <c r="D3" s="8"/>
      <c r="E3" s="8"/>
      <c r="F3" s="8"/>
      <c r="G3" s="8"/>
      <c r="H3" s="8"/>
      <c r="I3" s="8"/>
      <c r="J3" s="8"/>
      <c r="K3" s="8"/>
    </row>
    <row r="5" spans="2:69" x14ac:dyDescent="0.3">
      <c r="C5" s="1" t="s">
        <v>1</v>
      </c>
      <c r="D5" s="1" t="s">
        <v>17</v>
      </c>
      <c r="E5" s="1" t="s">
        <v>18</v>
      </c>
      <c r="F5" s="1" t="s">
        <v>19</v>
      </c>
      <c r="G5" s="1" t="s">
        <v>20</v>
      </c>
      <c r="H5" s="1" t="s">
        <v>21</v>
      </c>
      <c r="I5" s="1" t="s">
        <v>16</v>
      </c>
    </row>
    <row r="6" spans="2:69" x14ac:dyDescent="0.3">
      <c r="B6" s="1">
        <v>2006</v>
      </c>
      <c r="E6" s="4">
        <v>29.817633980098901</v>
      </c>
      <c r="H6" s="4">
        <v>32.283264468225482</v>
      </c>
      <c r="I6" s="4">
        <v>29.989419791071274</v>
      </c>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row>
    <row r="7" spans="2:69" x14ac:dyDescent="0.3">
      <c r="B7" s="1">
        <v>2007</v>
      </c>
      <c r="D7" s="4">
        <v>30.65904049361033</v>
      </c>
      <c r="E7" s="4">
        <v>30.65799152634191</v>
      </c>
      <c r="F7" s="4">
        <v>31.177041116768855</v>
      </c>
      <c r="G7" s="4">
        <v>31.928932509533801</v>
      </c>
      <c r="H7" s="4">
        <v>32.704014854850399</v>
      </c>
      <c r="I7" s="4">
        <v>30.794979556690986</v>
      </c>
      <c r="M7" s="13"/>
    </row>
    <row r="8" spans="2:69" x14ac:dyDescent="0.3">
      <c r="B8" s="1">
        <v>2008</v>
      </c>
      <c r="D8" s="4">
        <v>30.058418825373789</v>
      </c>
      <c r="E8" s="4">
        <v>30.012480301219469</v>
      </c>
      <c r="F8" s="4">
        <v>30.696689968655416</v>
      </c>
      <c r="G8" s="4">
        <v>31.801570075937224</v>
      </c>
      <c r="H8" s="4">
        <v>32.698642686608153</v>
      </c>
      <c r="I8" s="4">
        <v>30.173906138330814</v>
      </c>
      <c r="M8" s="13"/>
    </row>
    <row r="9" spans="2:69" x14ac:dyDescent="0.3">
      <c r="B9" s="1">
        <v>2009</v>
      </c>
      <c r="D9" s="4">
        <v>33.641351124440945</v>
      </c>
      <c r="E9" s="4">
        <v>33.623596839822035</v>
      </c>
      <c r="F9" s="4">
        <v>34.504844005240258</v>
      </c>
      <c r="G9" s="4">
        <v>35.850760768155993</v>
      </c>
      <c r="H9" s="4">
        <v>32.589096499649585</v>
      </c>
      <c r="I9" s="4">
        <v>33.714719175700864</v>
      </c>
    </row>
    <row r="10" spans="2:69" x14ac:dyDescent="0.3">
      <c r="B10" s="1">
        <v>2010</v>
      </c>
      <c r="C10" s="4">
        <v>32.20320947743383</v>
      </c>
      <c r="D10" s="4">
        <v>32.293863281825615</v>
      </c>
      <c r="E10" s="4">
        <v>32.309952669279767</v>
      </c>
      <c r="F10" s="4">
        <v>33.375217676930937</v>
      </c>
      <c r="G10" s="4">
        <v>37.293107702917347</v>
      </c>
      <c r="H10" s="4">
        <v>32.378456761628968</v>
      </c>
      <c r="I10" s="4">
        <v>32.435787649541687</v>
      </c>
    </row>
    <row r="11" spans="2:69" x14ac:dyDescent="0.3">
      <c r="B11" s="1">
        <v>2011</v>
      </c>
      <c r="C11" s="4">
        <v>34.012460091800989</v>
      </c>
      <c r="D11" s="4">
        <v>34.086554826160956</v>
      </c>
      <c r="E11" s="4">
        <v>34.056249483804834</v>
      </c>
      <c r="F11" s="4">
        <v>35.183834913151614</v>
      </c>
      <c r="G11" s="4">
        <v>36.912854713544526</v>
      </c>
      <c r="H11" s="4">
        <v>32.305190378184356</v>
      </c>
      <c r="I11" s="4">
        <v>34.012460091800989</v>
      </c>
    </row>
    <row r="12" spans="2:69" x14ac:dyDescent="0.3">
      <c r="B12" s="1">
        <v>2012</v>
      </c>
      <c r="C12" s="4">
        <v>32.035297889840471</v>
      </c>
      <c r="D12" s="4">
        <v>32.067932532631247</v>
      </c>
      <c r="E12" s="4">
        <v>32.009267685678729</v>
      </c>
      <c r="F12" s="4">
        <v>33.135220442564041</v>
      </c>
      <c r="G12" s="4">
        <v>36.736622647500838</v>
      </c>
      <c r="H12" s="4">
        <v>32.378697239591716</v>
      </c>
      <c r="I12" s="4">
        <v>32.035297889840464</v>
      </c>
    </row>
    <row r="13" spans="2:69" x14ac:dyDescent="0.3">
      <c r="B13" s="1">
        <v>2013</v>
      </c>
      <c r="C13" s="4">
        <v>31.919446307423481</v>
      </c>
      <c r="D13" s="4">
        <v>31.973274104947585</v>
      </c>
      <c r="E13" s="4">
        <v>31.971374647552636</v>
      </c>
      <c r="F13" s="4">
        <v>33.505265520659918</v>
      </c>
      <c r="G13" s="4">
        <v>36.26228892039812</v>
      </c>
      <c r="H13" s="4">
        <v>32.438491140499131</v>
      </c>
      <c r="I13" s="4">
        <v>31.919446307423481</v>
      </c>
    </row>
    <row r="14" spans="2:69" x14ac:dyDescent="0.3">
      <c r="B14" s="1">
        <v>2014</v>
      </c>
      <c r="C14" s="4">
        <v>30.024762603827863</v>
      </c>
      <c r="D14" s="4">
        <v>30.047324937835885</v>
      </c>
      <c r="E14" s="4">
        <v>30.290804318867593</v>
      </c>
      <c r="F14" s="4">
        <v>31.754954101065415</v>
      </c>
      <c r="G14" s="4">
        <v>35.808583672051469</v>
      </c>
      <c r="H14" s="4">
        <v>32.495740837753502</v>
      </c>
      <c r="I14" s="4">
        <v>30.02476260382787</v>
      </c>
    </row>
    <row r="15" spans="2:69" x14ac:dyDescent="0.3">
      <c r="B15" s="1">
        <v>2015</v>
      </c>
      <c r="C15" s="4">
        <v>29.431167436715032</v>
      </c>
      <c r="D15" s="4">
        <v>29.466641691370487</v>
      </c>
      <c r="E15" s="4">
        <v>29.954052487788719</v>
      </c>
      <c r="F15" s="4">
        <v>30.870252233624985</v>
      </c>
      <c r="G15" s="4">
        <v>35.465193421295879</v>
      </c>
      <c r="H15" s="4">
        <v>32.553939707936991</v>
      </c>
      <c r="I15" s="4">
        <v>29.43116743671504</v>
      </c>
      <c r="M15" s="13"/>
    </row>
    <row r="16" spans="2:69" x14ac:dyDescent="0.3">
      <c r="B16" s="1">
        <v>2016</v>
      </c>
      <c r="C16" s="4">
        <v>28.551842396950516</v>
      </c>
      <c r="D16" s="4">
        <v>28.575349031370305</v>
      </c>
      <c r="E16" s="4">
        <v>29.737812142680092</v>
      </c>
      <c r="F16" s="4">
        <v>30.707884518346969</v>
      </c>
      <c r="G16" s="4">
        <v>35.203495880103397</v>
      </c>
      <c r="H16" s="4">
        <v>32.617018758361475</v>
      </c>
      <c r="I16" s="4">
        <v>28.551842396950523</v>
      </c>
      <c r="M16" s="13"/>
    </row>
    <row r="17" spans="2:13" x14ac:dyDescent="0.3">
      <c r="B17" s="1">
        <v>2017</v>
      </c>
      <c r="C17" s="4">
        <v>27.671490089750467</v>
      </c>
      <c r="D17" s="4">
        <v>27.685439386081661</v>
      </c>
      <c r="E17" s="4">
        <v>29.855560013579829</v>
      </c>
      <c r="F17" s="4">
        <v>30.947187728282199</v>
      </c>
      <c r="G17" s="4">
        <v>35.365599165240631</v>
      </c>
      <c r="H17" s="4">
        <v>32.725641826908593</v>
      </c>
      <c r="I17" s="4">
        <v>27.671490089750467</v>
      </c>
      <c r="M17" s="13"/>
    </row>
    <row r="18" spans="2:13" x14ac:dyDescent="0.3">
      <c r="B18" s="1">
        <v>2018</v>
      </c>
      <c r="C18" s="4">
        <v>27.238461616472343</v>
      </c>
      <c r="D18" s="4">
        <v>27.216472559245545</v>
      </c>
      <c r="E18" s="4">
        <v>29.135144617678659</v>
      </c>
      <c r="F18" s="4">
        <v>30.671709516435396</v>
      </c>
      <c r="G18" s="4">
        <v>35.484538351797248</v>
      </c>
      <c r="H18" s="4">
        <v>32.824481912303511</v>
      </c>
      <c r="I18" s="4">
        <v>27.238461616472353</v>
      </c>
    </row>
    <row r="19" spans="2:13" x14ac:dyDescent="0.3">
      <c r="B19" s="1">
        <v>2019</v>
      </c>
      <c r="C19" s="4">
        <v>28.005036842376462</v>
      </c>
      <c r="D19" s="4">
        <v>28.027692813469951</v>
      </c>
      <c r="E19" s="4">
        <v>28.543150263177118</v>
      </c>
      <c r="F19" s="4">
        <v>30.709250744198069</v>
      </c>
      <c r="G19" s="4">
        <v>35.580398258996091</v>
      </c>
      <c r="H19" s="4">
        <v>32.940191344799622</v>
      </c>
      <c r="I19" s="4">
        <v>28.005036842376462</v>
      </c>
    </row>
    <row r="20" spans="2:13" x14ac:dyDescent="0.3">
      <c r="B20" s="1">
        <v>2020</v>
      </c>
      <c r="C20" s="4">
        <v>34.263658144198772</v>
      </c>
      <c r="D20" s="4">
        <v>34.380449341656345</v>
      </c>
      <c r="E20" s="4">
        <v>28.349209532404156</v>
      </c>
      <c r="F20" s="4">
        <v>30.758902919604807</v>
      </c>
      <c r="G20" s="4">
        <v>35.677492417107331</v>
      </c>
      <c r="H20" s="4">
        <v>33.071338655620266</v>
      </c>
      <c r="I20" s="4">
        <v>34.263658144198764</v>
      </c>
    </row>
    <row r="21" spans="2:13" x14ac:dyDescent="0.3">
      <c r="B21" s="1">
        <v>2021</v>
      </c>
      <c r="C21" s="4">
        <v>31.382410241327001</v>
      </c>
      <c r="D21" s="4">
        <v>33.117622959398801</v>
      </c>
      <c r="E21" s="4">
        <v>29.010134589073999</v>
      </c>
      <c r="F21" s="4">
        <v>30.868978704999499</v>
      </c>
      <c r="G21" s="4">
        <v>35.720439852962485</v>
      </c>
      <c r="H21" s="4">
        <v>33.236180441473259</v>
      </c>
      <c r="I21" s="4">
        <v>31.382119029799689</v>
      </c>
    </row>
    <row r="22" spans="2:13" x14ac:dyDescent="0.3">
      <c r="B22" s="1">
        <v>2022</v>
      </c>
      <c r="C22" s="4">
        <v>34.354799899375472</v>
      </c>
      <c r="D22" s="4">
        <v>32.800464342286595</v>
      </c>
      <c r="E22" s="4">
        <v>29.762630469971825</v>
      </c>
      <c r="F22" s="4">
        <v>31.044397135290247</v>
      </c>
      <c r="G22" s="4">
        <v>35.964468984214534</v>
      </c>
      <c r="H22" s="4">
        <v>33.449959742769465</v>
      </c>
      <c r="I22" s="4">
        <v>34.354799899375472</v>
      </c>
    </row>
    <row r="23" spans="2:13" x14ac:dyDescent="0.3">
      <c r="B23" s="1">
        <v>2023</v>
      </c>
      <c r="C23" s="4">
        <v>31.770627099691946</v>
      </c>
      <c r="D23" s="4">
        <v>31.058149952781573</v>
      </c>
      <c r="E23" s="4">
        <v>30.324662036739365</v>
      </c>
      <c r="F23" s="4">
        <v>31.260040829020031</v>
      </c>
      <c r="G23" s="4">
        <v>36.182037091948793</v>
      </c>
      <c r="H23" s="4">
        <v>33.664979822947757</v>
      </c>
      <c r="I23" s="4">
        <v>31.770627099691946</v>
      </c>
      <c r="M23" s="13"/>
    </row>
    <row r="24" spans="2:13" x14ac:dyDescent="0.3">
      <c r="B24" s="1">
        <v>2024</v>
      </c>
      <c r="C24" s="4">
        <v>33.046298101383201</v>
      </c>
      <c r="D24" s="4">
        <v>29.985847447704277</v>
      </c>
      <c r="E24" s="4">
        <v>30.784725038198502</v>
      </c>
      <c r="F24" s="4">
        <v>31.512132783348591</v>
      </c>
      <c r="G24" s="4">
        <v>36.477590753266355</v>
      </c>
      <c r="H24" s="4">
        <v>33.926109182935697</v>
      </c>
      <c r="I24" s="4">
        <v>33.04582261507958</v>
      </c>
      <c r="M24" s="13"/>
    </row>
    <row r="25" spans="2:13" x14ac:dyDescent="0.3">
      <c r="B25" s="1">
        <v>2025</v>
      </c>
      <c r="C25" s="4">
        <v>32.680375412503331</v>
      </c>
      <c r="D25" s="4">
        <v>29.234537512970871</v>
      </c>
      <c r="E25" s="4">
        <v>31.173814628999875</v>
      </c>
      <c r="F25" s="4">
        <v>31.781973451857894</v>
      </c>
      <c r="G25" s="4">
        <v>36.81521736006659</v>
      </c>
      <c r="H25" s="4">
        <v>34.222947824744459</v>
      </c>
      <c r="M25" s="13"/>
    </row>
    <row r="26" spans="2:13" x14ac:dyDescent="0.3">
      <c r="B26" s="1">
        <v>2026</v>
      </c>
      <c r="C26" s="4">
        <v>32.937756318132422</v>
      </c>
      <c r="D26" s="4">
        <v>29.470782849051634</v>
      </c>
      <c r="E26" s="4">
        <v>31.622388392172063</v>
      </c>
      <c r="F26" s="4">
        <v>32.083114179845573</v>
      </c>
      <c r="G26" s="4">
        <v>37.196927330763835</v>
      </c>
      <c r="H26" s="4">
        <v>34.548316430400952</v>
      </c>
    </row>
    <row r="27" spans="2:13" x14ac:dyDescent="0.3">
      <c r="B27" s="1">
        <v>2027</v>
      </c>
      <c r="C27" s="4">
        <v>32.053498545325155</v>
      </c>
      <c r="D27" s="4">
        <v>29.898961037909778</v>
      </c>
      <c r="E27" s="4">
        <v>32.071989827800628</v>
      </c>
      <c r="F27" s="4">
        <v>32.365646905989855</v>
      </c>
      <c r="G27" s="4">
        <v>37.641831546889478</v>
      </c>
      <c r="H27" s="4">
        <v>34.919573379076603</v>
      </c>
    </row>
    <row r="28" spans="2:13" x14ac:dyDescent="0.3">
      <c r="B28" s="1">
        <v>2028</v>
      </c>
      <c r="C28" s="4">
        <v>31.311169055196409</v>
      </c>
      <c r="D28" s="4">
        <v>30.31491099458788</v>
      </c>
      <c r="E28" s="4">
        <v>32.45789579194232</v>
      </c>
      <c r="F28" s="4">
        <v>32.698480792505919</v>
      </c>
      <c r="G28" s="4">
        <v>38.08370769135729</v>
      </c>
      <c r="H28" s="4">
        <v>35.279207650813618</v>
      </c>
    </row>
    <row r="29" spans="2:13" x14ac:dyDescent="0.3">
      <c r="B29" s="1">
        <v>2029</v>
      </c>
      <c r="C29" s="4">
        <v>30.90101159653668</v>
      </c>
      <c r="D29" s="4">
        <v>30.744194829358317</v>
      </c>
      <c r="E29" s="4">
        <v>32.848873338278118</v>
      </c>
      <c r="F29" s="4">
        <v>33.050366666766678</v>
      </c>
      <c r="G29" s="4">
        <v>38.529428573488786</v>
      </c>
      <c r="H29" s="4">
        <v>35.637498984929685</v>
      </c>
    </row>
    <row r="30" spans="2:13" x14ac:dyDescent="0.3">
      <c r="B30" s="1">
        <v>2030</v>
      </c>
      <c r="C30" s="4">
        <v>31.261131675564375</v>
      </c>
      <c r="D30" s="4">
        <v>31.102748025148529</v>
      </c>
      <c r="E30" s="4">
        <v>33.237769455113011</v>
      </c>
      <c r="F30" s="4">
        <v>33.395416734685263</v>
      </c>
      <c r="G30" s="4">
        <v>38.965654584434176</v>
      </c>
      <c r="H30" s="4">
        <v>35.974154413020869</v>
      </c>
      <c r="M30" s="13"/>
    </row>
    <row r="31" spans="2:13" x14ac:dyDescent="0.3">
      <c r="B31" s="1">
        <v>2031</v>
      </c>
      <c r="C31" s="4">
        <v>31.604931786668359</v>
      </c>
      <c r="D31" s="4">
        <v>31.384232601531316</v>
      </c>
      <c r="E31" s="4">
        <v>33.637580595062602</v>
      </c>
      <c r="F31" s="4">
        <v>33.753332348102703</v>
      </c>
      <c r="G31" s="4">
        <v>39.406661457734025</v>
      </c>
      <c r="H31" s="4">
        <v>36.312832326227806</v>
      </c>
      <c r="M31" s="13"/>
    </row>
    <row r="32" spans="2:13" x14ac:dyDescent="0.3">
      <c r="B32" s="1">
        <v>2032</v>
      </c>
      <c r="C32" s="4">
        <v>32.01079741305076</v>
      </c>
      <c r="D32" s="4">
        <v>31.684056292574613</v>
      </c>
      <c r="E32" s="4">
        <v>34.056798047632689</v>
      </c>
      <c r="F32" s="4">
        <v>34.108151913935259</v>
      </c>
      <c r="G32" s="4">
        <v>39.863089370031155</v>
      </c>
      <c r="H32" s="4">
        <v>36.688432358055245</v>
      </c>
      <c r="M32" s="13"/>
    </row>
    <row r="33" spans="2:13" x14ac:dyDescent="0.3">
      <c r="B33" s="1">
        <v>2033</v>
      </c>
      <c r="C33" s="4">
        <v>32.458407534252053</v>
      </c>
      <c r="D33" s="4">
        <v>32.028371521861345</v>
      </c>
      <c r="E33" s="4">
        <v>34.486987864162828</v>
      </c>
      <c r="F33" s="4">
        <v>34.42409305535481</v>
      </c>
      <c r="G33" s="4">
        <v>40.310217288134822</v>
      </c>
      <c r="H33" s="4">
        <v>37.068619905758851</v>
      </c>
    </row>
    <row r="34" spans="2:13" x14ac:dyDescent="0.3">
      <c r="B34" s="1">
        <v>2034</v>
      </c>
      <c r="C34" s="4">
        <v>32.879477079593435</v>
      </c>
      <c r="D34" s="4">
        <v>32.356474837594561</v>
      </c>
      <c r="E34" s="4">
        <v>34.892545196086253</v>
      </c>
      <c r="F34" s="4">
        <v>34.763420318783318</v>
      </c>
      <c r="G34" s="4">
        <v>40.772303072846569</v>
      </c>
      <c r="H34" s="4">
        <v>37.442442181322022</v>
      </c>
    </row>
    <row r="35" spans="2:13" x14ac:dyDescent="0.3">
      <c r="B35" s="1">
        <v>2035</v>
      </c>
      <c r="C35" s="4">
        <v>33.240626181102535</v>
      </c>
      <c r="D35" s="4">
        <v>32.689025079801262</v>
      </c>
      <c r="E35" s="4">
        <v>35.286208564587277</v>
      </c>
      <c r="F35" s="4">
        <v>35.103184654293777</v>
      </c>
      <c r="G35" s="4">
        <v>41.233921964627172</v>
      </c>
      <c r="H35" s="4">
        <v>37.814675150895944</v>
      </c>
    </row>
    <row r="36" spans="2:13" x14ac:dyDescent="0.3">
      <c r="B36" s="1">
        <v>2036</v>
      </c>
      <c r="C36" s="4">
        <v>33.449474730891851</v>
      </c>
      <c r="D36" s="4">
        <v>33.040294318573189</v>
      </c>
      <c r="E36" s="4">
        <v>35.694708385531484</v>
      </c>
      <c r="F36" s="4">
        <v>35.46408337829336</v>
      </c>
      <c r="G36" s="4">
        <v>41.72198483948376</v>
      </c>
      <c r="H36" s="4">
        <v>38.206262885083497</v>
      </c>
    </row>
    <row r="37" spans="2:13" x14ac:dyDescent="0.3">
      <c r="B37" s="1">
        <v>2037</v>
      </c>
      <c r="C37" s="4">
        <v>33.627406921110847</v>
      </c>
      <c r="D37" s="4">
        <v>33.396629232514442</v>
      </c>
      <c r="E37" s="4">
        <v>36.099299120822657</v>
      </c>
      <c r="F37" s="4">
        <v>35.822313042450276</v>
      </c>
      <c r="G37" s="4">
        <v>42.224447899903033</v>
      </c>
      <c r="H37" s="4">
        <v>38.593075234833904</v>
      </c>
      <c r="M37" s="13"/>
    </row>
    <row r="38" spans="2:13" x14ac:dyDescent="0.3">
      <c r="B38" s="1">
        <v>2038</v>
      </c>
      <c r="C38" s="4">
        <v>33.804647094094939</v>
      </c>
      <c r="D38" s="4">
        <v>33.747296418939158</v>
      </c>
      <c r="E38" s="4">
        <v>36.49447522461292</v>
      </c>
      <c r="F38" s="4">
        <v>36.179551407820973</v>
      </c>
      <c r="G38" s="4">
        <v>42.711054255914512</v>
      </c>
      <c r="H38" s="4">
        <v>38.959550449930582</v>
      </c>
      <c r="M38" s="13"/>
    </row>
    <row r="39" spans="2:13" x14ac:dyDescent="0.3">
      <c r="B39" s="1">
        <v>2039</v>
      </c>
      <c r="C39" s="4">
        <v>33.988858082421395</v>
      </c>
      <c r="D39" s="4">
        <v>34.103123715617208</v>
      </c>
      <c r="E39" s="4">
        <v>36.879540678474868</v>
      </c>
      <c r="F39" s="4">
        <v>36.527718244384822</v>
      </c>
      <c r="G39" s="4">
        <v>43.200086125642088</v>
      </c>
      <c r="H39" s="4">
        <v>39.309083317135787</v>
      </c>
      <c r="M39" s="13"/>
    </row>
    <row r="40" spans="2:13" x14ac:dyDescent="0.3">
      <c r="B40" s="1">
        <v>2040</v>
      </c>
      <c r="C40" s="4">
        <v>34.203311809567957</v>
      </c>
      <c r="D40" s="4">
        <v>34.457262043744308</v>
      </c>
      <c r="E40" s="4">
        <v>37.251230438438583</v>
      </c>
      <c r="F40" s="4">
        <v>36.865138373156405</v>
      </c>
      <c r="G40" s="4">
        <v>43.678123047707018</v>
      </c>
      <c r="H40" s="4">
        <v>39.625115518682122</v>
      </c>
    </row>
    <row r="41" spans="2:13" x14ac:dyDescent="0.3">
      <c r="B41" s="1">
        <v>2041</v>
      </c>
      <c r="C41" s="4">
        <v>34.423433626717539</v>
      </c>
      <c r="D41" s="4">
        <v>34.814995077180235</v>
      </c>
      <c r="E41" s="4">
        <v>37.607929108147992</v>
      </c>
      <c r="F41" s="4">
        <v>37.19636301959892</v>
      </c>
      <c r="G41" s="4">
        <v>44.161622221265525</v>
      </c>
      <c r="H41" s="4">
        <v>39.92081452049905</v>
      </c>
    </row>
    <row r="42" spans="2:13" x14ac:dyDescent="0.3">
      <c r="B42" s="1">
        <v>2042</v>
      </c>
      <c r="C42" s="4">
        <v>34.651963869311089</v>
      </c>
      <c r="D42" s="4">
        <v>35.188950190267938</v>
      </c>
      <c r="E42" s="4">
        <v>37.967578535230935</v>
      </c>
      <c r="F42" s="4">
        <v>37.530404701418227</v>
      </c>
      <c r="G42" s="4">
        <v>44.664897303659387</v>
      </c>
      <c r="H42" s="4">
        <v>40.222928037044817</v>
      </c>
    </row>
    <row r="43" spans="2:13" x14ac:dyDescent="0.3">
      <c r="B43" s="1">
        <v>2043</v>
      </c>
      <c r="C43" s="4">
        <v>34.883409303496208</v>
      </c>
      <c r="D43" s="4">
        <v>35.567157722812553</v>
      </c>
      <c r="E43" s="4">
        <v>38.321932514458936</v>
      </c>
      <c r="F43" s="4">
        <v>37.864117019075216</v>
      </c>
      <c r="G43" s="4">
        <v>45.171728980708487</v>
      </c>
      <c r="H43" s="4">
        <v>40.506255705528531</v>
      </c>
    </row>
    <row r="44" spans="2:13" x14ac:dyDescent="0.3">
      <c r="B44" s="1">
        <v>2044</v>
      </c>
      <c r="C44" s="4">
        <v>35.12977238862932</v>
      </c>
      <c r="D44" s="4">
        <v>35.965678573245022</v>
      </c>
      <c r="E44" s="4">
        <v>38.687437406063843</v>
      </c>
      <c r="F44" s="4">
        <v>38.205887630852473</v>
      </c>
      <c r="G44" s="4">
        <v>45.700037103217987</v>
      </c>
      <c r="H44" s="4">
        <v>40.802940680650693</v>
      </c>
      <c r="M44" s="13"/>
    </row>
    <row r="45" spans="2:13" x14ac:dyDescent="0.3">
      <c r="B45" s="1">
        <v>2045</v>
      </c>
      <c r="C45" s="4">
        <v>35.387837115624627</v>
      </c>
      <c r="D45" s="4">
        <v>36.353010576058139</v>
      </c>
      <c r="E45" s="4">
        <v>39.059398147126139</v>
      </c>
      <c r="F45" s="4">
        <v>38.563838183832466</v>
      </c>
      <c r="G45" s="4">
        <v>46.236879473231305</v>
      </c>
      <c r="H45" s="4">
        <v>41.095187887724514</v>
      </c>
      <c r="M45" s="13"/>
    </row>
    <row r="46" spans="2:13" x14ac:dyDescent="0.3">
      <c r="B46" s="1">
        <v>2046</v>
      </c>
      <c r="C46" s="4">
        <v>35.659879770133664</v>
      </c>
      <c r="D46" s="4">
        <v>36.742998477081663</v>
      </c>
      <c r="E46" s="4">
        <v>39.441197995237665</v>
      </c>
      <c r="F46" s="4">
        <v>38.94492192280201</v>
      </c>
      <c r="G46" s="4">
        <v>46.793115178830689</v>
      </c>
      <c r="H46" s="4">
        <v>41.395785553581526</v>
      </c>
      <c r="M46" s="13"/>
    </row>
    <row r="47" spans="2:13" x14ac:dyDescent="0.3">
      <c r="B47" s="1">
        <v>2047</v>
      </c>
      <c r="C47" s="4">
        <v>35.947058134527538</v>
      </c>
      <c r="D47" s="4">
        <v>37.16042592763791</v>
      </c>
      <c r="E47" s="4">
        <v>39.830677539853887</v>
      </c>
      <c r="F47" s="4">
        <v>39.32473364399641</v>
      </c>
      <c r="G47" s="4">
        <v>47.373429203712035</v>
      </c>
      <c r="H47" s="4">
        <v>41.698198144669838</v>
      </c>
    </row>
    <row r="48" spans="2:13" x14ac:dyDescent="0.3">
      <c r="B48" s="1">
        <v>2048</v>
      </c>
      <c r="C48" s="4">
        <v>36.253987654518696</v>
      </c>
      <c r="D48" s="4">
        <v>37.58886323179123</v>
      </c>
      <c r="E48" s="4">
        <v>40.237601292017857</v>
      </c>
      <c r="F48" s="4">
        <v>39.737348150737198</v>
      </c>
      <c r="G48" s="4">
        <v>47.975873823026639</v>
      </c>
      <c r="H48" s="4">
        <v>41.996582546731645</v>
      </c>
    </row>
    <row r="49" spans="2:32" x14ac:dyDescent="0.3">
      <c r="B49" s="1">
        <v>2049</v>
      </c>
      <c r="C49" s="4">
        <v>36.574971823988491</v>
      </c>
      <c r="D49" s="4">
        <v>38.028377594099737</v>
      </c>
      <c r="E49" s="4">
        <v>40.658136925532268</v>
      </c>
      <c r="F49" s="4">
        <v>40.177901215449587</v>
      </c>
      <c r="G49" s="4">
        <v>48.5854011069558</v>
      </c>
      <c r="H49" s="4">
        <v>42.280631679781692</v>
      </c>
    </row>
    <row r="50" spans="2:32" x14ac:dyDescent="0.3">
      <c r="B50" s="1">
        <v>2050</v>
      </c>
      <c r="C50" s="4">
        <v>36.911537701392845</v>
      </c>
      <c r="D50" s="4">
        <v>38.487629698954045</v>
      </c>
      <c r="E50" s="4">
        <v>41.094072739159117</v>
      </c>
      <c r="F50" s="4">
        <v>40.629578948857109</v>
      </c>
      <c r="G50" s="4">
        <v>49.2144141610923</v>
      </c>
      <c r="H50" s="4">
        <v>42.572520709302495</v>
      </c>
    </row>
    <row r="51" spans="2:32" x14ac:dyDescent="0.3">
      <c r="B51" s="1">
        <v>2051</v>
      </c>
      <c r="C51" s="4">
        <v>37.263443957032145</v>
      </c>
      <c r="D51" s="4">
        <v>38.970324707589334</v>
      </c>
      <c r="E51" s="4">
        <v>41.552690940609587</v>
      </c>
      <c r="F51" s="4">
        <v>41.10587035608296</v>
      </c>
    </row>
    <row r="52" spans="2:32" x14ac:dyDescent="0.3">
      <c r="B52" s="1">
        <v>2052</v>
      </c>
      <c r="C52" s="4">
        <v>37.641263944517775</v>
      </c>
      <c r="D52" s="4">
        <v>39.474280171178293</v>
      </c>
      <c r="E52" s="4">
        <v>42.041872352692721</v>
      </c>
      <c r="F52" s="4">
        <v>41.621009674277488</v>
      </c>
      <c r="M52" s="13"/>
    </row>
    <row r="53" spans="2:32" x14ac:dyDescent="0.3">
      <c r="B53" s="1">
        <v>2053</v>
      </c>
      <c r="C53" s="4">
        <v>38.042784413736747</v>
      </c>
      <c r="D53" s="4">
        <v>40.004879309772669</v>
      </c>
      <c r="E53" s="4">
        <v>42.565327047386361</v>
      </c>
      <c r="F53" s="4">
        <v>42.162492790311916</v>
      </c>
      <c r="M53" s="13"/>
    </row>
    <row r="54" spans="2:32" x14ac:dyDescent="0.3">
      <c r="B54" s="1">
        <v>2054</v>
      </c>
      <c r="C54" s="4">
        <v>38.461272727010133</v>
      </c>
      <c r="D54" s="4">
        <v>40.565720881872707</v>
      </c>
      <c r="E54" s="4">
        <v>43.125014370806269</v>
      </c>
      <c r="F54" s="4">
        <v>42.742654991159391</v>
      </c>
      <c r="M54" s="13"/>
      <c r="N54" s="4"/>
      <c r="O54" s="4"/>
      <c r="P54" s="4"/>
      <c r="Q54" s="4"/>
      <c r="R54" s="4"/>
      <c r="S54" s="4"/>
      <c r="T54" s="4"/>
      <c r="U54" s="4"/>
      <c r="V54" s="4"/>
      <c r="W54" s="4"/>
      <c r="X54" s="4"/>
      <c r="Y54" s="4"/>
      <c r="Z54" s="4"/>
      <c r="AA54" s="4"/>
      <c r="AB54" s="4"/>
      <c r="AC54" s="4"/>
      <c r="AD54" s="4"/>
      <c r="AE54" s="4"/>
      <c r="AF54" s="4"/>
    </row>
    <row r="55" spans="2:32" x14ac:dyDescent="0.3">
      <c r="B55" s="1">
        <v>2055</v>
      </c>
      <c r="C55" s="4">
        <v>38.912681916172112</v>
      </c>
      <c r="D55" s="4">
        <v>41.158837868035206</v>
      </c>
      <c r="E55" s="4">
        <v>43.725156368856595</v>
      </c>
      <c r="F55" s="4">
        <v>43.341402369650595</v>
      </c>
    </row>
    <row r="56" spans="2:32" x14ac:dyDescent="0.3">
      <c r="B56" s="1">
        <v>2056</v>
      </c>
      <c r="C56" s="4">
        <v>39.376277540767312</v>
      </c>
      <c r="D56" s="4">
        <v>41.769312716655968</v>
      </c>
      <c r="E56" s="4">
        <v>44.361044255159335</v>
      </c>
      <c r="F56" s="4">
        <v>43.99309099191899</v>
      </c>
    </row>
    <row r="57" spans="2:32" x14ac:dyDescent="0.3">
      <c r="B57" s="1">
        <v>2057</v>
      </c>
      <c r="C57" s="4">
        <v>39.846592849300379</v>
      </c>
      <c r="D57" s="4">
        <v>42.398187244881186</v>
      </c>
      <c r="E57" s="4">
        <v>45.013358070821987</v>
      </c>
      <c r="F57" s="4">
        <v>44.667039383403043</v>
      </c>
    </row>
    <row r="58" spans="2:32" x14ac:dyDescent="0.3">
      <c r="B58" s="1">
        <v>2058</v>
      </c>
      <c r="C58" s="4">
        <v>40.323407136610179</v>
      </c>
      <c r="D58" s="4">
        <v>43.032963325154043</v>
      </c>
      <c r="E58" s="4">
        <v>45.688819817734696</v>
      </c>
      <c r="F58" s="4">
        <v>45.35974085247372</v>
      </c>
    </row>
    <row r="59" spans="2:32" x14ac:dyDescent="0.3">
      <c r="B59" s="1">
        <v>2059</v>
      </c>
      <c r="C59" s="4">
        <v>40.799984547886666</v>
      </c>
      <c r="D59" s="4">
        <v>43.682998073403766</v>
      </c>
      <c r="E59" s="4">
        <v>46.380721298757479</v>
      </c>
      <c r="F59" s="4">
        <v>46.083642749813677</v>
      </c>
    </row>
    <row r="60" spans="2:32" x14ac:dyDescent="0.3">
      <c r="B60" s="1">
        <v>2060</v>
      </c>
      <c r="C60" s="4">
        <v>41.285278943285448</v>
      </c>
      <c r="D60" s="4">
        <v>44.35114982951027</v>
      </c>
      <c r="E60" s="4">
        <v>47.097647585842701</v>
      </c>
      <c r="F60" s="4">
        <v>46.833978785703742</v>
      </c>
    </row>
    <row r="61" spans="2:32" x14ac:dyDescent="0.3">
      <c r="B61" s="1">
        <v>2061</v>
      </c>
      <c r="C61" s="4">
        <v>41.771373217089803</v>
      </c>
      <c r="D61" s="4">
        <v>45.02701476723071</v>
      </c>
    </row>
    <row r="62" spans="2:32" x14ac:dyDescent="0.3">
      <c r="B62" s="1">
        <v>2062</v>
      </c>
      <c r="C62" s="4">
        <v>42.263470913911824</v>
      </c>
    </row>
    <row r="63" spans="2:32" x14ac:dyDescent="0.3">
      <c r="B63" s="1">
        <v>2063</v>
      </c>
      <c r="C63" s="4">
        <v>42.764204263070951</v>
      </c>
    </row>
    <row r="64" spans="2:32" x14ac:dyDescent="0.3">
      <c r="B64" s="1">
        <v>2064</v>
      </c>
      <c r="C64" s="4">
        <v>43.267969240184314</v>
      </c>
    </row>
    <row r="65" spans="2:3" x14ac:dyDescent="0.3">
      <c r="B65" s="1">
        <v>2065</v>
      </c>
      <c r="C65" s="4">
        <v>43.792066692772167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934F-17E7-4167-88E2-3340BBFDF4F7}">
  <sheetPr codeName="Sheet98"/>
  <dimension ref="B2:J71"/>
  <sheetViews>
    <sheetView showGridLines="0" zoomScaleNormal="100" workbookViewId="0"/>
  </sheetViews>
  <sheetFormatPr defaultColWidth="8.7109375" defaultRowHeight="16.5" x14ac:dyDescent="0.3"/>
  <cols>
    <col min="1" max="2" width="8.7109375" style="1"/>
    <col min="3" max="3" width="11.140625" style="1" bestFit="1" customWidth="1"/>
    <col min="4" max="6" width="10.85546875" style="1" bestFit="1" customWidth="1"/>
    <col min="7" max="8" width="11.140625" style="1" bestFit="1" customWidth="1"/>
    <col min="9" max="9" width="7.140625" style="1" bestFit="1" customWidth="1"/>
    <col min="10" max="16384" width="8.7109375" style="1"/>
  </cols>
  <sheetData>
    <row r="2" spans="2:10" x14ac:dyDescent="0.3">
      <c r="B2" s="95" t="s">
        <v>367</v>
      </c>
      <c r="C2" s="8"/>
      <c r="D2" s="8"/>
      <c r="E2" s="8"/>
      <c r="F2" s="8"/>
      <c r="G2" s="8"/>
      <c r="H2" s="8"/>
      <c r="I2" s="8"/>
      <c r="J2" s="8"/>
    </row>
    <row r="3" spans="2:10" x14ac:dyDescent="0.3">
      <c r="B3" s="8" t="s">
        <v>277</v>
      </c>
      <c r="C3" s="8"/>
      <c r="D3" s="8"/>
      <c r="E3" s="8"/>
      <c r="F3" s="8"/>
      <c r="G3" s="8"/>
      <c r="H3" s="8"/>
      <c r="I3" s="8"/>
      <c r="J3" s="8"/>
    </row>
    <row r="6" spans="2:10" x14ac:dyDescent="0.3">
      <c r="C6" s="1" t="s">
        <v>1</v>
      </c>
      <c r="D6" s="1" t="s">
        <v>17</v>
      </c>
      <c r="E6" s="1" t="s">
        <v>18</v>
      </c>
      <c r="F6" s="1" t="s">
        <v>19</v>
      </c>
      <c r="G6" s="1" t="s">
        <v>20</v>
      </c>
      <c r="H6" s="1" t="s">
        <v>21</v>
      </c>
      <c r="I6" s="1" t="s">
        <v>16</v>
      </c>
    </row>
    <row r="7" spans="2:10" x14ac:dyDescent="0.3">
      <c r="C7" s="1" t="s">
        <v>163</v>
      </c>
      <c r="D7" s="1" t="s">
        <v>163</v>
      </c>
      <c r="E7" s="1" t="s">
        <v>163</v>
      </c>
      <c r="F7" s="1" t="s">
        <v>163</v>
      </c>
      <c r="G7" s="1" t="s">
        <v>163</v>
      </c>
      <c r="H7" s="1" t="s">
        <v>163</v>
      </c>
      <c r="I7" s="1" t="s">
        <v>163</v>
      </c>
    </row>
    <row r="8" spans="2:10" x14ac:dyDescent="0.3">
      <c r="B8" s="1">
        <v>2002</v>
      </c>
      <c r="C8" s="4"/>
      <c r="H8" s="4"/>
      <c r="I8" s="4">
        <v>5.45</v>
      </c>
      <c r="J8" s="83"/>
    </row>
    <row r="9" spans="2:10" x14ac:dyDescent="0.3">
      <c r="B9" s="1">
        <v>2003</v>
      </c>
      <c r="C9" s="4"/>
      <c r="H9" s="4"/>
      <c r="I9" s="4">
        <v>5.6420000000000003</v>
      </c>
      <c r="J9" s="83"/>
    </row>
    <row r="10" spans="2:10" x14ac:dyDescent="0.3">
      <c r="B10" s="1">
        <v>2004</v>
      </c>
      <c r="C10" s="4"/>
      <c r="H10" s="4"/>
      <c r="I10" s="4">
        <v>5.8890000000000002</v>
      </c>
      <c r="J10" s="83"/>
    </row>
    <row r="11" spans="2:10" x14ac:dyDescent="0.3">
      <c r="B11" s="1">
        <v>2005</v>
      </c>
      <c r="C11" s="4"/>
      <c r="E11" s="4"/>
      <c r="H11" s="4">
        <v>6.0830000000000002</v>
      </c>
      <c r="I11" s="4">
        <v>6.0830000000000002</v>
      </c>
      <c r="J11" s="83"/>
    </row>
    <row r="12" spans="2:10" x14ac:dyDescent="0.3">
      <c r="B12" s="1">
        <v>2006</v>
      </c>
      <c r="C12" s="4"/>
      <c r="E12" s="4"/>
      <c r="H12" s="4">
        <v>6.415</v>
      </c>
      <c r="I12" s="4">
        <v>6.4139999999999997</v>
      </c>
      <c r="J12" s="83"/>
    </row>
    <row r="13" spans="2:10" x14ac:dyDescent="0.3">
      <c r="B13" s="1">
        <v>2007</v>
      </c>
      <c r="C13" s="4"/>
      <c r="E13" s="4"/>
      <c r="F13" s="4"/>
      <c r="G13" s="4">
        <v>6.81</v>
      </c>
      <c r="H13" s="4">
        <v>6.782</v>
      </c>
      <c r="I13" s="4">
        <v>6.81</v>
      </c>
      <c r="J13" s="83"/>
    </row>
    <row r="14" spans="2:10" x14ac:dyDescent="0.3">
      <c r="B14" s="1">
        <v>2008</v>
      </c>
      <c r="C14" s="4"/>
      <c r="E14" s="4"/>
      <c r="F14" s="4"/>
      <c r="G14" s="4">
        <v>7.3479999999999999</v>
      </c>
      <c r="H14" s="4">
        <v>7.1580000000000004</v>
      </c>
      <c r="I14" s="4">
        <v>7.3479999999999999</v>
      </c>
      <c r="J14" s="83"/>
    </row>
    <row r="15" spans="2:10" x14ac:dyDescent="0.3">
      <c r="B15" s="1">
        <v>2009</v>
      </c>
      <c r="C15" s="4"/>
      <c r="E15" s="4"/>
      <c r="F15" s="4"/>
      <c r="G15" s="4">
        <v>7.7439999999999998</v>
      </c>
      <c r="H15" s="4">
        <v>7.492</v>
      </c>
      <c r="I15" s="4">
        <v>7.7439999999999998</v>
      </c>
      <c r="J15" s="83"/>
    </row>
    <row r="16" spans="2:10" x14ac:dyDescent="0.3">
      <c r="B16" s="1">
        <v>2010</v>
      </c>
      <c r="C16" s="4"/>
      <c r="E16" s="4"/>
      <c r="F16" s="4"/>
      <c r="G16" s="4">
        <v>8.2460000000000004</v>
      </c>
      <c r="H16" s="4">
        <v>7.9020000000000001</v>
      </c>
      <c r="I16" s="4">
        <v>8.2899999999999991</v>
      </c>
      <c r="J16" s="83"/>
    </row>
    <row r="17" spans="2:10" x14ac:dyDescent="0.3">
      <c r="B17" s="1">
        <v>2011</v>
      </c>
      <c r="C17" s="4"/>
      <c r="E17" s="4"/>
      <c r="F17" s="4">
        <v>8.83</v>
      </c>
      <c r="G17" s="4">
        <v>8.6649999999999991</v>
      </c>
      <c r="H17" s="4">
        <v>8.4189574258588262</v>
      </c>
      <c r="I17" s="4">
        <v>8.83</v>
      </c>
      <c r="J17" s="83"/>
    </row>
    <row r="18" spans="2:10" x14ac:dyDescent="0.3">
      <c r="B18" s="1">
        <v>2012</v>
      </c>
      <c r="C18" s="4"/>
      <c r="E18" s="4"/>
      <c r="F18" s="4">
        <v>9.5839999999999996</v>
      </c>
      <c r="G18" s="4">
        <v>9.1859999999999999</v>
      </c>
      <c r="H18" s="4">
        <v>9.0627569590430301</v>
      </c>
      <c r="I18" s="4">
        <v>9.5839999999999996</v>
      </c>
      <c r="J18" s="83"/>
    </row>
    <row r="19" spans="2:10" x14ac:dyDescent="0.3">
      <c r="B19" s="1">
        <v>2013</v>
      </c>
      <c r="C19" s="4"/>
      <c r="E19" s="4"/>
      <c r="F19" s="4">
        <v>10.234999999999999</v>
      </c>
      <c r="G19" s="4">
        <v>9.6660000000000004</v>
      </c>
      <c r="H19" s="4">
        <v>9.7273754933253347</v>
      </c>
      <c r="I19" s="4">
        <v>10.234999999999999</v>
      </c>
      <c r="J19" s="83"/>
    </row>
    <row r="20" spans="2:10" x14ac:dyDescent="0.3">
      <c r="B20" s="1">
        <v>2014</v>
      </c>
      <c r="C20" s="4"/>
      <c r="E20" s="4"/>
      <c r="F20" s="4">
        <v>10.894</v>
      </c>
      <c r="G20" s="4">
        <v>10.223801700259253</v>
      </c>
      <c r="H20" s="4">
        <v>10.414751264314498</v>
      </c>
      <c r="I20" s="4">
        <v>10.913</v>
      </c>
      <c r="J20" s="83"/>
    </row>
    <row r="21" spans="2:10" x14ac:dyDescent="0.3">
      <c r="B21" s="1">
        <v>2015</v>
      </c>
      <c r="C21" s="4"/>
      <c r="E21" s="4">
        <v>11.590999999999999</v>
      </c>
      <c r="F21" s="4">
        <v>11.494999999999999</v>
      </c>
      <c r="G21" s="4">
        <v>10.915914071132661</v>
      </c>
      <c r="H21" s="4">
        <v>11.14336532555688</v>
      </c>
      <c r="I21" s="4">
        <v>11.590999999999999</v>
      </c>
      <c r="J21" s="83"/>
    </row>
    <row r="22" spans="2:10" x14ac:dyDescent="0.3">
      <c r="B22" s="1">
        <v>2016</v>
      </c>
      <c r="C22" s="4"/>
      <c r="E22" s="4">
        <v>12.260999999999999</v>
      </c>
      <c r="F22" s="4">
        <v>12.102</v>
      </c>
      <c r="G22" s="4">
        <v>11.628113475432272</v>
      </c>
      <c r="H22" s="4">
        <v>11.901301567329869</v>
      </c>
      <c r="I22" s="4">
        <v>12.266999999999999</v>
      </c>
      <c r="J22" s="83"/>
    </row>
    <row r="23" spans="2:10" x14ac:dyDescent="0.3">
      <c r="B23" s="1">
        <v>2017</v>
      </c>
      <c r="C23" s="4"/>
      <c r="D23" s="4"/>
      <c r="E23" s="4">
        <v>12.912000000000001</v>
      </c>
      <c r="F23" s="4">
        <v>12.712</v>
      </c>
      <c r="G23" s="4">
        <v>12.378123577763784</v>
      </c>
      <c r="H23" s="4">
        <v>12.705290105791109</v>
      </c>
      <c r="I23" s="4">
        <v>13.042999999999999</v>
      </c>
      <c r="J23" s="83"/>
    </row>
    <row r="24" spans="2:10" x14ac:dyDescent="0.3">
      <c r="B24" s="1">
        <v>2018</v>
      </c>
      <c r="C24" s="4"/>
      <c r="D24" s="4"/>
      <c r="E24" s="4">
        <v>13.473000000000001</v>
      </c>
      <c r="F24" s="4">
        <v>13.468656731141532</v>
      </c>
      <c r="G24" s="4">
        <v>13.163957073173362</v>
      </c>
      <c r="H24" s="4">
        <v>13.550470750019684</v>
      </c>
      <c r="I24" s="4">
        <v>13.699</v>
      </c>
      <c r="J24" s="83"/>
    </row>
    <row r="25" spans="2:10" x14ac:dyDescent="0.3">
      <c r="B25" s="1">
        <v>2019</v>
      </c>
      <c r="C25" s="4">
        <v>14.561999999999999</v>
      </c>
      <c r="D25" s="4">
        <v>14.561999999999999</v>
      </c>
      <c r="E25" s="4">
        <v>14.161</v>
      </c>
      <c r="F25" s="4">
        <v>14.209002604683519</v>
      </c>
      <c r="G25" s="4">
        <v>14.007301840872335</v>
      </c>
      <c r="H25" s="4">
        <v>14.461114382175927</v>
      </c>
      <c r="I25" s="4">
        <v>14.561999999999999</v>
      </c>
      <c r="J25" s="83"/>
    </row>
    <row r="26" spans="2:10" x14ac:dyDescent="0.3">
      <c r="B26" s="1">
        <v>2020</v>
      </c>
      <c r="C26" s="4">
        <v>15.521000000000001</v>
      </c>
      <c r="D26" s="4">
        <v>15.521000000000001</v>
      </c>
      <c r="E26" s="4">
        <v>14.916</v>
      </c>
      <c r="F26" s="4">
        <v>15.015889222404885</v>
      </c>
      <c r="G26" s="4">
        <v>14.902913043254779</v>
      </c>
      <c r="H26" s="4">
        <v>15.435807155579671</v>
      </c>
      <c r="I26" s="4">
        <v>15.521000000000001</v>
      </c>
      <c r="J26" s="83"/>
    </row>
    <row r="27" spans="2:10" x14ac:dyDescent="0.3">
      <c r="B27" s="1">
        <v>2021</v>
      </c>
      <c r="C27" s="4">
        <v>16.568999999999999</v>
      </c>
      <c r="D27" s="4">
        <v>16.553999999999998</v>
      </c>
      <c r="E27" s="4">
        <v>15.736157684123881</v>
      </c>
      <c r="F27" s="4">
        <v>16.010570177638794</v>
      </c>
      <c r="G27" s="4">
        <v>15.868106953695564</v>
      </c>
      <c r="H27" s="4">
        <v>16.487343958357798</v>
      </c>
      <c r="I27" s="4">
        <v>16.568999999999999</v>
      </c>
      <c r="J27" s="83"/>
    </row>
    <row r="28" spans="2:10" x14ac:dyDescent="0.3">
      <c r="B28" s="1">
        <v>2022</v>
      </c>
      <c r="C28" s="4">
        <v>17.763999999999999</v>
      </c>
      <c r="D28" s="4">
        <v>17.690999999999999</v>
      </c>
      <c r="E28" s="4">
        <v>16.756594314454279</v>
      </c>
      <c r="F28" s="4">
        <v>17.118138013587576</v>
      </c>
      <c r="G28" s="4">
        <v>16.8897152095061</v>
      </c>
      <c r="H28" s="4">
        <v>17.609387384340028</v>
      </c>
      <c r="I28" s="4">
        <v>17.763999999999999</v>
      </c>
      <c r="J28" s="83"/>
    </row>
    <row r="29" spans="2:10" x14ac:dyDescent="0.3">
      <c r="B29" s="1">
        <v>2023</v>
      </c>
      <c r="C29" s="4">
        <v>19.516999999999999</v>
      </c>
      <c r="D29" s="4">
        <v>18.931000000000001</v>
      </c>
      <c r="E29" s="4">
        <v>17.917605386978057</v>
      </c>
      <c r="F29" s="4">
        <v>18.287283352916536</v>
      </c>
      <c r="G29" s="4">
        <v>17.95898529737217</v>
      </c>
      <c r="H29" s="4">
        <v>18.798676895978041</v>
      </c>
      <c r="I29" s="4">
        <v>19.516999999999999</v>
      </c>
      <c r="J29" s="83"/>
    </row>
    <row r="30" spans="2:10" x14ac:dyDescent="0.3">
      <c r="B30" s="1">
        <v>2024</v>
      </c>
      <c r="C30" s="4">
        <v>21.574000000000002</v>
      </c>
      <c r="D30" s="4">
        <v>19.977</v>
      </c>
      <c r="E30" s="4">
        <v>19.179708906509557</v>
      </c>
      <c r="F30" s="4">
        <v>19.561430640615846</v>
      </c>
      <c r="G30" s="4">
        <v>19.1903017904419</v>
      </c>
      <c r="H30" s="4">
        <v>20.100974448201452</v>
      </c>
      <c r="I30" s="4">
        <v>21.574000000000002</v>
      </c>
      <c r="J30" s="83"/>
    </row>
    <row r="31" spans="2:10" x14ac:dyDescent="0.3">
      <c r="B31" s="1">
        <v>2025</v>
      </c>
      <c r="C31" s="4">
        <v>23.18</v>
      </c>
      <c r="D31" s="4">
        <v>21.021999999999998</v>
      </c>
      <c r="E31" s="4">
        <v>20.512926894170981</v>
      </c>
      <c r="F31" s="4">
        <v>20.906095139556342</v>
      </c>
      <c r="G31" s="4">
        <v>20.490377867445314</v>
      </c>
      <c r="H31" s="4">
        <v>21.476973794610085</v>
      </c>
    </row>
    <row r="32" spans="2:10" x14ac:dyDescent="0.3">
      <c r="B32" s="1">
        <v>2026</v>
      </c>
      <c r="C32" s="4">
        <v>24.690999999999999</v>
      </c>
      <c r="D32" s="4">
        <v>22.466089546039989</v>
      </c>
      <c r="E32" s="4">
        <v>21.950269939006439</v>
      </c>
      <c r="F32" s="4">
        <v>22.359237391442296</v>
      </c>
      <c r="G32" s="4">
        <v>21.89683971155722</v>
      </c>
      <c r="H32" s="4">
        <v>22.966058800460566</v>
      </c>
    </row>
    <row r="33" spans="2:8" x14ac:dyDescent="0.3">
      <c r="B33" s="1">
        <v>2027</v>
      </c>
      <c r="C33" s="4">
        <v>26.116</v>
      </c>
      <c r="D33" s="4">
        <v>23.977633385101335</v>
      </c>
      <c r="E33" s="4">
        <v>23.483284568229102</v>
      </c>
      <c r="F33" s="4">
        <v>23.896102008268009</v>
      </c>
      <c r="G33" s="4">
        <v>23.388219785234085</v>
      </c>
      <c r="H33" s="4">
        <v>24.550181699459003</v>
      </c>
    </row>
    <row r="34" spans="2:8" x14ac:dyDescent="0.3">
      <c r="B34" s="1">
        <v>2028</v>
      </c>
      <c r="C34" s="4">
        <v>27.605</v>
      </c>
      <c r="D34" s="4">
        <v>25.530580116253777</v>
      </c>
      <c r="E34" s="4">
        <v>25.071911918462842</v>
      </c>
      <c r="F34" s="4">
        <v>25.49378124118665</v>
      </c>
      <c r="G34" s="4">
        <v>24.939177169436892</v>
      </c>
      <c r="H34" s="4">
        <v>26.198436165624418</v>
      </c>
    </row>
    <row r="35" spans="2:8" x14ac:dyDescent="0.3">
      <c r="B35" s="1">
        <v>2029</v>
      </c>
      <c r="C35" s="4">
        <v>28.957000000000001</v>
      </c>
      <c r="D35" s="4">
        <v>27.10456931377475</v>
      </c>
      <c r="E35" s="4">
        <v>26.70158128432065</v>
      </c>
      <c r="F35" s="4">
        <v>27.122651087839049</v>
      </c>
      <c r="G35" s="4">
        <v>26.521391119131493</v>
      </c>
      <c r="H35" s="4">
        <v>27.889689648330503</v>
      </c>
    </row>
    <row r="36" spans="2:8" x14ac:dyDescent="0.3">
      <c r="B36" s="1">
        <v>2030</v>
      </c>
      <c r="C36" s="4">
        <v>30.388607064394471</v>
      </c>
      <c r="D36" s="4">
        <v>28.685261488501279</v>
      </c>
      <c r="E36" s="4">
        <v>28.335366844264747</v>
      </c>
      <c r="F36" s="4">
        <v>28.759576706175586</v>
      </c>
      <c r="G36" s="4">
        <v>28.110226060629188</v>
      </c>
      <c r="H36" s="4">
        <v>29.589498778955715</v>
      </c>
    </row>
    <row r="37" spans="2:8" x14ac:dyDescent="0.3">
      <c r="B37" s="1">
        <v>2031</v>
      </c>
      <c r="C37" s="4">
        <v>32.034000361558299</v>
      </c>
      <c r="D37" s="4">
        <v>30.285144999988969</v>
      </c>
      <c r="E37" s="4">
        <v>30.011171744446052</v>
      </c>
      <c r="F37" s="4">
        <v>30.436470092830696</v>
      </c>
      <c r="G37" s="4">
        <v>29.740556727216752</v>
      </c>
      <c r="H37" s="4">
        <v>31.329002254159391</v>
      </c>
    </row>
    <row r="38" spans="2:8" x14ac:dyDescent="0.3">
      <c r="B38" s="1">
        <v>2032</v>
      </c>
      <c r="C38" s="4">
        <v>33.747356919972063</v>
      </c>
      <c r="D38" s="4">
        <v>31.938202483004236</v>
      </c>
      <c r="E38" s="4">
        <v>31.756157643303581</v>
      </c>
      <c r="F38" s="4">
        <v>32.160325062831532</v>
      </c>
      <c r="G38" s="4">
        <v>31.424990034428252</v>
      </c>
      <c r="H38" s="4">
        <v>33.151439206147892</v>
      </c>
    </row>
    <row r="39" spans="2:8" x14ac:dyDescent="0.3">
      <c r="B39" s="1">
        <v>2033</v>
      </c>
      <c r="C39" s="4">
        <v>35.538801968424863</v>
      </c>
      <c r="D39" s="4">
        <v>33.672188971686282</v>
      </c>
      <c r="E39" s="4">
        <v>33.580646375546735</v>
      </c>
      <c r="F39" s="4">
        <v>33.952924282213104</v>
      </c>
      <c r="G39" s="4">
        <v>33.180471430187396</v>
      </c>
      <c r="H39" s="4">
        <v>35.048571811475753</v>
      </c>
    </row>
    <row r="40" spans="2:8" x14ac:dyDescent="0.3">
      <c r="B40" s="1">
        <v>2034</v>
      </c>
      <c r="C40" s="4">
        <v>37.424580331775779</v>
      </c>
      <c r="D40" s="4">
        <v>35.486589543269133</v>
      </c>
      <c r="E40" s="4">
        <v>35.48726154367143</v>
      </c>
      <c r="F40" s="4">
        <v>35.832006347025477</v>
      </c>
      <c r="G40" s="4">
        <v>35.021336593082061</v>
      </c>
      <c r="H40" s="4">
        <v>37.025129742114842</v>
      </c>
    </row>
    <row r="41" spans="2:8" x14ac:dyDescent="0.3">
      <c r="B41" s="1">
        <v>2035</v>
      </c>
      <c r="C41" s="4">
        <v>39.357618674312164</v>
      </c>
      <c r="D41" s="4">
        <v>37.341926681693302</v>
      </c>
      <c r="E41" s="4">
        <v>37.451360723820279</v>
      </c>
      <c r="F41" s="4">
        <v>37.751839159327652</v>
      </c>
      <c r="G41" s="4">
        <v>36.911037718748645</v>
      </c>
      <c r="H41" s="4">
        <v>39.061553868511417</v>
      </c>
    </row>
    <row r="42" spans="2:8" x14ac:dyDescent="0.3">
      <c r="B42" s="1">
        <v>2036</v>
      </c>
      <c r="C42" s="4">
        <v>41.42849061630772</v>
      </c>
      <c r="D42" s="4">
        <v>39.307853690915685</v>
      </c>
      <c r="E42" s="4">
        <v>39.531819289939975</v>
      </c>
      <c r="F42" s="4">
        <v>39.77695476700562</v>
      </c>
      <c r="G42" s="4">
        <v>38.910943657267197</v>
      </c>
      <c r="H42" s="4">
        <v>41.211834900796305</v>
      </c>
    </row>
    <row r="43" spans="2:8" x14ac:dyDescent="0.3">
      <c r="B43" s="1">
        <v>2037</v>
      </c>
      <c r="C43" s="4">
        <v>43.534217515636186</v>
      </c>
      <c r="D43" s="4">
        <v>41.31072687637424</v>
      </c>
      <c r="E43" s="4">
        <v>41.650016590691848</v>
      </c>
      <c r="F43" s="4">
        <v>41.83738316414793</v>
      </c>
      <c r="G43" s="4">
        <v>40.952998380079194</v>
      </c>
      <c r="H43" s="4">
        <v>43.418083627886716</v>
      </c>
    </row>
    <row r="44" spans="2:8" x14ac:dyDescent="0.3">
      <c r="B44" s="1">
        <v>2038</v>
      </c>
      <c r="C44" s="4">
        <v>45.631270409752133</v>
      </c>
      <c r="D44" s="4">
        <v>43.290995239703378</v>
      </c>
      <c r="E44" s="4">
        <v>43.771479613469502</v>
      </c>
      <c r="F44" s="4">
        <v>43.871000957512202</v>
      </c>
      <c r="G44" s="4">
        <v>42.976023517107159</v>
      </c>
      <c r="H44" s="4">
        <v>45.604437773398132</v>
      </c>
    </row>
    <row r="45" spans="2:8" x14ac:dyDescent="0.3">
      <c r="B45" s="1">
        <v>2039</v>
      </c>
      <c r="C45" s="4">
        <v>47.722074920961184</v>
      </c>
      <c r="D45" s="4">
        <v>45.253587234381285</v>
      </c>
      <c r="E45" s="4">
        <v>45.88332601870848</v>
      </c>
      <c r="F45" s="4">
        <v>45.884624260705579</v>
      </c>
      <c r="G45" s="4">
        <v>44.992954882455365</v>
      </c>
      <c r="H45" s="4">
        <v>47.791081167015982</v>
      </c>
    </row>
    <row r="46" spans="2:8" x14ac:dyDescent="0.3">
      <c r="B46" s="1">
        <v>2040</v>
      </c>
      <c r="C46" s="4">
        <v>49.786174064705399</v>
      </c>
      <c r="D46" s="4">
        <v>47.184809400965733</v>
      </c>
      <c r="E46" s="4">
        <v>47.975154993116782</v>
      </c>
      <c r="F46" s="4">
        <v>47.883150702154609</v>
      </c>
      <c r="G46" s="4">
        <v>46.998503691286466</v>
      </c>
      <c r="H46" s="4">
        <v>49.953540896459799</v>
      </c>
    </row>
    <row r="47" spans="2:8" x14ac:dyDescent="0.3">
      <c r="B47" s="1">
        <v>2041</v>
      </c>
      <c r="C47" s="4">
        <v>51.847652612579616</v>
      </c>
      <c r="D47" s="4">
        <v>49.0867870048911</v>
      </c>
      <c r="E47" s="4">
        <v>50.038121904694734</v>
      </c>
      <c r="F47" s="4">
        <v>49.859383809325017</v>
      </c>
      <c r="G47" s="4">
        <v>48.997773002923978</v>
      </c>
      <c r="H47" s="4">
        <v>52.086782359107239</v>
      </c>
    </row>
    <row r="48" spans="2:8" x14ac:dyDescent="0.3">
      <c r="B48" s="1">
        <v>2042</v>
      </c>
      <c r="C48" s="4">
        <v>53.988241404926661</v>
      </c>
      <c r="D48" s="4">
        <v>51.039883325936366</v>
      </c>
      <c r="E48" s="4">
        <v>52.158403402235066</v>
      </c>
      <c r="F48" s="4">
        <v>51.885262850357392</v>
      </c>
      <c r="G48" s="4">
        <v>51.05566500382011</v>
      </c>
      <c r="H48" s="4">
        <v>54.277782999632805</v>
      </c>
    </row>
    <row r="49" spans="2:8" x14ac:dyDescent="0.3">
      <c r="B49" s="1">
        <v>2043</v>
      </c>
      <c r="C49" s="4">
        <v>56.164686186090492</v>
      </c>
      <c r="D49" s="4">
        <v>53.015708642511555</v>
      </c>
      <c r="E49" s="4">
        <v>54.295168192970195</v>
      </c>
      <c r="F49" s="4">
        <v>53.941164370201811</v>
      </c>
      <c r="G49" s="4">
        <v>53.148587608982965</v>
      </c>
      <c r="H49" s="4">
        <v>56.474080055859254</v>
      </c>
    </row>
    <row r="50" spans="2:8" x14ac:dyDescent="0.3">
      <c r="B50" s="1">
        <v>2044</v>
      </c>
      <c r="C50" s="4">
        <v>58.495848243194402</v>
      </c>
      <c r="D50" s="4">
        <v>55.107117689173855</v>
      </c>
      <c r="E50" s="4">
        <v>56.545460888745801</v>
      </c>
      <c r="F50" s="4">
        <v>56.119436751530301</v>
      </c>
      <c r="G50" s="4">
        <v>55.364602977524875</v>
      </c>
      <c r="H50" s="4">
        <v>58.783311503598249</v>
      </c>
    </row>
    <row r="51" spans="2:8" x14ac:dyDescent="0.3">
      <c r="B51" s="1">
        <v>2045</v>
      </c>
      <c r="C51" s="4">
        <v>60.958726480965794</v>
      </c>
      <c r="D51" s="4">
        <v>57.287208047506468</v>
      </c>
      <c r="E51" s="4">
        <v>58.870042174343929</v>
      </c>
      <c r="F51" s="4">
        <v>58.412438806702809</v>
      </c>
      <c r="G51" s="4">
        <v>57.680590588897594</v>
      </c>
      <c r="H51" s="4">
        <v>61.162092970401631</v>
      </c>
    </row>
    <row r="52" spans="2:8" x14ac:dyDescent="0.3">
      <c r="B52" s="1">
        <v>2046</v>
      </c>
      <c r="C52" s="4">
        <v>63.563352472789759</v>
      </c>
      <c r="D52" s="4">
        <v>59.55847873740062</v>
      </c>
      <c r="E52" s="4">
        <v>61.289176774335203</v>
      </c>
      <c r="F52" s="4">
        <v>60.824236399925738</v>
      </c>
      <c r="G52" s="4">
        <v>60.118625751245936</v>
      </c>
      <c r="H52" s="4">
        <v>63.626778073810392</v>
      </c>
    </row>
    <row r="53" spans="2:8" x14ac:dyDescent="0.3">
      <c r="B53" s="1">
        <v>2047</v>
      </c>
      <c r="C53" s="4">
        <v>66.331045533374962</v>
      </c>
      <c r="D53" s="4">
        <v>61.957540095527932</v>
      </c>
      <c r="E53" s="4">
        <v>63.812722380378375</v>
      </c>
      <c r="F53" s="4">
        <v>63.392447127925379</v>
      </c>
      <c r="G53" s="4">
        <v>62.684935837298106</v>
      </c>
      <c r="H53" s="4">
        <v>66.158419985662619</v>
      </c>
    </row>
    <row r="54" spans="2:8" x14ac:dyDescent="0.3">
      <c r="B54" s="1">
        <v>2048</v>
      </c>
      <c r="C54" s="4">
        <v>69.297005539872345</v>
      </c>
      <c r="D54" s="4">
        <v>64.484575984855724</v>
      </c>
      <c r="E54" s="4">
        <v>66.488143343535967</v>
      </c>
      <c r="F54" s="4">
        <v>66.137108499168065</v>
      </c>
      <c r="G54" s="4">
        <v>65.401773032596623</v>
      </c>
      <c r="H54" s="4">
        <v>68.769623410069016</v>
      </c>
    </row>
    <row r="55" spans="2:8" x14ac:dyDescent="0.3">
      <c r="B55" s="1">
        <v>2049</v>
      </c>
      <c r="C55" s="4">
        <v>72.424645127525068</v>
      </c>
      <c r="D55" s="4">
        <v>67.136511172374128</v>
      </c>
      <c r="E55" s="4">
        <v>69.267448193982133</v>
      </c>
      <c r="F55" s="4">
        <v>69.007333868222489</v>
      </c>
      <c r="G55" s="4">
        <v>68.197178296657782</v>
      </c>
      <c r="H55" s="4">
        <v>71.429638566893104</v>
      </c>
    </row>
    <row r="56" spans="2:8" x14ac:dyDescent="0.3">
      <c r="B56" s="1">
        <v>2050</v>
      </c>
      <c r="C56" s="4">
        <v>75.739633325991505</v>
      </c>
      <c r="D56" s="4">
        <v>69.907500947387248</v>
      </c>
      <c r="E56" s="4">
        <v>72.171994017859504</v>
      </c>
      <c r="F56" s="4">
        <v>72.020644511263001</v>
      </c>
      <c r="G56" s="4">
        <v>71.068383364271241</v>
      </c>
      <c r="H56" s="4">
        <v>74.151929327350871</v>
      </c>
    </row>
    <row r="57" spans="2:8" x14ac:dyDescent="0.3">
      <c r="B57" s="1">
        <v>2051</v>
      </c>
      <c r="C57" s="4">
        <v>79.245752939478052</v>
      </c>
      <c r="D57" s="4">
        <v>72.825016663478792</v>
      </c>
      <c r="E57" s="4">
        <v>75.247124744946859</v>
      </c>
      <c r="F57" s="4">
        <v>75.21244295306991</v>
      </c>
    </row>
    <row r="58" spans="2:8" x14ac:dyDescent="0.3">
      <c r="B58" s="1">
        <v>2052</v>
      </c>
      <c r="C58" s="4">
        <v>83.061381996353816</v>
      </c>
      <c r="D58" s="4">
        <v>75.951910650035728</v>
      </c>
      <c r="E58" s="4">
        <v>78.523565239221526</v>
      </c>
      <c r="F58" s="4">
        <v>78.570038995918594</v>
      </c>
    </row>
    <row r="59" spans="2:8" x14ac:dyDescent="0.3">
      <c r="B59" s="1">
        <v>2053</v>
      </c>
      <c r="C59" s="4">
        <v>87.188383635528865</v>
      </c>
      <c r="D59" s="4">
        <v>79.365393952996996</v>
      </c>
      <c r="E59" s="4">
        <v>82.085340568626279</v>
      </c>
      <c r="F59" s="4">
        <v>82.224344763796964</v>
      </c>
    </row>
    <row r="60" spans="2:8" x14ac:dyDescent="0.3">
      <c r="B60" s="1">
        <v>2054</v>
      </c>
      <c r="C60" s="4">
        <v>91.551205841881583</v>
      </c>
      <c r="D60" s="4">
        <v>82.951862613602145</v>
      </c>
      <c r="E60" s="4">
        <v>85.916962030497459</v>
      </c>
      <c r="F60" s="4">
        <v>86.149898762515932</v>
      </c>
    </row>
    <row r="61" spans="2:8" x14ac:dyDescent="0.3">
      <c r="B61" s="1">
        <v>2055</v>
      </c>
      <c r="C61" s="4">
        <v>96.269461527080992</v>
      </c>
      <c r="D61" s="4">
        <v>86.850674996547198</v>
      </c>
      <c r="E61" s="4">
        <v>90.089945614700184</v>
      </c>
      <c r="F61" s="4">
        <v>90.428454158145811</v>
      </c>
    </row>
    <row r="62" spans="2:8" x14ac:dyDescent="0.3">
      <c r="B62" s="1">
        <v>2056</v>
      </c>
      <c r="C62" s="4">
        <v>101.24229365143159</v>
      </c>
      <c r="D62" s="4">
        <v>90.959045816583725</v>
      </c>
      <c r="E62" s="4">
        <v>94.59794722898144</v>
      </c>
      <c r="F62" s="4">
        <v>95.0084326872974</v>
      </c>
    </row>
    <row r="63" spans="2:8" x14ac:dyDescent="0.3">
      <c r="B63" s="1">
        <v>2057</v>
      </c>
      <c r="C63" s="4">
        <v>106.3784882262771</v>
      </c>
      <c r="D63" s="4">
        <v>95.201610592578675</v>
      </c>
      <c r="E63" s="4">
        <v>99.232327652486816</v>
      </c>
      <c r="F63" s="4">
        <v>99.685890249226446</v>
      </c>
    </row>
    <row r="64" spans="2:8" x14ac:dyDescent="0.3">
      <c r="B64" s="1">
        <v>2058</v>
      </c>
      <c r="C64" s="4">
        <v>111.61760631153557</v>
      </c>
      <c r="D64" s="4">
        <v>99.531937128637495</v>
      </c>
      <c r="E64" s="4">
        <v>104.07193000661205</v>
      </c>
      <c r="F64" s="4">
        <v>104.56396034402525</v>
      </c>
    </row>
    <row r="65" spans="2:6" x14ac:dyDescent="0.3">
      <c r="B65" s="1">
        <v>2059</v>
      </c>
      <c r="C65" s="4">
        <v>116.89712103627468</v>
      </c>
      <c r="D65" s="4">
        <v>103.8770078703491</v>
      </c>
      <c r="E65" s="4">
        <v>109.07312828189313</v>
      </c>
      <c r="F65" s="4">
        <v>109.59464461198783</v>
      </c>
    </row>
    <row r="66" spans="2:6" x14ac:dyDescent="0.3">
      <c r="B66" s="1">
        <v>2060</v>
      </c>
      <c r="C66" s="4">
        <v>122.32557409709224</v>
      </c>
      <c r="D66" s="4">
        <v>108.35189717520514</v>
      </c>
      <c r="E66" s="4">
        <v>114.31452376693127</v>
      </c>
      <c r="F66" s="4">
        <v>114.87200984422552</v>
      </c>
    </row>
    <row r="67" spans="2:6" x14ac:dyDescent="0.3">
      <c r="B67" s="1">
        <v>2061</v>
      </c>
      <c r="C67" s="4">
        <v>127.83520324960797</v>
      </c>
      <c r="D67" s="4">
        <v>112.95789296583342</v>
      </c>
    </row>
    <row r="68" spans="2:6" x14ac:dyDescent="0.3">
      <c r="B68" s="1">
        <v>2062</v>
      </c>
      <c r="C68" s="4">
        <v>133.43536020783932</v>
      </c>
    </row>
    <row r="69" spans="2:6" x14ac:dyDescent="0.3">
      <c r="B69" s="1">
        <v>2063</v>
      </c>
      <c r="C69" s="4">
        <v>139.18622859161599</v>
      </c>
    </row>
    <row r="70" spans="2:6" x14ac:dyDescent="0.3">
      <c r="B70" s="1">
        <v>2064</v>
      </c>
      <c r="C70" s="4">
        <v>145.00934988234584</v>
      </c>
    </row>
    <row r="71" spans="2:6" x14ac:dyDescent="0.3">
      <c r="B71" s="1">
        <v>2065</v>
      </c>
      <c r="C71" s="4">
        <v>151.21942218754629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97F7F-D9C8-48F2-B0CE-6FC291CA5EFF}">
  <sheetPr codeName="Sheet101"/>
  <dimension ref="B2:X68"/>
  <sheetViews>
    <sheetView showGridLines="0" zoomScaleNormal="100" workbookViewId="0"/>
  </sheetViews>
  <sheetFormatPr defaultColWidth="8.7109375" defaultRowHeight="16.5" x14ac:dyDescent="0.3"/>
  <cols>
    <col min="1" max="2" width="8.7109375" style="1"/>
    <col min="3" max="8" width="9.42578125" style="1" bestFit="1" customWidth="1"/>
    <col min="9" max="9" width="6.28515625" style="1" bestFit="1" customWidth="1"/>
    <col min="10" max="10" width="9.42578125" style="1" customWidth="1"/>
    <col min="11" max="11" width="9.42578125" style="28" bestFit="1" customWidth="1"/>
    <col min="12" max="14" width="9.42578125" style="28" customWidth="1"/>
    <col min="15" max="15" width="9.42578125" style="28" bestFit="1" customWidth="1"/>
    <col min="16" max="16" width="9.42578125" style="28" customWidth="1"/>
    <col min="17" max="17" width="9.85546875" style="28" bestFit="1" customWidth="1"/>
    <col min="18" max="18" width="9.85546875" style="28" customWidth="1"/>
    <col min="19" max="19" width="9.42578125" style="28" bestFit="1" customWidth="1"/>
    <col min="20" max="20" width="9.42578125" style="28" customWidth="1"/>
    <col min="21" max="24" width="8.7109375" style="28"/>
    <col min="25" max="16384" width="8.7109375" style="1"/>
  </cols>
  <sheetData>
    <row r="2" spans="2:24" x14ac:dyDescent="0.3">
      <c r="B2" s="95" t="s">
        <v>328</v>
      </c>
      <c r="C2" s="9"/>
      <c r="D2" s="9"/>
      <c r="E2" s="8"/>
      <c r="F2" s="8"/>
      <c r="G2" s="8"/>
      <c r="H2" s="8"/>
      <c r="I2" s="8"/>
      <c r="J2" s="8"/>
    </row>
    <row r="3" spans="2:24" x14ac:dyDescent="0.3">
      <c r="B3" s="8" t="s">
        <v>277</v>
      </c>
      <c r="C3" s="8"/>
      <c r="D3" s="8"/>
      <c r="E3" s="8"/>
      <c r="F3" s="8"/>
      <c r="G3" s="8"/>
      <c r="H3" s="8"/>
      <c r="I3" s="8"/>
      <c r="J3" s="8"/>
    </row>
    <row r="6" spans="2:24" x14ac:dyDescent="0.3">
      <c r="C6" s="1" t="s">
        <v>1</v>
      </c>
      <c r="D6" s="1" t="s">
        <v>17</v>
      </c>
      <c r="E6" s="1" t="s">
        <v>18</v>
      </c>
      <c r="F6" s="1" t="s">
        <v>19</v>
      </c>
      <c r="G6" s="1" t="s">
        <v>20</v>
      </c>
      <c r="H6" s="1" t="s">
        <v>21</v>
      </c>
      <c r="I6" s="1" t="s">
        <v>16</v>
      </c>
    </row>
    <row r="7" spans="2:24" x14ac:dyDescent="0.3">
      <c r="C7" s="1" t="s">
        <v>3</v>
      </c>
      <c r="D7" s="1" t="s">
        <v>3</v>
      </c>
      <c r="E7" s="1" t="s">
        <v>3</v>
      </c>
      <c r="F7" s="1" t="s">
        <v>3</v>
      </c>
      <c r="G7" s="1" t="s">
        <v>3</v>
      </c>
      <c r="H7" s="1" t="s">
        <v>3</v>
      </c>
      <c r="I7" s="1" t="s">
        <v>3</v>
      </c>
    </row>
    <row r="8" spans="2:24" ht="14.45" customHeight="1" x14ac:dyDescent="0.3">
      <c r="B8" s="1">
        <v>2005</v>
      </c>
      <c r="H8" s="4">
        <v>4.0307724929430009</v>
      </c>
      <c r="I8" s="4">
        <v>3.8792168866781456</v>
      </c>
      <c r="L8" s="93"/>
      <c r="O8" s="93"/>
      <c r="U8" s="93"/>
      <c r="V8" s="93"/>
      <c r="W8" s="93"/>
      <c r="X8" s="93"/>
    </row>
    <row r="9" spans="2:24" x14ac:dyDescent="0.3">
      <c r="B9" s="1">
        <v>2006</v>
      </c>
      <c r="H9" s="4">
        <v>4.1054047291835953</v>
      </c>
      <c r="I9" s="4">
        <v>3.9000839120018482</v>
      </c>
      <c r="L9" s="93"/>
      <c r="O9" s="93"/>
      <c r="U9" s="93"/>
      <c r="V9" s="93"/>
      <c r="W9" s="93"/>
      <c r="X9" s="93"/>
    </row>
    <row r="10" spans="2:24" x14ac:dyDescent="0.3">
      <c r="B10" s="1">
        <v>2007</v>
      </c>
      <c r="F10" s="4">
        <v>3.9315528767882504</v>
      </c>
      <c r="G10" s="4">
        <v>4.0263694681763083</v>
      </c>
      <c r="H10" s="4">
        <v>4.2383955289350714</v>
      </c>
      <c r="I10" s="4">
        <v>3.8833733455746082</v>
      </c>
      <c r="L10" s="93"/>
      <c r="O10" s="93"/>
      <c r="Q10" s="93"/>
      <c r="R10" s="93"/>
      <c r="S10" s="93"/>
      <c r="T10" s="93"/>
      <c r="U10" s="93"/>
      <c r="V10" s="93"/>
      <c r="W10" s="93"/>
      <c r="X10" s="93"/>
    </row>
    <row r="11" spans="2:24" x14ac:dyDescent="0.3">
      <c r="B11" s="1">
        <v>2008</v>
      </c>
      <c r="F11" s="4">
        <v>3.9573885974644276</v>
      </c>
      <c r="G11" s="4">
        <v>4.0998287088440915</v>
      </c>
      <c r="H11" s="4">
        <v>4.2328914174703804</v>
      </c>
      <c r="I11" s="4">
        <v>3.8899917943831226</v>
      </c>
      <c r="L11" s="93"/>
      <c r="O11" s="93"/>
      <c r="Q11" s="93"/>
      <c r="R11" s="93"/>
      <c r="S11" s="93"/>
      <c r="T11" s="93"/>
      <c r="U11" s="93"/>
      <c r="V11" s="93"/>
      <c r="W11" s="93"/>
      <c r="X11" s="93"/>
    </row>
    <row r="12" spans="2:24" x14ac:dyDescent="0.3">
      <c r="B12" s="1">
        <v>2009</v>
      </c>
      <c r="F12" s="4">
        <v>4.1749556572697823</v>
      </c>
      <c r="G12" s="4">
        <v>4.3378064964938599</v>
      </c>
      <c r="H12" s="4">
        <v>4.2017882387171248</v>
      </c>
      <c r="I12" s="4">
        <v>4.0793535404616668</v>
      </c>
      <c r="L12" s="93"/>
      <c r="O12" s="93"/>
      <c r="Q12" s="93"/>
      <c r="R12" s="93"/>
      <c r="S12" s="93"/>
      <c r="T12" s="93"/>
      <c r="U12" s="93"/>
      <c r="V12" s="93"/>
      <c r="W12" s="93"/>
      <c r="X12" s="93"/>
    </row>
    <row r="13" spans="2:24" x14ac:dyDescent="0.3">
      <c r="B13" s="1">
        <v>2010</v>
      </c>
      <c r="F13" s="4">
        <v>4.3222557065245724</v>
      </c>
      <c r="G13" s="4">
        <v>4.7106241554832344</v>
      </c>
      <c r="H13" s="4">
        <v>4.2125200303999417</v>
      </c>
      <c r="I13" s="4">
        <v>4.2005948731460876</v>
      </c>
      <c r="L13" s="93"/>
      <c r="O13" s="93"/>
      <c r="Q13" s="93"/>
      <c r="R13" s="93"/>
      <c r="S13" s="93"/>
      <c r="T13" s="93"/>
      <c r="U13" s="93"/>
      <c r="V13" s="93"/>
      <c r="W13" s="93"/>
      <c r="X13" s="93"/>
    </row>
    <row r="14" spans="2:24" x14ac:dyDescent="0.3">
      <c r="B14" s="1">
        <v>2011</v>
      </c>
      <c r="F14" s="4">
        <v>4.4098404866306424</v>
      </c>
      <c r="G14" s="4">
        <v>4.7423106795490204</v>
      </c>
      <c r="H14" s="4">
        <v>4.2824981434292981</v>
      </c>
      <c r="I14" s="4">
        <v>4.2843695717571251</v>
      </c>
      <c r="L14" s="93"/>
      <c r="O14" s="93"/>
      <c r="Q14" s="93"/>
      <c r="R14" s="93"/>
      <c r="S14" s="93"/>
      <c r="T14" s="93"/>
      <c r="U14" s="93"/>
      <c r="V14" s="93"/>
      <c r="W14" s="93"/>
      <c r="X14" s="93"/>
    </row>
    <row r="15" spans="2:24" x14ac:dyDescent="0.3">
      <c r="B15" s="1">
        <v>2012</v>
      </c>
      <c r="F15" s="4">
        <v>4.5973703271980693</v>
      </c>
      <c r="G15" s="4">
        <v>4.7961600267185327</v>
      </c>
      <c r="H15" s="4">
        <v>4.4164043870490204</v>
      </c>
      <c r="I15" s="4">
        <v>4.4535936839268198</v>
      </c>
      <c r="L15" s="93"/>
      <c r="O15" s="93"/>
      <c r="Q15" s="93"/>
      <c r="R15" s="93"/>
      <c r="S15" s="93"/>
      <c r="T15" s="93"/>
      <c r="U15" s="93"/>
      <c r="V15" s="93"/>
      <c r="W15" s="93"/>
      <c r="X15" s="93"/>
    </row>
    <row r="16" spans="2:24" x14ac:dyDescent="0.3">
      <c r="B16" s="1">
        <v>2013</v>
      </c>
      <c r="F16" s="4">
        <v>4.7861992854604285</v>
      </c>
      <c r="G16" s="4">
        <v>4.772757144670047</v>
      </c>
      <c r="H16" s="4">
        <v>4.5396920858909322</v>
      </c>
      <c r="I16" s="4">
        <v>4.6696139755364241</v>
      </c>
      <c r="L16" s="93"/>
      <c r="O16" s="93"/>
      <c r="Q16" s="93"/>
      <c r="R16" s="93"/>
      <c r="S16" s="93"/>
      <c r="T16" s="93"/>
      <c r="U16" s="93"/>
      <c r="V16" s="93"/>
      <c r="W16" s="93"/>
      <c r="X16" s="93"/>
    </row>
    <row r="17" spans="2:24" x14ac:dyDescent="0.3">
      <c r="B17" s="1">
        <v>2014</v>
      </c>
      <c r="F17" s="4">
        <v>4.7803345444333285</v>
      </c>
      <c r="G17" s="4">
        <v>4.7714577818957196</v>
      </c>
      <c r="H17" s="4">
        <v>4.6573516051455464</v>
      </c>
      <c r="I17" s="4">
        <v>4.6036506912014721</v>
      </c>
      <c r="L17" s="93"/>
      <c r="O17" s="93"/>
      <c r="Q17" s="93"/>
      <c r="R17" s="93"/>
      <c r="S17" s="93"/>
      <c r="T17" s="93"/>
      <c r="U17" s="93"/>
      <c r="V17" s="93"/>
      <c r="W17" s="93"/>
      <c r="X17" s="93"/>
    </row>
    <row r="18" spans="2:24" x14ac:dyDescent="0.3">
      <c r="B18" s="1">
        <v>2015</v>
      </c>
      <c r="E18" s="4">
        <v>4.7979965228909673</v>
      </c>
      <c r="F18" s="4">
        <v>4.8307656101599461</v>
      </c>
      <c r="G18" s="4">
        <v>4.81090178032027</v>
      </c>
      <c r="H18" s="4">
        <v>4.7738657585791735</v>
      </c>
      <c r="I18" s="4">
        <v>4.7142415565822864</v>
      </c>
      <c r="L18" s="93"/>
      <c r="O18" s="93"/>
      <c r="P18" s="93"/>
      <c r="Q18" s="93"/>
      <c r="R18" s="93"/>
      <c r="S18" s="93"/>
      <c r="T18" s="93"/>
      <c r="U18" s="93"/>
      <c r="V18" s="93"/>
      <c r="W18" s="93"/>
      <c r="X18" s="93"/>
    </row>
    <row r="19" spans="2:24" x14ac:dyDescent="0.3">
      <c r="B19" s="1">
        <v>2016</v>
      </c>
      <c r="E19" s="4">
        <v>4.901929427568505</v>
      </c>
      <c r="F19" s="4">
        <v>4.8797600038709055</v>
      </c>
      <c r="G19" s="4">
        <v>4.8529070129615191</v>
      </c>
      <c r="H19" s="4">
        <v>4.885930214506196</v>
      </c>
      <c r="I19" s="4">
        <v>4.7375921584681517</v>
      </c>
      <c r="L19" s="93"/>
      <c r="O19" s="93"/>
      <c r="P19" s="93"/>
      <c r="Q19" s="93"/>
      <c r="R19" s="93"/>
      <c r="S19" s="93"/>
      <c r="T19" s="93"/>
      <c r="U19" s="93"/>
      <c r="V19" s="93"/>
      <c r="W19" s="93"/>
      <c r="X19" s="93"/>
    </row>
    <row r="20" spans="2:24" x14ac:dyDescent="0.3">
      <c r="B20" s="1">
        <v>2017</v>
      </c>
      <c r="E20" s="4">
        <v>4.9813277367982467</v>
      </c>
      <c r="F20" s="4">
        <v>4.9420921471586468</v>
      </c>
      <c r="G20" s="4">
        <v>4.9567665546039379</v>
      </c>
      <c r="H20" s="4">
        <v>5.0075803137250041</v>
      </c>
      <c r="I20" s="4">
        <v>4.7278487436384466</v>
      </c>
      <c r="L20" s="93"/>
      <c r="O20" s="93"/>
      <c r="P20" s="93"/>
      <c r="Q20" s="93"/>
      <c r="R20" s="93"/>
      <c r="S20" s="93"/>
      <c r="T20" s="93"/>
      <c r="U20" s="93"/>
      <c r="V20" s="93"/>
      <c r="W20" s="93"/>
      <c r="X20" s="93"/>
    </row>
    <row r="21" spans="2:24" x14ac:dyDescent="0.3">
      <c r="B21" s="1">
        <v>2018</v>
      </c>
      <c r="E21" s="4">
        <v>4.9240181567002175</v>
      </c>
      <c r="F21" s="4">
        <v>5.0113854452850468</v>
      </c>
      <c r="G21" s="4">
        <v>5.0566936526789776</v>
      </c>
      <c r="H21" s="4">
        <v>5.1269716232190801</v>
      </c>
      <c r="I21" s="4">
        <v>4.6309035653799482</v>
      </c>
      <c r="L21" s="93"/>
      <c r="O21" s="93"/>
      <c r="P21" s="93"/>
      <c r="Q21" s="93"/>
      <c r="R21" s="93"/>
      <c r="S21" s="93"/>
      <c r="T21" s="93"/>
      <c r="U21" s="93"/>
      <c r="V21" s="93"/>
      <c r="W21" s="93"/>
      <c r="X21" s="93"/>
    </row>
    <row r="22" spans="2:24" x14ac:dyDescent="0.3">
      <c r="B22" s="1">
        <v>2019</v>
      </c>
      <c r="C22" s="4">
        <v>4.6896738290307622</v>
      </c>
      <c r="D22" s="4">
        <v>4.6934677577910211</v>
      </c>
      <c r="E22" s="4">
        <v>4.9264391248534514</v>
      </c>
      <c r="F22" s="4">
        <v>5.0592338286508376</v>
      </c>
      <c r="G22" s="4">
        <v>5.1620788946280554</v>
      </c>
      <c r="H22" s="4">
        <v>5.2531505683024688</v>
      </c>
      <c r="I22" s="4">
        <v>4.6896738290307622</v>
      </c>
      <c r="K22" s="93"/>
      <c r="L22" s="93"/>
      <c r="M22" s="93"/>
      <c r="N22" s="93"/>
      <c r="O22" s="93"/>
      <c r="P22" s="93"/>
      <c r="Q22" s="93"/>
      <c r="R22" s="93"/>
      <c r="S22" s="93"/>
      <c r="T22" s="93"/>
      <c r="U22" s="93"/>
      <c r="V22" s="93"/>
      <c r="W22" s="93"/>
      <c r="X22" s="93"/>
    </row>
    <row r="23" spans="2:24" x14ac:dyDescent="0.3">
      <c r="B23" s="1">
        <v>2020</v>
      </c>
      <c r="C23" s="4">
        <v>4.8864877798451669</v>
      </c>
      <c r="D23" s="4">
        <v>4.903143875255882</v>
      </c>
      <c r="E23" s="4">
        <v>4.9854607440088241</v>
      </c>
      <c r="F23" s="4">
        <v>5.1107075904471113</v>
      </c>
      <c r="G23" s="4">
        <v>5.2698449897151081</v>
      </c>
      <c r="H23" s="4">
        <v>5.3852232157306892</v>
      </c>
      <c r="I23" s="4">
        <v>4.8864877798451669</v>
      </c>
      <c r="K23" s="93"/>
      <c r="L23" s="93"/>
      <c r="M23" s="93"/>
      <c r="N23" s="93"/>
      <c r="O23" s="93"/>
      <c r="P23" s="93"/>
      <c r="Q23" s="93"/>
      <c r="R23" s="93"/>
      <c r="S23" s="93"/>
      <c r="T23" s="93"/>
      <c r="U23" s="93"/>
      <c r="V23" s="93"/>
      <c r="W23" s="93"/>
      <c r="X23" s="93"/>
    </row>
    <row r="24" spans="2:24" x14ac:dyDescent="0.3">
      <c r="B24" s="1">
        <v>2021</v>
      </c>
      <c r="C24" s="4">
        <v>4.8250837961169859</v>
      </c>
      <c r="D24" s="4">
        <v>4.9503736554236104</v>
      </c>
      <c r="E24" s="4">
        <v>5.0469238273895938</v>
      </c>
      <c r="F24" s="4">
        <v>5.2082840711426952</v>
      </c>
      <c r="G24" s="4">
        <v>5.3853835102103549</v>
      </c>
      <c r="H24" s="4">
        <v>5.5295743540561615</v>
      </c>
      <c r="I24" s="4">
        <v>4.8250837961169859</v>
      </c>
      <c r="K24" s="93"/>
      <c r="L24" s="93"/>
      <c r="M24" s="93"/>
      <c r="N24" s="93"/>
      <c r="O24" s="93"/>
      <c r="P24" s="93"/>
      <c r="Q24" s="93"/>
      <c r="R24" s="93"/>
      <c r="S24" s="93"/>
      <c r="T24" s="93"/>
      <c r="U24" s="93"/>
      <c r="V24" s="93"/>
      <c r="W24" s="93"/>
      <c r="X24" s="93"/>
    </row>
    <row r="25" spans="2:24" x14ac:dyDescent="0.3">
      <c r="B25" s="1">
        <v>2022</v>
      </c>
      <c r="C25" s="4">
        <v>4.8573209813079004</v>
      </c>
      <c r="D25" s="4">
        <v>5.058300118372971</v>
      </c>
      <c r="E25" s="4">
        <v>5.1586200276945231</v>
      </c>
      <c r="F25" s="4">
        <v>5.3237637060205136</v>
      </c>
      <c r="G25" s="4">
        <v>5.5076689320763501</v>
      </c>
      <c r="H25" s="4">
        <v>5.6828299963492075</v>
      </c>
      <c r="I25" s="4">
        <v>4.8573209813079004</v>
      </c>
      <c r="K25" s="93"/>
      <c r="L25" s="93"/>
      <c r="M25" s="93"/>
      <c r="N25" s="93"/>
      <c r="O25" s="93"/>
      <c r="P25" s="93"/>
      <c r="Q25" s="93"/>
      <c r="R25" s="93"/>
      <c r="S25" s="93"/>
      <c r="T25" s="93"/>
      <c r="U25" s="93"/>
      <c r="V25" s="93"/>
      <c r="W25" s="93"/>
      <c r="X25" s="93"/>
    </row>
    <row r="26" spans="2:24" ht="13.5" customHeight="1" x14ac:dyDescent="0.3">
      <c r="B26" s="1">
        <v>2023</v>
      </c>
      <c r="C26" s="4">
        <v>4.8604522011121984</v>
      </c>
      <c r="D26" s="4">
        <v>5.0934009906451028</v>
      </c>
      <c r="E26" s="4">
        <v>5.2868829113794709</v>
      </c>
      <c r="F26" s="4">
        <v>5.4416815027306571</v>
      </c>
      <c r="G26" s="4">
        <v>5.6234738820838546</v>
      </c>
      <c r="H26" s="4">
        <v>5.8391674326919336</v>
      </c>
      <c r="I26" s="4">
        <v>4.8604522011121984</v>
      </c>
      <c r="K26" s="93"/>
      <c r="L26" s="93"/>
      <c r="M26" s="93"/>
      <c r="N26" s="93"/>
      <c r="O26" s="93"/>
      <c r="P26" s="93"/>
      <c r="Q26" s="93"/>
      <c r="R26" s="93"/>
      <c r="S26" s="93"/>
      <c r="T26" s="93"/>
      <c r="U26" s="93"/>
      <c r="V26" s="93"/>
      <c r="W26" s="93"/>
      <c r="X26" s="93"/>
    </row>
    <row r="27" spans="2:24" ht="13.5" customHeight="1" x14ac:dyDescent="0.3">
      <c r="B27" s="1">
        <v>2024</v>
      </c>
      <c r="C27" s="4">
        <v>5.1290707571168417</v>
      </c>
      <c r="D27" s="4">
        <v>5.0849916764665455</v>
      </c>
      <c r="E27" s="4">
        <v>5.424896677563976</v>
      </c>
      <c r="F27" s="4">
        <v>5.5731877756794823</v>
      </c>
      <c r="G27" s="4">
        <v>5.772108194084165</v>
      </c>
      <c r="H27" s="4">
        <v>6.0142098496299274</v>
      </c>
      <c r="I27" s="4">
        <v>5.1290707571168417</v>
      </c>
      <c r="K27" s="93"/>
      <c r="L27" s="93"/>
      <c r="M27" s="93"/>
      <c r="N27" s="93"/>
      <c r="O27" s="93"/>
      <c r="P27" s="93"/>
      <c r="Q27" s="93"/>
      <c r="R27" s="93"/>
      <c r="S27" s="93"/>
      <c r="T27" s="93"/>
      <c r="U27" s="93"/>
      <c r="V27" s="93"/>
      <c r="W27" s="93"/>
      <c r="X27" s="93"/>
    </row>
    <row r="28" spans="2:24" x14ac:dyDescent="0.3">
      <c r="B28" s="1">
        <v>2025</v>
      </c>
      <c r="C28" s="4">
        <v>5.3269232536975926</v>
      </c>
      <c r="D28" s="4">
        <v>5.0729988658027461</v>
      </c>
      <c r="E28" s="4">
        <v>5.5621117053521933</v>
      </c>
      <c r="F28" s="4">
        <v>5.7042546611518876</v>
      </c>
      <c r="G28" s="4">
        <v>5.9209314946867071</v>
      </c>
      <c r="H28" s="4">
        <v>6.191020028353301</v>
      </c>
      <c r="K28" s="93"/>
      <c r="L28" s="93"/>
      <c r="M28" s="93"/>
      <c r="N28" s="93"/>
      <c r="O28" s="93"/>
      <c r="P28" s="93"/>
      <c r="Q28" s="93"/>
      <c r="R28" s="93"/>
      <c r="S28" s="93"/>
      <c r="T28" s="93"/>
      <c r="U28" s="93"/>
      <c r="V28" s="93"/>
    </row>
    <row r="29" spans="2:24" x14ac:dyDescent="0.3">
      <c r="B29" s="1">
        <v>2026</v>
      </c>
      <c r="C29" s="4">
        <v>5.409188895509832</v>
      </c>
      <c r="D29" s="4">
        <v>5.1917332309761193</v>
      </c>
      <c r="E29" s="4">
        <v>5.7081856858696245</v>
      </c>
      <c r="F29" s="4">
        <v>5.8456778449094724</v>
      </c>
      <c r="G29" s="4">
        <v>6.0817181728691203</v>
      </c>
      <c r="H29" s="4">
        <v>6.383426643121572</v>
      </c>
      <c r="K29" s="93"/>
      <c r="L29" s="93"/>
      <c r="M29" s="93"/>
      <c r="N29" s="93"/>
      <c r="O29" s="93"/>
      <c r="P29" s="93"/>
      <c r="Q29" s="93"/>
      <c r="R29" s="93"/>
      <c r="S29" s="93"/>
      <c r="T29" s="93"/>
      <c r="U29" s="93"/>
      <c r="V29" s="93"/>
    </row>
    <row r="30" spans="2:24" x14ac:dyDescent="0.3">
      <c r="B30" s="1">
        <v>2027</v>
      </c>
      <c r="C30" s="4">
        <v>5.4662285199991629</v>
      </c>
      <c r="D30" s="4">
        <v>5.3159722354463312</v>
      </c>
      <c r="E30" s="4">
        <v>5.8590736113021897</v>
      </c>
      <c r="F30" s="4">
        <v>5.9899805125301633</v>
      </c>
      <c r="G30" s="4">
        <v>6.2494744732989282</v>
      </c>
      <c r="H30" s="4">
        <v>6.5855884718438409</v>
      </c>
      <c r="K30" s="93"/>
      <c r="L30" s="93"/>
      <c r="M30" s="93"/>
      <c r="N30" s="93"/>
      <c r="O30" s="93"/>
      <c r="P30" s="93"/>
      <c r="Q30" s="93"/>
      <c r="R30" s="93"/>
      <c r="S30" s="93"/>
      <c r="T30" s="93"/>
      <c r="U30" s="93"/>
      <c r="V30" s="93"/>
    </row>
    <row r="31" spans="2:24" x14ac:dyDescent="0.3">
      <c r="B31" s="1">
        <v>2028</v>
      </c>
      <c r="C31" s="4">
        <v>5.5114541613924688</v>
      </c>
      <c r="D31" s="4">
        <v>5.4366838663211254</v>
      </c>
      <c r="E31" s="4">
        <v>6.0043099887419853</v>
      </c>
      <c r="F31" s="4">
        <v>6.1299377257983245</v>
      </c>
      <c r="G31" s="4">
        <v>6.4106006797136201</v>
      </c>
      <c r="H31" s="4">
        <v>6.7827363271367611</v>
      </c>
      <c r="K31" s="93"/>
      <c r="L31" s="93"/>
      <c r="M31" s="93"/>
      <c r="N31" s="93"/>
      <c r="O31" s="93"/>
      <c r="P31" s="93"/>
      <c r="Q31" s="93"/>
      <c r="R31" s="93"/>
      <c r="S31" s="93"/>
      <c r="T31" s="93"/>
      <c r="U31" s="93"/>
      <c r="V31" s="93"/>
    </row>
    <row r="32" spans="2:24" x14ac:dyDescent="0.3">
      <c r="B32" s="1">
        <v>2029</v>
      </c>
      <c r="C32" s="4">
        <v>5.5248587161004501</v>
      </c>
      <c r="D32" s="4">
        <v>5.5427245006863251</v>
      </c>
      <c r="E32" s="4">
        <v>6.140870782227525</v>
      </c>
      <c r="F32" s="4">
        <v>6.2581929624253396</v>
      </c>
      <c r="G32" s="4">
        <v>6.5586408021798883</v>
      </c>
      <c r="H32" s="4">
        <v>6.9676541869745954</v>
      </c>
      <c r="K32" s="93"/>
      <c r="L32" s="93"/>
      <c r="M32" s="93"/>
      <c r="N32" s="93"/>
      <c r="O32" s="93"/>
      <c r="P32" s="93"/>
      <c r="Q32" s="93"/>
      <c r="R32" s="93"/>
      <c r="S32" s="93"/>
      <c r="T32" s="93"/>
      <c r="U32" s="93"/>
      <c r="V32" s="93"/>
    </row>
    <row r="33" spans="2:22" x14ac:dyDescent="0.3">
      <c r="B33" s="1">
        <v>2030</v>
      </c>
      <c r="C33" s="4">
        <v>5.5490567616094868</v>
      </c>
      <c r="D33" s="4">
        <v>5.6373812493393132</v>
      </c>
      <c r="E33" s="4">
        <v>6.2603877051208086</v>
      </c>
      <c r="F33" s="4">
        <v>6.3703403948457682</v>
      </c>
      <c r="G33" s="4">
        <v>6.6872962252763291</v>
      </c>
      <c r="H33" s="4">
        <v>7.1310023567281791</v>
      </c>
      <c r="K33" s="93"/>
      <c r="L33" s="93"/>
      <c r="M33" s="93"/>
      <c r="N33" s="93"/>
      <c r="O33" s="93"/>
      <c r="P33" s="93"/>
      <c r="Q33" s="93"/>
      <c r="R33" s="93"/>
      <c r="S33" s="93"/>
      <c r="T33" s="93"/>
      <c r="U33" s="93"/>
      <c r="V33" s="93"/>
    </row>
    <row r="34" spans="2:22" x14ac:dyDescent="0.3">
      <c r="B34" s="1">
        <v>2031</v>
      </c>
      <c r="C34" s="4">
        <v>5.6019316086406787</v>
      </c>
      <c r="D34" s="4">
        <v>5.7239122910249973</v>
      </c>
      <c r="E34" s="4">
        <v>6.372339204226356</v>
      </c>
      <c r="F34" s="4">
        <v>6.4733539368763946</v>
      </c>
      <c r="G34" s="4">
        <v>6.8079936324274337</v>
      </c>
      <c r="H34" s="4">
        <v>7.2835419579685121</v>
      </c>
      <c r="K34" s="93"/>
      <c r="L34" s="93"/>
      <c r="M34" s="93"/>
      <c r="N34" s="93"/>
      <c r="O34" s="93"/>
      <c r="P34" s="93"/>
      <c r="Q34" s="93"/>
      <c r="R34" s="93"/>
      <c r="S34" s="93"/>
      <c r="T34" s="93"/>
      <c r="U34" s="93"/>
      <c r="V34" s="93"/>
    </row>
    <row r="35" spans="2:22" x14ac:dyDescent="0.3">
      <c r="B35" s="1">
        <v>2032</v>
      </c>
      <c r="C35" s="4">
        <v>5.6611492954621143</v>
      </c>
      <c r="D35" s="4">
        <v>5.809525595726627</v>
      </c>
      <c r="E35" s="4">
        <v>6.4818715415350541</v>
      </c>
      <c r="F35" s="4">
        <v>6.5688146201321125</v>
      </c>
      <c r="G35" s="4">
        <v>6.924351412012772</v>
      </c>
      <c r="H35" s="4">
        <v>7.4387250709470294</v>
      </c>
      <c r="K35" s="93"/>
      <c r="L35" s="93"/>
      <c r="M35" s="93"/>
      <c r="N35" s="93"/>
      <c r="O35" s="93"/>
      <c r="P35" s="93"/>
      <c r="Q35" s="93"/>
      <c r="R35" s="93"/>
      <c r="S35" s="93"/>
      <c r="T35" s="93"/>
      <c r="U35" s="93"/>
      <c r="V35" s="93"/>
    </row>
    <row r="36" spans="2:22" x14ac:dyDescent="0.3">
      <c r="B36" s="1">
        <v>2033</v>
      </c>
      <c r="C36" s="4">
        <v>5.7283324206016433</v>
      </c>
      <c r="D36" s="4">
        <v>5.8993752382984876</v>
      </c>
      <c r="E36" s="4">
        <v>6.5902778311994616</v>
      </c>
      <c r="F36" s="4">
        <v>6.6611031222712613</v>
      </c>
      <c r="G36" s="4">
        <v>7.0375069801349817</v>
      </c>
      <c r="H36" s="4">
        <v>7.5905769812679154</v>
      </c>
      <c r="K36" s="93"/>
      <c r="L36" s="93"/>
      <c r="M36" s="93"/>
      <c r="N36" s="93"/>
      <c r="O36" s="93"/>
      <c r="P36" s="93"/>
      <c r="Q36" s="93"/>
      <c r="R36" s="93"/>
      <c r="S36" s="93"/>
      <c r="T36" s="93"/>
      <c r="U36" s="93"/>
      <c r="V36" s="93"/>
    </row>
    <row r="37" spans="2:22" x14ac:dyDescent="0.3">
      <c r="B37" s="1">
        <v>2034</v>
      </c>
      <c r="C37" s="4">
        <v>5.7981039858816388</v>
      </c>
      <c r="D37" s="4">
        <v>5.9930937429140805</v>
      </c>
      <c r="E37" s="4">
        <v>6.6970527207781378</v>
      </c>
      <c r="F37" s="4">
        <v>6.7532645058339096</v>
      </c>
      <c r="G37" s="4">
        <v>7.1517371151168092</v>
      </c>
      <c r="H37" s="4">
        <v>7.7408403820172857</v>
      </c>
      <c r="K37" s="93"/>
      <c r="L37" s="93"/>
      <c r="M37" s="93"/>
      <c r="N37" s="93"/>
      <c r="O37" s="93"/>
      <c r="P37" s="93"/>
      <c r="Q37" s="93"/>
      <c r="R37" s="93"/>
      <c r="S37" s="93"/>
      <c r="T37" s="93"/>
      <c r="U37" s="93"/>
      <c r="V37" s="93"/>
    </row>
    <row r="38" spans="2:22" x14ac:dyDescent="0.3">
      <c r="B38" s="1">
        <v>2035</v>
      </c>
      <c r="C38" s="4">
        <v>5.8630263856873004</v>
      </c>
      <c r="D38" s="4">
        <v>6.0812021186084975</v>
      </c>
      <c r="E38" s="4">
        <v>6.7966908020918027</v>
      </c>
      <c r="F38" s="4">
        <v>6.836331576611153</v>
      </c>
      <c r="G38" s="4">
        <v>7.2569029547549873</v>
      </c>
      <c r="H38" s="4">
        <v>7.8832374661874578</v>
      </c>
      <c r="K38" s="93"/>
      <c r="L38" s="93"/>
      <c r="M38" s="93"/>
      <c r="N38" s="93"/>
      <c r="O38" s="93"/>
      <c r="P38" s="93"/>
      <c r="Q38" s="93"/>
      <c r="R38" s="93"/>
      <c r="S38" s="93"/>
      <c r="T38" s="93"/>
      <c r="U38" s="93"/>
      <c r="V38" s="93"/>
    </row>
    <row r="39" spans="2:22" x14ac:dyDescent="0.3">
      <c r="B39" s="1">
        <v>2036</v>
      </c>
      <c r="C39" s="4">
        <v>5.9355188370348602</v>
      </c>
      <c r="D39" s="4">
        <v>6.1752884262954417</v>
      </c>
      <c r="E39" s="4">
        <v>6.899874572262382</v>
      </c>
      <c r="F39" s="4">
        <v>6.9216869096561249</v>
      </c>
      <c r="G39" s="4">
        <v>7.3676401343620954</v>
      </c>
      <c r="H39" s="4">
        <v>8.0310574420134913</v>
      </c>
      <c r="K39" s="93"/>
      <c r="L39" s="93"/>
      <c r="M39" s="93"/>
      <c r="N39" s="93"/>
      <c r="O39" s="93"/>
      <c r="P39" s="93"/>
      <c r="Q39" s="93"/>
      <c r="R39" s="93"/>
      <c r="S39" s="93"/>
      <c r="T39" s="93"/>
      <c r="U39" s="93"/>
      <c r="V39" s="93"/>
    </row>
    <row r="40" spans="2:22" x14ac:dyDescent="0.3">
      <c r="B40" s="1">
        <v>2037</v>
      </c>
      <c r="C40" s="4">
        <v>6.0002305497483421</v>
      </c>
      <c r="D40" s="4">
        <v>6.2625783448411454</v>
      </c>
      <c r="E40" s="4">
        <v>6.9913048200715506</v>
      </c>
      <c r="F40" s="4">
        <v>6.9966430860069497</v>
      </c>
      <c r="G40" s="4">
        <v>7.4703098278276387</v>
      </c>
      <c r="H40" s="4">
        <v>8.1715648454948671</v>
      </c>
      <c r="K40" s="93"/>
      <c r="L40" s="93"/>
      <c r="M40" s="93"/>
      <c r="N40" s="93"/>
      <c r="O40" s="93"/>
      <c r="P40" s="93"/>
      <c r="Q40" s="93"/>
      <c r="R40" s="93"/>
      <c r="S40" s="93"/>
      <c r="T40" s="93"/>
      <c r="U40" s="93"/>
      <c r="V40" s="93"/>
    </row>
    <row r="41" spans="2:22" x14ac:dyDescent="0.3">
      <c r="B41" s="1">
        <v>2038</v>
      </c>
      <c r="C41" s="4">
        <v>6.0531698178893398</v>
      </c>
      <c r="D41" s="4">
        <v>6.3340789916726319</v>
      </c>
      <c r="E41" s="4">
        <v>7.0658981319781846</v>
      </c>
      <c r="F41" s="4">
        <v>7.0510089464148589</v>
      </c>
      <c r="G41" s="4">
        <v>7.5508269565227479</v>
      </c>
      <c r="H41" s="4">
        <v>8.2845791447696371</v>
      </c>
      <c r="K41" s="93"/>
      <c r="L41" s="93"/>
      <c r="M41" s="93"/>
      <c r="N41" s="93"/>
      <c r="O41" s="93"/>
      <c r="P41" s="93"/>
      <c r="Q41" s="93"/>
      <c r="R41" s="93"/>
      <c r="S41" s="93"/>
      <c r="T41" s="93"/>
      <c r="U41" s="93"/>
      <c r="V41" s="93"/>
    </row>
    <row r="42" spans="2:22" x14ac:dyDescent="0.3">
      <c r="B42" s="1">
        <v>2039</v>
      </c>
      <c r="C42" s="4">
        <v>6.0954176608439798</v>
      </c>
      <c r="D42" s="4">
        <v>6.3914023489028287</v>
      </c>
      <c r="E42" s="4">
        <v>7.1224045627283408</v>
      </c>
      <c r="F42" s="4">
        <v>7.0873363082472194</v>
      </c>
      <c r="G42" s="4">
        <v>7.6149894731875643</v>
      </c>
      <c r="H42" s="4">
        <v>8.3769686206327449</v>
      </c>
      <c r="K42" s="93"/>
      <c r="L42" s="93"/>
      <c r="M42" s="93"/>
      <c r="N42" s="93"/>
      <c r="O42" s="93"/>
      <c r="P42" s="93"/>
      <c r="Q42" s="93"/>
      <c r="R42" s="93"/>
      <c r="S42" s="93"/>
      <c r="T42" s="93"/>
      <c r="U42" s="93"/>
      <c r="V42" s="93"/>
    </row>
    <row r="43" spans="2:22" x14ac:dyDescent="0.3">
      <c r="B43" s="1">
        <v>2040</v>
      </c>
      <c r="C43" s="4">
        <v>6.1243357366388702</v>
      </c>
      <c r="D43" s="4">
        <v>6.4341030380134976</v>
      </c>
      <c r="E43" s="4">
        <v>7.1600237083776106</v>
      </c>
      <c r="F43" s="4">
        <v>7.1071071401491572</v>
      </c>
      <c r="G43" s="4">
        <v>7.6614480853067821</v>
      </c>
      <c r="H43" s="4">
        <v>8.4449304853315432</v>
      </c>
      <c r="K43" s="93"/>
      <c r="L43" s="93"/>
      <c r="M43" s="93"/>
      <c r="N43" s="93"/>
      <c r="O43" s="93"/>
      <c r="P43" s="93"/>
      <c r="Q43" s="93"/>
      <c r="R43" s="93"/>
      <c r="S43" s="93"/>
      <c r="T43" s="93"/>
      <c r="U43" s="93"/>
      <c r="V43" s="93"/>
    </row>
    <row r="44" spans="2:22" x14ac:dyDescent="0.3">
      <c r="B44" s="1">
        <v>2041</v>
      </c>
      <c r="C44" s="4">
        <v>6.1440668447065168</v>
      </c>
      <c r="D44" s="4">
        <v>6.4625519845200934</v>
      </c>
      <c r="E44" s="4">
        <v>7.1791288419366373</v>
      </c>
      <c r="F44" s="4">
        <v>7.1109884502999501</v>
      </c>
      <c r="G44" s="4">
        <v>7.6941033106589858</v>
      </c>
      <c r="H44" s="4">
        <v>8.4892337825083946</v>
      </c>
      <c r="K44" s="93"/>
      <c r="L44" s="93"/>
      <c r="M44" s="93"/>
      <c r="N44" s="93"/>
      <c r="O44" s="93"/>
      <c r="P44" s="93"/>
      <c r="Q44" s="93"/>
      <c r="R44" s="93"/>
      <c r="S44" s="93"/>
      <c r="T44" s="93"/>
      <c r="U44" s="93"/>
      <c r="V44" s="93"/>
    </row>
    <row r="45" spans="2:22" x14ac:dyDescent="0.3">
      <c r="B45" s="1">
        <v>2042</v>
      </c>
      <c r="C45" s="4">
        <v>6.1639635516312294</v>
      </c>
      <c r="D45" s="4">
        <v>6.4888388221373408</v>
      </c>
      <c r="E45" s="4">
        <v>7.1938268027442795</v>
      </c>
      <c r="F45" s="4">
        <v>7.1099685336109193</v>
      </c>
      <c r="G45" s="4">
        <v>7.7250475329267934</v>
      </c>
      <c r="H45" s="4">
        <v>8.5316744119407506</v>
      </c>
      <c r="K45" s="93"/>
      <c r="L45" s="93"/>
      <c r="M45" s="93"/>
      <c r="N45" s="93"/>
      <c r="O45" s="93"/>
      <c r="P45" s="93"/>
      <c r="Q45" s="93"/>
      <c r="R45" s="93"/>
      <c r="S45" s="93"/>
      <c r="T45" s="93"/>
      <c r="U45" s="93"/>
      <c r="V45" s="93"/>
    </row>
    <row r="46" spans="2:22" x14ac:dyDescent="0.3">
      <c r="B46" s="1">
        <v>2043</v>
      </c>
      <c r="C46" s="4">
        <v>6.1794107350413148</v>
      </c>
      <c r="D46" s="4">
        <v>6.5092602487124642</v>
      </c>
      <c r="E46" s="4">
        <v>7.198390583810391</v>
      </c>
      <c r="F46" s="4">
        <v>7.1016599053068328</v>
      </c>
      <c r="G46" s="4">
        <v>7.7487470856045837</v>
      </c>
      <c r="H46" s="4">
        <v>8.5602146067689375</v>
      </c>
      <c r="K46" s="93"/>
      <c r="L46" s="93"/>
      <c r="M46" s="93"/>
      <c r="N46" s="93"/>
      <c r="O46" s="93"/>
      <c r="P46" s="93"/>
      <c r="Q46" s="93"/>
      <c r="R46" s="93"/>
      <c r="S46" s="93"/>
      <c r="T46" s="93"/>
      <c r="U46" s="93"/>
      <c r="V46" s="93"/>
    </row>
    <row r="47" spans="2:22" x14ac:dyDescent="0.3">
      <c r="B47" s="1">
        <v>2044</v>
      </c>
      <c r="C47" s="4">
        <v>6.2034361923687813</v>
      </c>
      <c r="D47" s="4">
        <v>6.5353796978670529</v>
      </c>
      <c r="E47" s="4">
        <v>7.2061495503166633</v>
      </c>
      <c r="F47" s="4">
        <v>7.0986676181018531</v>
      </c>
      <c r="G47" s="4">
        <v>7.7786500936693326</v>
      </c>
      <c r="H47" s="4">
        <v>8.5954806171122868</v>
      </c>
      <c r="K47" s="93"/>
      <c r="L47" s="93"/>
      <c r="M47" s="93"/>
      <c r="N47" s="93"/>
      <c r="O47" s="93"/>
      <c r="P47" s="93"/>
      <c r="Q47" s="93"/>
      <c r="R47" s="93"/>
      <c r="S47" s="93"/>
      <c r="T47" s="93"/>
      <c r="U47" s="93"/>
      <c r="V47" s="93"/>
    </row>
    <row r="48" spans="2:22" x14ac:dyDescent="0.3">
      <c r="B48" s="1">
        <v>2045</v>
      </c>
      <c r="C48" s="4">
        <v>6.2325607843472959</v>
      </c>
      <c r="D48" s="4">
        <v>6.5629740358508197</v>
      </c>
      <c r="E48" s="4">
        <v>7.211474662687456</v>
      </c>
      <c r="F48" s="4">
        <v>7.099403482247661</v>
      </c>
      <c r="G48" s="4">
        <v>7.8099677322236412</v>
      </c>
      <c r="H48" s="4">
        <v>8.629025932921655</v>
      </c>
      <c r="K48" s="93"/>
      <c r="L48" s="93"/>
      <c r="M48" s="93"/>
      <c r="N48" s="93"/>
      <c r="O48" s="93"/>
      <c r="P48" s="93"/>
      <c r="Q48" s="93"/>
      <c r="R48" s="93"/>
      <c r="S48" s="93"/>
      <c r="T48" s="93"/>
      <c r="U48" s="93"/>
      <c r="V48" s="93"/>
    </row>
    <row r="49" spans="2:22" x14ac:dyDescent="0.3">
      <c r="B49" s="1">
        <v>2046</v>
      </c>
      <c r="C49" s="4">
        <v>6.2672126445366061</v>
      </c>
      <c r="D49" s="4">
        <v>6.5923465392180205</v>
      </c>
      <c r="E49" s="4">
        <v>7.2174710857830782</v>
      </c>
      <c r="F49" s="4">
        <v>7.1044264801930046</v>
      </c>
      <c r="G49" s="4">
        <v>7.8457457470966441</v>
      </c>
      <c r="H49" s="4">
        <v>8.6639580223448469</v>
      </c>
      <c r="K49" s="93"/>
      <c r="L49" s="93"/>
      <c r="M49" s="93"/>
      <c r="N49" s="93"/>
      <c r="O49" s="93"/>
      <c r="P49" s="93"/>
      <c r="Q49" s="93"/>
      <c r="R49" s="93"/>
      <c r="S49" s="93"/>
      <c r="T49" s="93"/>
      <c r="U49" s="93"/>
      <c r="V49" s="93"/>
    </row>
    <row r="50" spans="2:22" x14ac:dyDescent="0.3">
      <c r="B50" s="1">
        <v>2047</v>
      </c>
      <c r="C50" s="4">
        <v>6.308695421536747</v>
      </c>
      <c r="D50" s="4">
        <v>6.6270474182488677</v>
      </c>
      <c r="E50" s="4">
        <v>7.2242954303293718</v>
      </c>
      <c r="F50" s="4">
        <v>7.1167849911810714</v>
      </c>
      <c r="G50" s="4">
        <v>7.8863182972696055</v>
      </c>
      <c r="H50" s="4">
        <v>8.6956565209416699</v>
      </c>
      <c r="K50" s="93"/>
      <c r="L50" s="93"/>
      <c r="M50" s="93"/>
      <c r="N50" s="93"/>
      <c r="O50" s="93"/>
      <c r="P50" s="93"/>
      <c r="Q50" s="93"/>
      <c r="R50" s="93"/>
      <c r="S50" s="93"/>
      <c r="T50" s="93"/>
      <c r="U50" s="93"/>
      <c r="V50" s="93"/>
    </row>
    <row r="51" spans="2:22" x14ac:dyDescent="0.3">
      <c r="B51" s="1">
        <v>2048</v>
      </c>
      <c r="C51" s="4">
        <v>6.3593964423488316</v>
      </c>
      <c r="D51" s="4">
        <v>6.6668087562087512</v>
      </c>
      <c r="E51" s="4">
        <v>7.237214176410685</v>
      </c>
      <c r="F51" s="4">
        <v>7.1378534809239076</v>
      </c>
      <c r="G51" s="4">
        <v>7.9339364859579167</v>
      </c>
      <c r="H51" s="4">
        <v>8.7269455622350645</v>
      </c>
      <c r="K51" s="93"/>
      <c r="L51" s="93"/>
      <c r="M51" s="93"/>
      <c r="N51" s="93"/>
      <c r="O51" s="93"/>
      <c r="P51" s="93"/>
      <c r="Q51" s="93"/>
      <c r="R51" s="93"/>
      <c r="S51" s="93"/>
      <c r="T51" s="93"/>
      <c r="U51" s="93"/>
      <c r="V51" s="93"/>
    </row>
    <row r="52" spans="2:22" x14ac:dyDescent="0.3">
      <c r="B52" s="1">
        <v>2049</v>
      </c>
      <c r="C52" s="4">
        <v>6.4150983469660474</v>
      </c>
      <c r="D52" s="4">
        <v>6.7101696419468411</v>
      </c>
      <c r="E52" s="4">
        <v>7.2506869879839897</v>
      </c>
      <c r="F52" s="4">
        <v>7.1616063380806212</v>
      </c>
      <c r="G52" s="4">
        <v>7.9779629087774486</v>
      </c>
      <c r="H52" s="4">
        <v>8.7519664341136902</v>
      </c>
      <c r="K52" s="93"/>
      <c r="L52" s="93"/>
      <c r="M52" s="93"/>
      <c r="N52" s="93"/>
      <c r="O52" s="93"/>
      <c r="P52" s="93"/>
      <c r="Q52" s="93"/>
      <c r="R52" s="93"/>
      <c r="S52" s="93"/>
      <c r="T52" s="93"/>
      <c r="U52" s="93"/>
      <c r="V52" s="93"/>
    </row>
    <row r="53" spans="2:22" x14ac:dyDescent="0.3">
      <c r="B53" s="1">
        <v>2050</v>
      </c>
      <c r="C53" s="4">
        <v>6.4771377775495793</v>
      </c>
      <c r="D53" s="4">
        <v>6.7563700704514824</v>
      </c>
      <c r="E53" s="4">
        <v>7.2663866729091193</v>
      </c>
      <c r="F53" s="4">
        <v>7.1888762592590405</v>
      </c>
      <c r="G53" s="4">
        <v>8.018329107539687</v>
      </c>
      <c r="H53" s="4">
        <v>8.7734960791987611</v>
      </c>
      <c r="K53" s="93"/>
      <c r="L53" s="93"/>
      <c r="M53" s="93"/>
      <c r="N53" s="93"/>
      <c r="O53" s="93"/>
      <c r="P53" s="93"/>
      <c r="Q53" s="93"/>
      <c r="R53" s="93"/>
      <c r="S53" s="93"/>
      <c r="T53" s="93"/>
      <c r="U53" s="93"/>
      <c r="V53" s="93"/>
    </row>
    <row r="54" spans="2:22" x14ac:dyDescent="0.3">
      <c r="B54" s="1">
        <v>2051</v>
      </c>
      <c r="C54" s="4">
        <v>6.5447708299942704</v>
      </c>
      <c r="D54" s="4">
        <v>6.8076465044792274</v>
      </c>
      <c r="E54" s="4">
        <v>7.2880291309151577</v>
      </c>
      <c r="F54" s="4">
        <v>7.2226246583607656</v>
      </c>
      <c r="G54" s="4"/>
      <c r="H54" s="4"/>
      <c r="K54" s="93"/>
      <c r="L54" s="93"/>
      <c r="M54" s="93"/>
      <c r="N54" s="93"/>
      <c r="O54" s="93"/>
      <c r="P54" s="93"/>
      <c r="Q54" s="93"/>
      <c r="R54" s="93"/>
    </row>
    <row r="55" spans="2:22" x14ac:dyDescent="0.3">
      <c r="B55" s="1">
        <v>2052</v>
      </c>
      <c r="C55" s="4">
        <v>6.6269960566660551</v>
      </c>
      <c r="D55" s="4">
        <v>6.8691783198770668</v>
      </c>
      <c r="E55" s="4">
        <v>7.3187958099409451</v>
      </c>
      <c r="F55" s="4">
        <v>7.2608890583762742</v>
      </c>
      <c r="G55" s="4"/>
      <c r="H55" s="4"/>
      <c r="K55" s="93"/>
      <c r="L55" s="93"/>
      <c r="M55" s="93"/>
      <c r="N55" s="93"/>
      <c r="O55" s="93"/>
      <c r="P55" s="93"/>
      <c r="Q55" s="93"/>
      <c r="R55" s="93"/>
    </row>
    <row r="56" spans="2:22" x14ac:dyDescent="0.3">
      <c r="B56" s="1">
        <v>2053</v>
      </c>
      <c r="C56" s="4">
        <v>6.7220155291445467</v>
      </c>
      <c r="D56" s="4">
        <v>6.9463858899093607</v>
      </c>
      <c r="E56" s="4">
        <v>7.3640007535182628</v>
      </c>
      <c r="F56" s="4">
        <v>7.3143324179939686</v>
      </c>
      <c r="G56" s="4"/>
      <c r="H56" s="4"/>
      <c r="K56" s="93"/>
      <c r="L56" s="93"/>
      <c r="M56" s="93"/>
      <c r="N56" s="93"/>
      <c r="O56" s="93"/>
      <c r="P56" s="93"/>
      <c r="Q56" s="93"/>
      <c r="R56" s="93"/>
    </row>
    <row r="57" spans="2:22" x14ac:dyDescent="0.3">
      <c r="B57" s="1">
        <v>2054</v>
      </c>
      <c r="C57" s="4">
        <v>6.8223893273191321</v>
      </c>
      <c r="D57" s="4">
        <v>7.0281286297851393</v>
      </c>
      <c r="E57" s="4">
        <v>7.4213349447938688</v>
      </c>
      <c r="F57" s="4">
        <v>7.3780036185726203</v>
      </c>
      <c r="G57" s="4"/>
      <c r="H57" s="4"/>
      <c r="K57" s="93"/>
      <c r="L57" s="93"/>
      <c r="M57" s="93"/>
      <c r="N57" s="93"/>
      <c r="O57" s="93"/>
      <c r="P57" s="93"/>
      <c r="Q57" s="93"/>
      <c r="R57" s="93"/>
    </row>
    <row r="58" spans="2:22" x14ac:dyDescent="0.3">
      <c r="B58" s="1">
        <v>2055</v>
      </c>
      <c r="C58" s="4">
        <v>6.9357034175753132</v>
      </c>
      <c r="D58" s="4">
        <v>7.1249430932810807</v>
      </c>
      <c r="E58" s="4">
        <v>7.4949653033666017</v>
      </c>
      <c r="F58" s="4">
        <v>7.4575286105047143</v>
      </c>
      <c r="G58" s="4"/>
      <c r="H58" s="4"/>
      <c r="K58" s="93"/>
      <c r="L58" s="93"/>
      <c r="M58" s="93"/>
      <c r="N58" s="93"/>
      <c r="O58" s="93"/>
      <c r="P58" s="93"/>
      <c r="Q58" s="93"/>
      <c r="R58" s="93"/>
    </row>
    <row r="59" spans="2:22" x14ac:dyDescent="0.3">
      <c r="B59" s="1">
        <v>2056</v>
      </c>
      <c r="C59" s="4">
        <v>7.0532967663362811</v>
      </c>
      <c r="D59" s="4">
        <v>7.2264052826685212</v>
      </c>
      <c r="E59" s="4">
        <v>7.5817914563603246</v>
      </c>
      <c r="F59" s="4">
        <v>7.5464618612593295</v>
      </c>
      <c r="G59" s="4"/>
      <c r="H59" s="4"/>
      <c r="K59" s="93"/>
      <c r="L59" s="93"/>
      <c r="M59" s="93"/>
      <c r="N59" s="93"/>
      <c r="O59" s="93"/>
      <c r="P59" s="93"/>
      <c r="Q59" s="93"/>
      <c r="R59" s="93"/>
    </row>
    <row r="60" spans="2:22" x14ac:dyDescent="0.3">
      <c r="B60" s="1">
        <v>2057</v>
      </c>
      <c r="C60" s="4">
        <v>7.1676104179876603</v>
      </c>
      <c r="D60" s="4">
        <v>7.3263525440083894</v>
      </c>
      <c r="E60" s="4">
        <v>7.6638070520712755</v>
      </c>
      <c r="F60" s="4">
        <v>7.6278233072891348</v>
      </c>
      <c r="G60" s="4"/>
      <c r="H60" s="4"/>
      <c r="K60" s="93"/>
      <c r="L60" s="93"/>
      <c r="M60" s="93"/>
      <c r="N60" s="93"/>
      <c r="O60" s="93"/>
      <c r="P60" s="93"/>
      <c r="Q60" s="93"/>
      <c r="R60" s="93"/>
    </row>
    <row r="61" spans="2:22" x14ac:dyDescent="0.3">
      <c r="B61" s="1">
        <v>2058</v>
      </c>
      <c r="C61" s="4">
        <v>7.2744783531285666</v>
      </c>
      <c r="D61" s="4">
        <v>7.420141769129196</v>
      </c>
      <c r="E61" s="4">
        <v>7.7467649487443797</v>
      </c>
      <c r="F61" s="4">
        <v>7.7088739015080616</v>
      </c>
      <c r="G61" s="4"/>
      <c r="H61" s="4"/>
      <c r="K61" s="93"/>
      <c r="L61" s="93"/>
      <c r="M61" s="93"/>
      <c r="N61" s="93"/>
      <c r="O61" s="93"/>
      <c r="P61" s="93"/>
      <c r="Q61" s="93"/>
      <c r="R61" s="93"/>
    </row>
    <row r="62" spans="2:22" x14ac:dyDescent="0.3">
      <c r="B62" s="1">
        <v>2059</v>
      </c>
      <c r="C62" s="4">
        <v>7.3697631849992824</v>
      </c>
      <c r="D62" s="4">
        <v>7.5025122634237995</v>
      </c>
      <c r="E62" s="4">
        <v>7.8263260762757563</v>
      </c>
      <c r="F62" s="4">
        <v>7.7853624043601064</v>
      </c>
      <c r="G62" s="4"/>
      <c r="H62" s="4"/>
      <c r="K62" s="93"/>
      <c r="L62" s="93"/>
      <c r="M62" s="93"/>
      <c r="N62" s="93"/>
      <c r="O62" s="93"/>
      <c r="P62" s="93"/>
      <c r="Q62" s="93"/>
      <c r="R62" s="93"/>
    </row>
    <row r="63" spans="2:22" x14ac:dyDescent="0.3">
      <c r="B63" s="1">
        <v>2060</v>
      </c>
      <c r="C63" s="4">
        <v>7.4607308273297868</v>
      </c>
      <c r="D63" s="4">
        <v>7.5827578369287689</v>
      </c>
      <c r="E63" s="4">
        <v>7.9081667297126916</v>
      </c>
      <c r="F63" s="4">
        <v>7.8631901197725274</v>
      </c>
      <c r="G63" s="4"/>
      <c r="H63" s="4"/>
      <c r="K63" s="93"/>
      <c r="L63" s="93"/>
      <c r="M63" s="93"/>
      <c r="N63" s="93"/>
      <c r="O63" s="93"/>
      <c r="P63" s="93"/>
      <c r="Q63" s="93"/>
      <c r="R63" s="93"/>
    </row>
    <row r="64" spans="2:22" x14ac:dyDescent="0.3">
      <c r="B64" s="1">
        <v>2061</v>
      </c>
      <c r="C64" s="4">
        <v>7.5427899766066275</v>
      </c>
      <c r="D64" s="4">
        <v>7.6595814759386922</v>
      </c>
      <c r="E64" s="4"/>
      <c r="F64" s="4"/>
      <c r="G64" s="4"/>
      <c r="H64" s="4"/>
      <c r="K64" s="93"/>
      <c r="L64" s="93"/>
      <c r="M64" s="93"/>
      <c r="N64" s="93"/>
    </row>
    <row r="65" spans="2:12" x14ac:dyDescent="0.3">
      <c r="B65" s="1">
        <v>2062</v>
      </c>
      <c r="C65" s="4">
        <v>7.6171693448293398</v>
      </c>
      <c r="D65" s="4"/>
      <c r="E65" s="4"/>
      <c r="G65" s="4"/>
      <c r="H65" s="4"/>
      <c r="K65" s="93"/>
      <c r="L65" s="93"/>
    </row>
    <row r="66" spans="2:12" x14ac:dyDescent="0.3">
      <c r="B66" s="1">
        <v>2063</v>
      </c>
      <c r="C66" s="4">
        <v>7.6870149460921615</v>
      </c>
      <c r="D66" s="4"/>
      <c r="E66" s="4"/>
      <c r="G66" s="4"/>
      <c r="H66" s="4"/>
      <c r="K66" s="93"/>
      <c r="L66" s="93"/>
    </row>
    <row r="67" spans="2:12" x14ac:dyDescent="0.3">
      <c r="B67" s="1">
        <v>2064</v>
      </c>
      <c r="C67" s="4">
        <v>7.7481320852406483</v>
      </c>
      <c r="D67" s="4"/>
      <c r="E67" s="4"/>
      <c r="G67" s="4"/>
      <c r="H67" s="4"/>
      <c r="K67" s="93"/>
      <c r="L67" s="93"/>
    </row>
    <row r="68" spans="2:12" x14ac:dyDescent="0.3">
      <c r="B68" s="1">
        <v>2065</v>
      </c>
      <c r="C68" s="4">
        <v>7.8175282332813563</v>
      </c>
      <c r="D68" s="4"/>
      <c r="E68" s="4"/>
      <c r="G68" s="4"/>
      <c r="H68" s="4"/>
      <c r="K68" s="93"/>
      <c r="L68" s="93"/>
    </row>
  </sheetData>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2417-B6D6-498E-9BF4-B92A0A722F40}">
  <sheetPr codeName="Sheet29"/>
  <dimension ref="B2:I17"/>
  <sheetViews>
    <sheetView showGridLines="0" zoomScaleNormal="100" workbookViewId="0"/>
  </sheetViews>
  <sheetFormatPr defaultColWidth="8.7109375" defaultRowHeight="16.5" x14ac:dyDescent="0.3"/>
  <cols>
    <col min="1" max="1" width="8.7109375" style="1"/>
    <col min="2" max="2" width="32.5703125" style="1" bestFit="1" customWidth="1"/>
    <col min="3" max="3" width="15.42578125" style="1" bestFit="1" customWidth="1"/>
    <col min="4" max="4" width="15.140625" style="1" bestFit="1" customWidth="1"/>
    <col min="5" max="16384" width="8.7109375" style="1"/>
  </cols>
  <sheetData>
    <row r="2" spans="2:9" x14ac:dyDescent="0.3">
      <c r="B2" s="95" t="s">
        <v>326</v>
      </c>
      <c r="C2" s="8"/>
      <c r="D2" s="8"/>
      <c r="E2" s="8"/>
      <c r="F2" s="8"/>
      <c r="G2" s="8"/>
      <c r="H2" s="8"/>
      <c r="I2" s="8"/>
    </row>
    <row r="3" spans="2:9" x14ac:dyDescent="0.3">
      <c r="B3" s="8" t="s">
        <v>0</v>
      </c>
      <c r="C3" s="8"/>
      <c r="D3" s="8"/>
      <c r="E3" s="8"/>
      <c r="F3" s="8"/>
      <c r="G3" s="8"/>
      <c r="H3" s="8"/>
      <c r="I3" s="8"/>
    </row>
    <row r="5" spans="2:9" x14ac:dyDescent="0.3">
      <c r="B5" s="3" t="s">
        <v>29</v>
      </c>
      <c r="C5" s="7" t="s">
        <v>30</v>
      </c>
      <c r="D5" s="1" t="s">
        <v>122</v>
      </c>
    </row>
    <row r="6" spans="2:9" x14ac:dyDescent="0.3">
      <c r="C6" s="6" t="s">
        <v>164</v>
      </c>
      <c r="D6" s="6" t="s">
        <v>164</v>
      </c>
    </row>
    <row r="7" spans="2:9" x14ac:dyDescent="0.3">
      <c r="B7" s="2">
        <v>2014</v>
      </c>
      <c r="C7" s="4">
        <v>-1.6169516264432551</v>
      </c>
      <c r="D7" s="4">
        <v>-0.8206468091526451</v>
      </c>
    </row>
    <row r="8" spans="2:9" x14ac:dyDescent="0.3">
      <c r="B8" s="2">
        <v>2015</v>
      </c>
      <c r="C8" s="4">
        <v>0.13543632459165747</v>
      </c>
      <c r="D8" s="4">
        <v>0.46946437075444902</v>
      </c>
    </row>
    <row r="9" spans="2:9" x14ac:dyDescent="0.3">
      <c r="B9" s="2">
        <v>2016</v>
      </c>
      <c r="C9" s="4">
        <v>0.81914347176252955</v>
      </c>
      <c r="D9" s="4">
        <v>1.1747332869553591</v>
      </c>
    </row>
    <row r="10" spans="2:9" x14ac:dyDescent="0.3">
      <c r="B10" s="2">
        <v>2017</v>
      </c>
      <c r="C10" s="4">
        <v>1.6866273253200714</v>
      </c>
      <c r="D10" s="4">
        <v>1.6497067484644072</v>
      </c>
    </row>
    <row r="11" spans="2:9" x14ac:dyDescent="0.3">
      <c r="B11" s="2">
        <v>2018</v>
      </c>
      <c r="C11" s="4">
        <v>2.0086742817349914</v>
      </c>
      <c r="D11" s="4">
        <v>1.7415523867949849</v>
      </c>
    </row>
    <row r="12" spans="2:9" x14ac:dyDescent="0.3">
      <c r="B12" s="2">
        <v>2019</v>
      </c>
      <c r="C12" s="4">
        <v>2.738702530014943</v>
      </c>
      <c r="D12" s="4">
        <v>2.1899011141741682</v>
      </c>
    </row>
    <row r="13" spans="2:9" x14ac:dyDescent="0.3">
      <c r="B13" s="2">
        <v>2020</v>
      </c>
      <c r="C13" s="4">
        <v>-6.5805919447409114</v>
      </c>
      <c r="D13" s="4">
        <v>-2.806337060348167</v>
      </c>
    </row>
    <row r="14" spans="2:9" x14ac:dyDescent="0.3">
      <c r="B14" s="2">
        <v>2021</v>
      </c>
      <c r="C14" s="4">
        <v>-0.74521029840445219</v>
      </c>
      <c r="D14" s="4">
        <v>0.14252515742549926</v>
      </c>
    </row>
    <row r="15" spans="2:9" x14ac:dyDescent="0.3">
      <c r="B15" s="2">
        <v>2022</v>
      </c>
      <c r="C15" s="4">
        <v>-2.3690513950715855</v>
      </c>
      <c r="D15" s="4">
        <v>0.70327979028062604</v>
      </c>
    </row>
    <row r="16" spans="2:9" x14ac:dyDescent="0.3">
      <c r="B16" s="2">
        <v>2023</v>
      </c>
      <c r="C16" s="4">
        <v>-1.7928162830253991</v>
      </c>
      <c r="D16" s="4">
        <v>-1.843172511298903</v>
      </c>
    </row>
    <row r="17" spans="2:4" x14ac:dyDescent="0.3">
      <c r="B17" s="2">
        <v>2024</v>
      </c>
      <c r="C17" s="4">
        <v>-2.0857206708160767</v>
      </c>
      <c r="D17" s="4">
        <v>-1.9345878264997132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C14B-01DE-44E3-B5CC-1A50AF652810}">
  <sheetPr codeName="Sheet7"/>
  <dimension ref="B2:H23"/>
  <sheetViews>
    <sheetView showGridLines="0" workbookViewId="0"/>
  </sheetViews>
  <sheetFormatPr defaultColWidth="8.7109375" defaultRowHeight="16.5" x14ac:dyDescent="0.3"/>
  <cols>
    <col min="1" max="1" width="8.7109375" style="1"/>
    <col min="2" max="2" width="28.85546875" style="1" bestFit="1" customWidth="1"/>
    <col min="3" max="3" width="25.42578125" style="1" bestFit="1" customWidth="1"/>
    <col min="4" max="4" width="20.85546875" style="1" customWidth="1"/>
    <col min="5" max="5" width="34.42578125" style="1" bestFit="1" customWidth="1"/>
    <col min="6" max="6" width="35.28515625" style="1" bestFit="1" customWidth="1"/>
    <col min="7" max="16384" width="8.7109375" style="1"/>
  </cols>
  <sheetData>
    <row r="2" spans="2:8" x14ac:dyDescent="0.3">
      <c r="B2" s="95" t="s">
        <v>330</v>
      </c>
      <c r="C2" s="9"/>
      <c r="D2" s="9"/>
      <c r="E2" s="8"/>
      <c r="F2" s="96"/>
      <c r="G2" s="8"/>
      <c r="H2" s="8"/>
    </row>
    <row r="3" spans="2:8" x14ac:dyDescent="0.3">
      <c r="B3" s="8" t="s">
        <v>0</v>
      </c>
      <c r="C3" s="9"/>
      <c r="D3" s="9"/>
      <c r="E3" s="8"/>
      <c r="F3" s="8"/>
      <c r="G3" s="8"/>
      <c r="H3" s="8"/>
    </row>
    <row r="5" spans="2:8" x14ac:dyDescent="0.3">
      <c r="B5" s="1" t="s">
        <v>8</v>
      </c>
      <c r="C5" s="1" t="s">
        <v>147</v>
      </c>
      <c r="D5" s="1" t="s">
        <v>148</v>
      </c>
      <c r="E5" s="1" t="s">
        <v>9</v>
      </c>
      <c r="F5" s="1" t="s">
        <v>149</v>
      </c>
    </row>
    <row r="6" spans="2:8" x14ac:dyDescent="0.3">
      <c r="C6" s="1" t="s">
        <v>156</v>
      </c>
      <c r="D6" s="1" t="s">
        <v>156</v>
      </c>
      <c r="E6" s="1" t="s">
        <v>156</v>
      </c>
      <c r="F6" s="1" t="s">
        <v>156</v>
      </c>
    </row>
    <row r="7" spans="2:8" x14ac:dyDescent="0.3">
      <c r="B7" s="40" t="s">
        <v>189</v>
      </c>
      <c r="C7" s="56">
        <v>0</v>
      </c>
      <c r="D7" s="56">
        <v>-1290</v>
      </c>
      <c r="E7" s="56">
        <v>9220</v>
      </c>
      <c r="F7" s="56">
        <v>0</v>
      </c>
    </row>
    <row r="8" spans="2:8" x14ac:dyDescent="0.3">
      <c r="B8" s="40" t="s">
        <v>190</v>
      </c>
      <c r="C8" s="56">
        <v>0</v>
      </c>
      <c r="D8" s="56">
        <v>-1390</v>
      </c>
      <c r="E8" s="56">
        <v>9080</v>
      </c>
      <c r="F8" s="56">
        <v>0</v>
      </c>
    </row>
    <row r="9" spans="2:8" x14ac:dyDescent="0.3">
      <c r="B9" s="40" t="s">
        <v>191</v>
      </c>
      <c r="C9" s="56">
        <v>0</v>
      </c>
      <c r="D9" s="56">
        <v>-1340</v>
      </c>
      <c r="E9" s="56">
        <v>9400</v>
      </c>
      <c r="F9" s="56">
        <v>0</v>
      </c>
    </row>
    <row r="10" spans="2:8" x14ac:dyDescent="0.3">
      <c r="B10" s="40" t="s">
        <v>192</v>
      </c>
      <c r="C10" s="56">
        <v>-1030</v>
      </c>
      <c r="D10" s="56">
        <v>-1680</v>
      </c>
      <c r="E10" s="56">
        <v>9710</v>
      </c>
      <c r="F10" s="56">
        <v>820</v>
      </c>
    </row>
    <row r="11" spans="2:8" x14ac:dyDescent="0.3">
      <c r="B11" s="40" t="s">
        <v>193</v>
      </c>
      <c r="C11" s="56">
        <v>-4720</v>
      </c>
      <c r="D11" s="56">
        <v>-2710</v>
      </c>
      <c r="E11" s="56">
        <v>5470</v>
      </c>
      <c r="F11" s="56">
        <v>3880</v>
      </c>
    </row>
    <row r="12" spans="2:8" x14ac:dyDescent="0.3">
      <c r="B12" s="40" t="s">
        <v>194</v>
      </c>
      <c r="C12" s="56">
        <v>-8130</v>
      </c>
      <c r="D12" s="56">
        <v>-3350</v>
      </c>
      <c r="E12" s="56">
        <v>4010</v>
      </c>
      <c r="F12" s="56">
        <v>4650</v>
      </c>
    </row>
    <row r="13" spans="2:8" x14ac:dyDescent="0.3">
      <c r="B13" s="40" t="s">
        <v>195</v>
      </c>
      <c r="C13" s="56">
        <v>-11360</v>
      </c>
      <c r="D13" s="56">
        <v>-3910</v>
      </c>
      <c r="E13" s="56">
        <v>3620</v>
      </c>
      <c r="F13" s="56">
        <v>4410</v>
      </c>
    </row>
    <row r="14" spans="2:8" x14ac:dyDescent="0.3">
      <c r="B14" s="40" t="s">
        <v>196</v>
      </c>
      <c r="C14" s="56">
        <v>-12230</v>
      </c>
      <c r="D14" s="56">
        <v>-4050</v>
      </c>
      <c r="E14" s="56">
        <v>3180</v>
      </c>
      <c r="F14" s="56">
        <v>4490</v>
      </c>
    </row>
    <row r="15" spans="2:8" x14ac:dyDescent="0.3">
      <c r="B15" s="40" t="s">
        <v>197</v>
      </c>
      <c r="C15" s="56">
        <v>-15460</v>
      </c>
      <c r="D15" s="56">
        <v>-4410</v>
      </c>
      <c r="E15" s="56">
        <v>3170</v>
      </c>
      <c r="F15" s="56">
        <v>4150</v>
      </c>
    </row>
    <row r="16" spans="2:8" x14ac:dyDescent="0.3">
      <c r="B16" s="40" t="s">
        <v>198</v>
      </c>
      <c r="C16" s="56">
        <v>-15160</v>
      </c>
      <c r="D16" s="56">
        <v>-4830</v>
      </c>
      <c r="E16" s="56">
        <v>3280</v>
      </c>
      <c r="F16" s="56">
        <v>2760</v>
      </c>
    </row>
    <row r="17" spans="2:6" x14ac:dyDescent="0.3">
      <c r="B17" s="40" t="s">
        <v>199</v>
      </c>
      <c r="C17" s="56">
        <v>-16260</v>
      </c>
      <c r="D17" s="56">
        <v>-5120</v>
      </c>
      <c r="E17" s="56">
        <v>3720</v>
      </c>
      <c r="F17" s="56">
        <v>3000</v>
      </c>
    </row>
    <row r="18" spans="2:6" x14ac:dyDescent="0.3">
      <c r="B18" s="40" t="s">
        <v>200</v>
      </c>
      <c r="C18" s="56">
        <v>-13110</v>
      </c>
      <c r="D18" s="56">
        <v>-5370</v>
      </c>
      <c r="E18" s="56">
        <v>3900</v>
      </c>
      <c r="F18" s="56">
        <v>2660</v>
      </c>
    </row>
    <row r="19" spans="2:6" x14ac:dyDescent="0.3">
      <c r="B19" s="40" t="s">
        <v>201</v>
      </c>
      <c r="C19" s="56">
        <v>-12660</v>
      </c>
      <c r="D19" s="56">
        <v>-4950</v>
      </c>
      <c r="E19" s="56">
        <v>4680</v>
      </c>
      <c r="F19" s="56">
        <v>4420</v>
      </c>
    </row>
    <row r="20" spans="2:6" x14ac:dyDescent="0.3">
      <c r="B20" s="40" t="s">
        <v>202</v>
      </c>
      <c r="C20" s="56">
        <v>-10310</v>
      </c>
      <c r="D20" s="56">
        <v>-5490</v>
      </c>
      <c r="E20" s="56">
        <v>6140</v>
      </c>
      <c r="F20" s="56">
        <v>20410</v>
      </c>
    </row>
    <row r="21" spans="2:6" x14ac:dyDescent="0.3">
      <c r="B21" s="40" t="s">
        <v>203</v>
      </c>
      <c r="C21" s="56">
        <v>-7770</v>
      </c>
      <c r="D21" s="56">
        <v>-4970</v>
      </c>
      <c r="E21" s="56">
        <v>8010</v>
      </c>
      <c r="F21" s="56">
        <v>22040</v>
      </c>
    </row>
    <row r="22" spans="2:6" x14ac:dyDescent="0.3">
      <c r="B22" s="40" t="s">
        <v>204</v>
      </c>
      <c r="C22" s="56">
        <v>-5310</v>
      </c>
      <c r="D22" s="56">
        <v>-4240</v>
      </c>
      <c r="E22" s="56">
        <v>10890</v>
      </c>
      <c r="F22" s="56">
        <v>22120</v>
      </c>
    </row>
    <row r="23" spans="2:6" x14ac:dyDescent="0.3">
      <c r="B23" s="40" t="s">
        <v>12</v>
      </c>
      <c r="C23" s="56">
        <v>-4550</v>
      </c>
      <c r="D23" s="56">
        <v>-3080</v>
      </c>
      <c r="E23" s="56">
        <v>18250</v>
      </c>
      <c r="F23" s="56">
        <v>23060</v>
      </c>
    </row>
  </sheetData>
  <phoneticPr fontId="1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0A39-3874-4668-968B-A3A4EB3EA2D2}">
  <sheetPr codeName="Sheet11"/>
  <dimension ref="B2:V208"/>
  <sheetViews>
    <sheetView showGridLines="0" workbookViewId="0"/>
  </sheetViews>
  <sheetFormatPr defaultColWidth="8.7109375" defaultRowHeight="16.5" x14ac:dyDescent="0.3"/>
  <cols>
    <col min="1" max="2" width="8.7109375" style="1"/>
    <col min="3" max="4" width="9.85546875" style="1" bestFit="1" customWidth="1"/>
    <col min="5" max="10" width="8.7109375" style="1"/>
    <col min="11" max="11" width="18.28515625" style="1" bestFit="1" customWidth="1"/>
    <col min="12" max="12" width="22.7109375" style="1" bestFit="1" customWidth="1"/>
    <col min="13" max="13" width="9.5703125" style="1" bestFit="1" customWidth="1"/>
    <col min="14" max="16384" width="8.7109375" style="1"/>
  </cols>
  <sheetData>
    <row r="2" spans="2:22" x14ac:dyDescent="0.3">
      <c r="B2" s="95" t="s">
        <v>332</v>
      </c>
      <c r="C2" s="8"/>
      <c r="D2" s="17"/>
      <c r="E2" s="8"/>
      <c r="F2" s="15"/>
      <c r="G2" s="8"/>
      <c r="H2" s="8"/>
    </row>
    <row r="3" spans="2:22" x14ac:dyDescent="0.3">
      <c r="B3" s="8" t="s">
        <v>22</v>
      </c>
      <c r="C3" s="8"/>
      <c r="D3" s="17"/>
      <c r="E3" s="8"/>
      <c r="F3" s="15"/>
      <c r="G3" s="8"/>
      <c r="H3" s="8"/>
    </row>
    <row r="5" spans="2:22" x14ac:dyDescent="0.3">
      <c r="C5" s="1" t="s">
        <v>182</v>
      </c>
      <c r="D5" s="4" t="s">
        <v>183</v>
      </c>
    </row>
    <row r="6" spans="2:22" x14ac:dyDescent="0.3">
      <c r="C6" s="1" t="s">
        <v>157</v>
      </c>
      <c r="D6" s="4" t="s">
        <v>157</v>
      </c>
    </row>
    <row r="7" spans="2:22" x14ac:dyDescent="0.3">
      <c r="B7" s="16">
        <v>2006</v>
      </c>
      <c r="C7" s="4">
        <v>5.4427809158962557</v>
      </c>
      <c r="D7" s="4">
        <v>5.35153683716565</v>
      </c>
    </row>
    <row r="8" spans="2:22" x14ac:dyDescent="0.3">
      <c r="B8" s="16">
        <v>2007</v>
      </c>
      <c r="C8" s="4">
        <v>5.3441081286883678</v>
      </c>
      <c r="D8" s="4">
        <v>5.2446338864362918</v>
      </c>
      <c r="L8" s="10"/>
      <c r="M8" s="10"/>
      <c r="N8" s="10"/>
      <c r="O8" s="10"/>
      <c r="P8" s="10"/>
      <c r="Q8" s="10"/>
      <c r="R8" s="10"/>
      <c r="S8" s="10"/>
      <c r="T8" s="10"/>
      <c r="U8" s="10"/>
      <c r="V8" s="10"/>
    </row>
    <row r="9" spans="2:22" x14ac:dyDescent="0.3">
      <c r="B9" s="16">
        <v>2008</v>
      </c>
      <c r="C9" s="4">
        <v>5.2879464702913834</v>
      </c>
      <c r="D9" s="4">
        <v>5.1932942538177196</v>
      </c>
      <c r="L9" s="12"/>
      <c r="M9" s="72"/>
    </row>
    <row r="10" spans="2:22" x14ac:dyDescent="0.3">
      <c r="B10" s="16">
        <v>2009</v>
      </c>
      <c r="C10" s="4">
        <v>5.2030455001367732</v>
      </c>
      <c r="D10" s="4">
        <v>5.1078872162659046</v>
      </c>
      <c r="L10" s="12"/>
      <c r="M10" s="72"/>
    </row>
    <row r="11" spans="2:22" x14ac:dyDescent="0.3">
      <c r="B11" s="16">
        <v>2010</v>
      </c>
      <c r="C11" s="4">
        <v>5.1099160499085929</v>
      </c>
      <c r="D11" s="4">
        <v>5.014001382414973</v>
      </c>
      <c r="L11" s="12"/>
      <c r="M11" s="72"/>
    </row>
    <row r="12" spans="2:22" x14ac:dyDescent="0.3">
      <c r="B12" s="16">
        <v>2011</v>
      </c>
      <c r="C12" s="4">
        <v>4.9878631152486843</v>
      </c>
      <c r="D12" s="4">
        <v>4.906809727197575</v>
      </c>
      <c r="L12" s="12"/>
      <c r="M12" s="72"/>
    </row>
    <row r="13" spans="2:22" x14ac:dyDescent="0.3">
      <c r="B13" s="16">
        <v>2012</v>
      </c>
      <c r="C13" s="4">
        <v>4.8015655836940478</v>
      </c>
      <c r="D13" s="4">
        <v>4.7403475063356133</v>
      </c>
      <c r="L13" s="12"/>
      <c r="M13" s="72"/>
    </row>
    <row r="14" spans="2:22" x14ac:dyDescent="0.3">
      <c r="B14" s="16">
        <v>2013</v>
      </c>
      <c r="C14" s="4">
        <v>4.6443553411396339</v>
      </c>
      <c r="D14" s="4">
        <v>4.5952133693342496</v>
      </c>
      <c r="L14" s="12"/>
      <c r="M14" s="72"/>
    </row>
    <row r="15" spans="2:22" x14ac:dyDescent="0.3">
      <c r="B15" s="16">
        <v>2014</v>
      </c>
      <c r="C15" s="4">
        <v>4.5583242101367709</v>
      </c>
      <c r="D15" s="4">
        <v>4.4631463486227192</v>
      </c>
      <c r="L15" s="12"/>
      <c r="M15" s="72"/>
    </row>
    <row r="16" spans="2:22" x14ac:dyDescent="0.3">
      <c r="B16" s="16">
        <v>2015</v>
      </c>
      <c r="C16" s="4">
        <v>4.5103770347492631</v>
      </c>
      <c r="D16" s="4">
        <v>4.3393027983735948</v>
      </c>
      <c r="L16" s="12"/>
      <c r="M16" s="72"/>
    </row>
    <row r="17" spans="2:13" x14ac:dyDescent="0.3">
      <c r="B17" s="16">
        <v>2016</v>
      </c>
      <c r="C17" s="4">
        <v>4.476487080178047</v>
      </c>
      <c r="D17" s="4">
        <v>4.2256484567453994</v>
      </c>
      <c r="L17" s="12"/>
      <c r="M17" s="72"/>
    </row>
    <row r="18" spans="2:13" x14ac:dyDescent="0.3">
      <c r="B18" s="16">
        <v>2017</v>
      </c>
      <c r="C18" s="4">
        <v>4.4310390720219663</v>
      </c>
      <c r="D18" s="4">
        <v>4.1127599775154575</v>
      </c>
      <c r="L18" s="12"/>
      <c r="M18" s="72"/>
    </row>
    <row r="19" spans="2:13" x14ac:dyDescent="0.3">
      <c r="B19" s="16">
        <v>2018</v>
      </c>
      <c r="C19" s="4">
        <v>4.3802947219463073</v>
      </c>
      <c r="D19" s="4">
        <v>4.0076801353231657</v>
      </c>
      <c r="L19" s="12"/>
      <c r="M19" s="72"/>
    </row>
    <row r="20" spans="2:13" x14ac:dyDescent="0.3">
      <c r="B20" s="16">
        <v>2019</v>
      </c>
      <c r="C20" s="4">
        <v>4.301636572575851</v>
      </c>
      <c r="D20" s="4">
        <v>3.9042016806722692</v>
      </c>
      <c r="L20" s="12"/>
      <c r="M20" s="72"/>
    </row>
    <row r="21" spans="2:13" x14ac:dyDescent="0.3">
      <c r="B21" s="16">
        <v>2020</v>
      </c>
      <c r="C21" s="4">
        <v>4.2222080879266271</v>
      </c>
      <c r="D21" s="4">
        <v>3.8005724700929302</v>
      </c>
      <c r="L21" s="12"/>
      <c r="M21" s="72"/>
    </row>
    <row r="22" spans="2:13" x14ac:dyDescent="0.3">
      <c r="B22" s="16">
        <v>2021</v>
      </c>
      <c r="C22" s="4">
        <v>4.0928178162697195</v>
      </c>
      <c r="D22" s="4">
        <v>3.6935231033367337</v>
      </c>
      <c r="L22" s="12"/>
      <c r="M22" s="72"/>
    </row>
    <row r="23" spans="2:13" x14ac:dyDescent="0.3">
      <c r="B23" s="16">
        <v>2022</v>
      </c>
      <c r="C23" s="4">
        <v>3.9808052830827667</v>
      </c>
      <c r="D23" s="4">
        <v>3.5872818706962044</v>
      </c>
      <c r="L23" s="12"/>
      <c r="M23" s="72"/>
    </row>
    <row r="24" spans="2:13" x14ac:dyDescent="0.3">
      <c r="B24" s="16">
        <v>2023</v>
      </c>
      <c r="C24" s="4">
        <v>3.9886667845981498</v>
      </c>
      <c r="D24" s="4">
        <v>3.4837023262341673</v>
      </c>
      <c r="L24" s="12"/>
      <c r="M24" s="72"/>
    </row>
    <row r="25" spans="2:13" x14ac:dyDescent="0.3">
      <c r="B25" s="16">
        <v>2024</v>
      </c>
      <c r="C25" s="4">
        <v>3.9352945214883968</v>
      </c>
      <c r="D25" s="4">
        <v>3.3735972550929123</v>
      </c>
      <c r="L25" s="12"/>
      <c r="M25" s="72"/>
    </row>
    <row r="26" spans="2:13" x14ac:dyDescent="0.3">
      <c r="B26" s="16">
        <v>2025</v>
      </c>
      <c r="C26" s="4">
        <v>3.8474139213257175</v>
      </c>
      <c r="D26" s="4">
        <v>3.2678495013002404</v>
      </c>
      <c r="L26" s="12"/>
      <c r="M26" s="72"/>
    </row>
    <row r="27" spans="2:13" x14ac:dyDescent="0.3">
      <c r="B27" s="16">
        <v>2026</v>
      </c>
      <c r="C27" s="4">
        <v>3.7529274697614579</v>
      </c>
      <c r="D27" s="4">
        <v>3.1596464576715921</v>
      </c>
      <c r="L27" s="12"/>
      <c r="M27" s="72"/>
    </row>
    <row r="28" spans="2:13" x14ac:dyDescent="0.3">
      <c r="B28" s="16">
        <v>2027</v>
      </c>
      <c r="C28" s="4">
        <v>3.6605328098032444</v>
      </c>
      <c r="D28" s="4">
        <v>3.0540974329955244</v>
      </c>
      <c r="L28" s="12"/>
      <c r="M28" s="72"/>
    </row>
    <row r="29" spans="2:13" x14ac:dyDescent="0.3">
      <c r="B29" s="16">
        <v>2028</v>
      </c>
      <c r="C29" s="4">
        <v>3.5754109879838119</v>
      </c>
      <c r="D29" s="4">
        <v>2.9567196358699994</v>
      </c>
      <c r="L29" s="12"/>
      <c r="M29" s="72"/>
    </row>
    <row r="30" spans="2:13" x14ac:dyDescent="0.3">
      <c r="B30" s="16">
        <v>2029</v>
      </c>
      <c r="C30" s="4">
        <v>3.5026847118862658</v>
      </c>
      <c r="D30" s="4">
        <v>2.8697956608260933</v>
      </c>
      <c r="L30" s="12"/>
      <c r="M30" s="72"/>
    </row>
    <row r="31" spans="2:13" x14ac:dyDescent="0.3">
      <c r="B31" s="16">
        <v>2030</v>
      </c>
      <c r="C31" s="4">
        <v>3.4457337590839874</v>
      </c>
      <c r="D31" s="4">
        <v>2.7963189254217702</v>
      </c>
      <c r="L31" s="12"/>
      <c r="M31" s="72"/>
    </row>
    <row r="32" spans="2:13" x14ac:dyDescent="0.3">
      <c r="B32" s="16">
        <v>2031</v>
      </c>
      <c r="C32" s="4">
        <v>3.396289252701044</v>
      </c>
      <c r="D32" s="4">
        <v>2.7307756432818953</v>
      </c>
      <c r="L32" s="12"/>
      <c r="M32" s="72"/>
    </row>
    <row r="33" spans="2:13" x14ac:dyDescent="0.3">
      <c r="B33" s="16">
        <v>2032</v>
      </c>
      <c r="C33" s="4">
        <v>3.348472141430876</v>
      </c>
      <c r="D33" s="4">
        <v>2.6676393558501816</v>
      </c>
      <c r="L33" s="12"/>
      <c r="M33" s="72"/>
    </row>
    <row r="34" spans="2:13" x14ac:dyDescent="0.3">
      <c r="B34" s="16">
        <v>2033</v>
      </c>
      <c r="C34" s="4">
        <v>3.3003825867273724</v>
      </c>
      <c r="D34" s="4">
        <v>2.60815200028398</v>
      </c>
      <c r="L34" s="12"/>
      <c r="M34" s="72"/>
    </row>
    <row r="35" spans="2:13" x14ac:dyDescent="0.3">
      <c r="B35" s="16">
        <v>2034</v>
      </c>
      <c r="C35" s="4">
        <v>3.2520158651436644</v>
      </c>
      <c r="D35" s="4">
        <v>2.5518003130979299</v>
      </c>
      <c r="L35" s="12"/>
      <c r="M35" s="72"/>
    </row>
    <row r="36" spans="2:13" x14ac:dyDescent="0.3">
      <c r="B36" s="16">
        <v>2035</v>
      </c>
      <c r="C36" s="4">
        <v>3.2076445560198055</v>
      </c>
      <c r="D36" s="4">
        <v>2.5002048340843914</v>
      </c>
      <c r="L36" s="12"/>
      <c r="M36" s="72"/>
    </row>
    <row r="37" spans="2:13" x14ac:dyDescent="0.3">
      <c r="B37" s="16">
        <v>2036</v>
      </c>
      <c r="C37" s="4">
        <v>3.1595840373688837</v>
      </c>
      <c r="D37" s="4">
        <v>2.4486151939231009</v>
      </c>
      <c r="L37" s="12"/>
      <c r="M37" s="72"/>
    </row>
    <row r="38" spans="2:13" x14ac:dyDescent="0.3">
      <c r="B38" s="16">
        <v>2037</v>
      </c>
      <c r="C38" s="4">
        <v>3.1176341083916386</v>
      </c>
      <c r="D38" s="4">
        <v>2.4019472289434267</v>
      </c>
      <c r="L38" s="12"/>
      <c r="M38" s="72"/>
    </row>
    <row r="39" spans="2:13" x14ac:dyDescent="0.3">
      <c r="B39" s="16">
        <v>2038</v>
      </c>
      <c r="C39" s="4">
        <v>3.0820595741747843</v>
      </c>
      <c r="D39" s="4">
        <v>2.3653679232273088</v>
      </c>
      <c r="L39" s="12"/>
      <c r="M39" s="72"/>
    </row>
    <row r="40" spans="2:13" x14ac:dyDescent="0.3">
      <c r="B40" s="16">
        <v>2039</v>
      </c>
      <c r="C40" s="4">
        <v>3.0548814681621441</v>
      </c>
      <c r="D40" s="4">
        <v>2.3361943916844981</v>
      </c>
      <c r="L40" s="12"/>
      <c r="M40" s="72"/>
    </row>
    <row r="41" spans="2:13" x14ac:dyDescent="0.3">
      <c r="B41" s="16">
        <v>2040</v>
      </c>
      <c r="C41" s="4">
        <v>3.0378604661978121</v>
      </c>
      <c r="D41" s="4">
        <v>2.3149200654082458</v>
      </c>
      <c r="L41" s="12"/>
      <c r="M41" s="72"/>
    </row>
    <row r="42" spans="2:13" x14ac:dyDescent="0.3">
      <c r="B42" s="16">
        <v>2041</v>
      </c>
      <c r="C42" s="4">
        <v>3.0271765004755222</v>
      </c>
      <c r="D42" s="4">
        <v>2.3011373040455867</v>
      </c>
      <c r="L42" s="12"/>
      <c r="M42" s="72"/>
    </row>
    <row r="43" spans="2:13" x14ac:dyDescent="0.3">
      <c r="B43" s="16">
        <v>2042</v>
      </c>
      <c r="C43" s="4">
        <v>3.0162588728558282</v>
      </c>
      <c r="D43" s="4">
        <v>2.2886819932972093</v>
      </c>
      <c r="L43" s="12"/>
      <c r="M43" s="72"/>
    </row>
    <row r="44" spans="2:13" x14ac:dyDescent="0.3">
      <c r="B44" s="16">
        <v>2043</v>
      </c>
      <c r="C44" s="4">
        <v>3.0082640496796196</v>
      </c>
      <c r="D44" s="4">
        <v>2.2804394405703379</v>
      </c>
      <c r="L44" s="12"/>
      <c r="M44" s="72"/>
    </row>
    <row r="45" spans="2:13" x14ac:dyDescent="0.3">
      <c r="B45" s="16">
        <v>2044</v>
      </c>
      <c r="C45" s="4">
        <v>2.9949348050697866</v>
      </c>
      <c r="D45" s="4">
        <v>2.2701529781924705</v>
      </c>
      <c r="L45" s="12"/>
      <c r="M45" s="72"/>
    </row>
    <row r="46" spans="2:13" x14ac:dyDescent="0.3">
      <c r="B46" s="16">
        <v>2045</v>
      </c>
      <c r="C46" s="4">
        <v>2.9786192349639302</v>
      </c>
      <c r="D46" s="4">
        <v>2.260506469671967</v>
      </c>
      <c r="L46" s="12"/>
      <c r="M46" s="72"/>
    </row>
    <row r="47" spans="2:13" x14ac:dyDescent="0.3">
      <c r="B47" s="16">
        <v>2046</v>
      </c>
      <c r="C47" s="4">
        <v>2.9593468969121393</v>
      </c>
      <c r="D47" s="4">
        <v>2.2505755594437793</v>
      </c>
      <c r="L47" s="12"/>
      <c r="M47" s="72"/>
    </row>
    <row r="48" spans="2:13" x14ac:dyDescent="0.3">
      <c r="B48" s="16">
        <v>2047</v>
      </c>
      <c r="C48" s="4">
        <v>2.9364258841555699</v>
      </c>
      <c r="D48" s="4">
        <v>2.2415853537398851</v>
      </c>
      <c r="L48" s="12"/>
      <c r="M48" s="72"/>
    </row>
    <row r="49" spans="2:13" x14ac:dyDescent="0.3">
      <c r="B49" s="16">
        <v>2048</v>
      </c>
      <c r="C49" s="4">
        <v>2.9087100863664497</v>
      </c>
      <c r="D49" s="4">
        <v>2.2329223744292239</v>
      </c>
      <c r="L49" s="12"/>
      <c r="M49" s="72"/>
    </row>
    <row r="50" spans="2:13" x14ac:dyDescent="0.3">
      <c r="B50" s="16">
        <v>2049</v>
      </c>
      <c r="C50" s="4">
        <v>2.8790525679981389</v>
      </c>
      <c r="D50" s="4">
        <v>2.226042828209271</v>
      </c>
      <c r="L50" s="12"/>
      <c r="M50" s="72"/>
    </row>
    <row r="51" spans="2:13" x14ac:dyDescent="0.3">
      <c r="B51" s="16">
        <v>2050</v>
      </c>
      <c r="C51" s="4">
        <v>2.8469521820137755</v>
      </c>
      <c r="D51" s="4">
        <v>2.2203544977947907</v>
      </c>
      <c r="L51" s="12"/>
      <c r="M51" s="72"/>
    </row>
    <row r="52" spans="2:13" x14ac:dyDescent="0.3">
      <c r="B52" s="16">
        <v>2051</v>
      </c>
      <c r="C52" s="4">
        <v>2.8128373912953966</v>
      </c>
      <c r="D52" s="4">
        <v>2.2147481851522057</v>
      </c>
      <c r="L52" s="12"/>
      <c r="M52" s="72"/>
    </row>
    <row r="53" spans="2:13" x14ac:dyDescent="0.3">
      <c r="B53" s="16">
        <v>2052</v>
      </c>
      <c r="C53" s="4">
        <v>2.7721212080494659</v>
      </c>
      <c r="D53" s="4">
        <v>2.2086617433395817</v>
      </c>
      <c r="L53" s="12"/>
      <c r="M53" s="72"/>
    </row>
    <row r="54" spans="2:13" x14ac:dyDescent="0.3">
      <c r="B54" s="16">
        <v>2053</v>
      </c>
      <c r="C54" s="4">
        <v>2.7261857051264573</v>
      </c>
      <c r="D54" s="4">
        <v>2.198469617404351</v>
      </c>
      <c r="L54" s="12"/>
      <c r="M54" s="72"/>
    </row>
    <row r="55" spans="2:13" x14ac:dyDescent="0.3">
      <c r="B55" s="16">
        <v>2054</v>
      </c>
      <c r="C55" s="4">
        <v>2.6794020617698662</v>
      </c>
      <c r="D55" s="4">
        <v>2.1868731409097024</v>
      </c>
      <c r="L55" s="12"/>
      <c r="M55" s="72"/>
    </row>
    <row r="56" spans="2:13" x14ac:dyDescent="0.3">
      <c r="B56" s="16">
        <v>2055</v>
      </c>
      <c r="C56" s="4">
        <v>2.627964648361842</v>
      </c>
      <c r="D56" s="4">
        <v>2.1706027572463227</v>
      </c>
      <c r="L56" s="12"/>
      <c r="M56" s="72"/>
    </row>
    <row r="57" spans="2:13" x14ac:dyDescent="0.3">
      <c r="B57" s="16">
        <v>2056</v>
      </c>
      <c r="C57" s="4">
        <v>2.5766838179027141</v>
      </c>
      <c r="D57" s="4">
        <v>2.1526321238924964</v>
      </c>
      <c r="L57" s="12"/>
      <c r="M57" s="72"/>
    </row>
    <row r="58" spans="2:13" x14ac:dyDescent="0.3">
      <c r="B58" s="16">
        <v>2057</v>
      </c>
      <c r="C58" s="4">
        <v>2.5292287806632663</v>
      </c>
      <c r="D58" s="4">
        <v>2.1384516803782785</v>
      </c>
      <c r="L58" s="12"/>
      <c r="M58" s="72"/>
    </row>
    <row r="59" spans="2:13" x14ac:dyDescent="0.3">
      <c r="B59" s="16">
        <v>2058</v>
      </c>
      <c r="C59" s="4">
        <v>2.4871274893199349</v>
      </c>
      <c r="D59" s="4">
        <v>2.1258578044609502</v>
      </c>
      <c r="L59" s="12"/>
      <c r="M59" s="72"/>
    </row>
    <row r="60" spans="2:13" x14ac:dyDescent="0.3">
      <c r="B60" s="16">
        <v>2059</v>
      </c>
      <c r="C60" s="4">
        <v>2.4519454120447386</v>
      </c>
      <c r="D60" s="4">
        <v>2.1157480948999687</v>
      </c>
      <c r="L60" s="12"/>
      <c r="M60" s="72"/>
    </row>
    <row r="61" spans="2:13" x14ac:dyDescent="0.3">
      <c r="B61" s="16">
        <v>2060</v>
      </c>
      <c r="C61" s="4">
        <v>2.419707496780569</v>
      </c>
      <c r="D61" s="4">
        <v>2.1059303777594405</v>
      </c>
      <c r="L61" s="12"/>
      <c r="M61" s="72"/>
    </row>
    <row r="62" spans="2:13" x14ac:dyDescent="0.3">
      <c r="B62" s="16">
        <v>2061</v>
      </c>
      <c r="C62" s="4">
        <v>2.3920713679195078</v>
      </c>
      <c r="D62" s="4">
        <v>2.0981731498221263</v>
      </c>
      <c r="L62" s="12"/>
      <c r="M62" s="72"/>
    </row>
    <row r="63" spans="2:13" x14ac:dyDescent="0.3">
      <c r="B63" s="16">
        <v>2062</v>
      </c>
      <c r="C63" s="4">
        <v>2.3685146907144694</v>
      </c>
      <c r="D63" s="4">
        <v>2.0909183554623807</v>
      </c>
      <c r="L63" s="12"/>
      <c r="M63" s="72"/>
    </row>
    <row r="64" spans="2:13" x14ac:dyDescent="0.3">
      <c r="B64" s="16">
        <v>2063</v>
      </c>
      <c r="C64" s="4">
        <v>2.3470875024843965</v>
      </c>
      <c r="D64" s="4">
        <v>2.0820268797675263</v>
      </c>
      <c r="L64" s="12"/>
      <c r="M64" s="72"/>
    </row>
    <row r="65" spans="2:13" x14ac:dyDescent="0.3">
      <c r="B65" s="16">
        <v>2064</v>
      </c>
      <c r="C65" s="4">
        <v>2.3296083249352364</v>
      </c>
      <c r="D65" s="4">
        <v>2.0769884136248802</v>
      </c>
      <c r="L65" s="12"/>
      <c r="M65" s="72"/>
    </row>
    <row r="66" spans="2:13" x14ac:dyDescent="0.3">
      <c r="B66" s="16">
        <v>2065</v>
      </c>
      <c r="C66" s="4">
        <v>2.3087404425103442</v>
      </c>
      <c r="D66" s="4">
        <v>2.0682167284952468</v>
      </c>
      <c r="L66" s="12"/>
      <c r="M66" s="72"/>
    </row>
    <row r="67" spans="2:13" x14ac:dyDescent="0.3">
      <c r="L67" s="12"/>
      <c r="M67" s="72"/>
    </row>
    <row r="68" spans="2:13" x14ac:dyDescent="0.3">
      <c r="L68" s="12"/>
      <c r="M68" s="72"/>
    </row>
    <row r="69" spans="2:13" x14ac:dyDescent="0.3">
      <c r="L69" s="12"/>
      <c r="M69" s="72"/>
    </row>
    <row r="70" spans="2:13" x14ac:dyDescent="0.3">
      <c r="L70" s="12"/>
      <c r="M70" s="72"/>
    </row>
    <row r="71" spans="2:13" x14ac:dyDescent="0.3">
      <c r="L71" s="12"/>
      <c r="M71" s="72"/>
    </row>
    <row r="72" spans="2:13" x14ac:dyDescent="0.3">
      <c r="L72" s="12"/>
      <c r="M72" s="72"/>
    </row>
    <row r="73" spans="2:13" x14ac:dyDescent="0.3">
      <c r="L73" s="12"/>
      <c r="M73" s="72"/>
    </row>
    <row r="74" spans="2:13" x14ac:dyDescent="0.3">
      <c r="L74" s="12"/>
      <c r="M74" s="72"/>
    </row>
    <row r="75" spans="2:13" x14ac:dyDescent="0.3">
      <c r="L75" s="12"/>
      <c r="M75" s="72"/>
    </row>
    <row r="76" spans="2:13" x14ac:dyDescent="0.3">
      <c r="L76" s="12"/>
      <c r="M76" s="72"/>
    </row>
    <row r="77" spans="2:13" x14ac:dyDescent="0.3">
      <c r="L77" s="12"/>
      <c r="M77" s="72"/>
    </row>
    <row r="78" spans="2:13" x14ac:dyDescent="0.3">
      <c r="L78" s="12"/>
      <c r="M78" s="72"/>
    </row>
    <row r="79" spans="2:13" x14ac:dyDescent="0.3">
      <c r="L79" s="12"/>
      <c r="M79" s="72"/>
    </row>
    <row r="80" spans="2:13" x14ac:dyDescent="0.3">
      <c r="L80" s="12"/>
      <c r="M80" s="72"/>
    </row>
    <row r="81" spans="12:13" x14ac:dyDescent="0.3">
      <c r="L81" s="12"/>
      <c r="M81" s="72"/>
    </row>
    <row r="82" spans="12:13" x14ac:dyDescent="0.3">
      <c r="L82" s="12"/>
      <c r="M82" s="72"/>
    </row>
    <row r="83" spans="12:13" x14ac:dyDescent="0.3">
      <c r="L83" s="12"/>
      <c r="M83" s="72"/>
    </row>
    <row r="84" spans="12:13" x14ac:dyDescent="0.3">
      <c r="L84" s="12"/>
      <c r="M84" s="72"/>
    </row>
    <row r="85" spans="12:13" x14ac:dyDescent="0.3">
      <c r="L85" s="12"/>
      <c r="M85" s="72"/>
    </row>
    <row r="86" spans="12:13" x14ac:dyDescent="0.3">
      <c r="L86" s="12"/>
      <c r="M86" s="72"/>
    </row>
    <row r="87" spans="12:13" x14ac:dyDescent="0.3">
      <c r="L87" s="12"/>
      <c r="M87" s="72"/>
    </row>
    <row r="88" spans="12:13" x14ac:dyDescent="0.3">
      <c r="L88" s="12"/>
      <c r="M88" s="72"/>
    </row>
    <row r="89" spans="12:13" x14ac:dyDescent="0.3">
      <c r="L89" s="12"/>
      <c r="M89" s="72"/>
    </row>
    <row r="90" spans="12:13" x14ac:dyDescent="0.3">
      <c r="L90" s="12"/>
      <c r="M90" s="72"/>
    </row>
    <row r="91" spans="12:13" x14ac:dyDescent="0.3">
      <c r="L91" s="12"/>
      <c r="M91" s="72"/>
    </row>
    <row r="92" spans="12:13" x14ac:dyDescent="0.3">
      <c r="L92" s="12"/>
      <c r="M92" s="72"/>
    </row>
    <row r="93" spans="12:13" x14ac:dyDescent="0.3">
      <c r="L93" s="12"/>
      <c r="M93" s="72"/>
    </row>
    <row r="94" spans="12:13" x14ac:dyDescent="0.3">
      <c r="L94" s="12"/>
      <c r="M94" s="72"/>
    </row>
    <row r="95" spans="12:13" x14ac:dyDescent="0.3">
      <c r="L95" s="12"/>
      <c r="M95" s="72"/>
    </row>
    <row r="96" spans="12:13" x14ac:dyDescent="0.3">
      <c r="L96" s="12"/>
      <c r="M96" s="72"/>
    </row>
    <row r="97" spans="12:22" x14ac:dyDescent="0.3">
      <c r="L97" s="12"/>
      <c r="M97" s="72"/>
    </row>
    <row r="98" spans="12:22" x14ac:dyDescent="0.3">
      <c r="L98" s="12"/>
      <c r="M98" s="72"/>
    </row>
    <row r="99" spans="12:22" x14ac:dyDescent="0.3">
      <c r="L99" s="12"/>
      <c r="M99" s="72"/>
    </row>
    <row r="100" spans="12:22" x14ac:dyDescent="0.3">
      <c r="L100" s="12"/>
      <c r="M100" s="72"/>
    </row>
    <row r="101" spans="12:22" x14ac:dyDescent="0.3">
      <c r="L101" s="12"/>
      <c r="M101" s="72"/>
    </row>
    <row r="102" spans="12:22" x14ac:dyDescent="0.3">
      <c r="L102" s="12"/>
      <c r="M102" s="72"/>
    </row>
    <row r="103" spans="12:22" x14ac:dyDescent="0.3">
      <c r="L103" s="12"/>
      <c r="M103" s="72"/>
    </row>
    <row r="104" spans="12:22" x14ac:dyDescent="0.3">
      <c r="L104" s="12"/>
      <c r="M104" s="72"/>
    </row>
    <row r="105" spans="12:22" x14ac:dyDescent="0.3">
      <c r="L105" s="10"/>
      <c r="M105" s="73"/>
    </row>
    <row r="106" spans="12:22" x14ac:dyDescent="0.3">
      <c r="L106" s="10"/>
      <c r="M106" s="12"/>
    </row>
    <row r="107" spans="12:22" x14ac:dyDescent="0.3">
      <c r="L107" s="10"/>
      <c r="M107" s="12"/>
    </row>
    <row r="108" spans="12:22" x14ac:dyDescent="0.3">
      <c r="L108" s="10"/>
      <c r="M108" s="10"/>
      <c r="N108" s="10"/>
      <c r="O108" s="10"/>
      <c r="P108" s="10"/>
      <c r="Q108" s="10"/>
      <c r="R108" s="10"/>
      <c r="S108" s="10"/>
      <c r="T108" s="10"/>
      <c r="U108" s="10"/>
      <c r="V108" s="10"/>
    </row>
    <row r="109" spans="12:22" x14ac:dyDescent="0.3">
      <c r="L109" s="12"/>
      <c r="M109" s="72"/>
    </row>
    <row r="110" spans="12:22" x14ac:dyDescent="0.3">
      <c r="L110" s="12"/>
      <c r="M110" s="72"/>
    </row>
    <row r="111" spans="12:22" x14ac:dyDescent="0.3">
      <c r="L111" s="12"/>
      <c r="M111" s="72"/>
    </row>
    <row r="112" spans="12:22" x14ac:dyDescent="0.3">
      <c r="L112" s="12"/>
      <c r="M112" s="72"/>
    </row>
    <row r="113" spans="12:13" x14ac:dyDescent="0.3">
      <c r="L113" s="12"/>
      <c r="M113" s="72"/>
    </row>
    <row r="114" spans="12:13" x14ac:dyDescent="0.3">
      <c r="L114" s="12"/>
      <c r="M114" s="72"/>
    </row>
    <row r="115" spans="12:13" x14ac:dyDescent="0.3">
      <c r="L115" s="12"/>
      <c r="M115" s="72"/>
    </row>
    <row r="116" spans="12:13" x14ac:dyDescent="0.3">
      <c r="L116" s="12"/>
      <c r="M116" s="72"/>
    </row>
    <row r="117" spans="12:13" x14ac:dyDescent="0.3">
      <c r="L117" s="12"/>
      <c r="M117" s="72"/>
    </row>
    <row r="118" spans="12:13" x14ac:dyDescent="0.3">
      <c r="L118" s="12"/>
      <c r="M118" s="72"/>
    </row>
    <row r="119" spans="12:13" x14ac:dyDescent="0.3">
      <c r="L119" s="12"/>
      <c r="M119" s="72"/>
    </row>
    <row r="120" spans="12:13" x14ac:dyDescent="0.3">
      <c r="L120" s="12"/>
      <c r="M120" s="72"/>
    </row>
    <row r="121" spans="12:13" x14ac:dyDescent="0.3">
      <c r="L121" s="12"/>
      <c r="M121" s="72"/>
    </row>
    <row r="122" spans="12:13" x14ac:dyDescent="0.3">
      <c r="L122" s="12"/>
      <c r="M122" s="72"/>
    </row>
    <row r="123" spans="12:13" x14ac:dyDescent="0.3">
      <c r="L123" s="12"/>
      <c r="M123" s="72"/>
    </row>
    <row r="124" spans="12:13" x14ac:dyDescent="0.3">
      <c r="L124" s="12"/>
      <c r="M124" s="72"/>
    </row>
    <row r="125" spans="12:13" x14ac:dyDescent="0.3">
      <c r="L125" s="12"/>
      <c r="M125" s="72"/>
    </row>
    <row r="126" spans="12:13" x14ac:dyDescent="0.3">
      <c r="L126" s="12"/>
      <c r="M126" s="72"/>
    </row>
    <row r="127" spans="12:13" x14ac:dyDescent="0.3">
      <c r="L127" s="12"/>
      <c r="M127" s="72"/>
    </row>
    <row r="128" spans="12:13" x14ac:dyDescent="0.3">
      <c r="L128" s="12"/>
      <c r="M128" s="72"/>
    </row>
    <row r="129" spans="12:13" x14ac:dyDescent="0.3">
      <c r="L129" s="12"/>
      <c r="M129" s="72"/>
    </row>
    <row r="130" spans="12:13" x14ac:dyDescent="0.3">
      <c r="L130" s="12"/>
      <c r="M130" s="72"/>
    </row>
    <row r="131" spans="12:13" x14ac:dyDescent="0.3">
      <c r="L131" s="12"/>
      <c r="M131" s="72"/>
    </row>
    <row r="132" spans="12:13" x14ac:dyDescent="0.3">
      <c r="L132" s="12"/>
      <c r="M132" s="72"/>
    </row>
    <row r="133" spans="12:13" x14ac:dyDescent="0.3">
      <c r="L133" s="12"/>
      <c r="M133" s="72"/>
    </row>
    <row r="134" spans="12:13" x14ac:dyDescent="0.3">
      <c r="L134" s="12"/>
      <c r="M134" s="72"/>
    </row>
    <row r="135" spans="12:13" x14ac:dyDescent="0.3">
      <c r="L135" s="12"/>
      <c r="M135" s="72"/>
    </row>
    <row r="136" spans="12:13" x14ac:dyDescent="0.3">
      <c r="L136" s="12"/>
      <c r="M136" s="72"/>
    </row>
    <row r="137" spans="12:13" x14ac:dyDescent="0.3">
      <c r="L137" s="12"/>
      <c r="M137" s="72"/>
    </row>
    <row r="138" spans="12:13" x14ac:dyDescent="0.3">
      <c r="L138" s="12"/>
      <c r="M138" s="72"/>
    </row>
    <row r="139" spans="12:13" x14ac:dyDescent="0.3">
      <c r="L139" s="12"/>
      <c r="M139" s="72"/>
    </row>
    <row r="140" spans="12:13" x14ac:dyDescent="0.3">
      <c r="L140" s="12"/>
      <c r="M140" s="72"/>
    </row>
    <row r="141" spans="12:13" x14ac:dyDescent="0.3">
      <c r="L141" s="12"/>
      <c r="M141" s="72"/>
    </row>
    <row r="142" spans="12:13" x14ac:dyDescent="0.3">
      <c r="L142" s="12"/>
      <c r="M142" s="72"/>
    </row>
    <row r="143" spans="12:13" x14ac:dyDescent="0.3">
      <c r="L143" s="12"/>
      <c r="M143" s="72"/>
    </row>
    <row r="144" spans="12:13" x14ac:dyDescent="0.3">
      <c r="L144" s="12"/>
      <c r="M144" s="72"/>
    </row>
    <row r="145" spans="12:13" x14ac:dyDescent="0.3">
      <c r="L145" s="12"/>
      <c r="M145" s="72"/>
    </row>
    <row r="146" spans="12:13" x14ac:dyDescent="0.3">
      <c r="L146" s="12"/>
      <c r="M146" s="72"/>
    </row>
    <row r="147" spans="12:13" x14ac:dyDescent="0.3">
      <c r="L147" s="12"/>
      <c r="M147" s="72"/>
    </row>
    <row r="148" spans="12:13" x14ac:dyDescent="0.3">
      <c r="L148" s="12"/>
      <c r="M148" s="72"/>
    </row>
    <row r="149" spans="12:13" x14ac:dyDescent="0.3">
      <c r="L149" s="12"/>
      <c r="M149" s="72"/>
    </row>
    <row r="150" spans="12:13" x14ac:dyDescent="0.3">
      <c r="L150" s="12"/>
      <c r="M150" s="72"/>
    </row>
    <row r="151" spans="12:13" x14ac:dyDescent="0.3">
      <c r="L151" s="12"/>
      <c r="M151" s="72"/>
    </row>
    <row r="152" spans="12:13" x14ac:dyDescent="0.3">
      <c r="L152" s="12"/>
      <c r="M152" s="72"/>
    </row>
    <row r="153" spans="12:13" x14ac:dyDescent="0.3">
      <c r="L153" s="12"/>
      <c r="M153" s="72"/>
    </row>
    <row r="154" spans="12:13" x14ac:dyDescent="0.3">
      <c r="L154" s="12"/>
      <c r="M154" s="72"/>
    </row>
    <row r="155" spans="12:13" x14ac:dyDescent="0.3">
      <c r="L155" s="12"/>
      <c r="M155" s="72"/>
    </row>
    <row r="156" spans="12:13" x14ac:dyDescent="0.3">
      <c r="L156" s="12"/>
      <c r="M156" s="72"/>
    </row>
    <row r="157" spans="12:13" x14ac:dyDescent="0.3">
      <c r="L157" s="12"/>
      <c r="M157" s="72"/>
    </row>
    <row r="158" spans="12:13" x14ac:dyDescent="0.3">
      <c r="L158" s="12"/>
      <c r="M158" s="72"/>
    </row>
    <row r="159" spans="12:13" x14ac:dyDescent="0.3">
      <c r="L159" s="12"/>
      <c r="M159" s="72"/>
    </row>
    <row r="160" spans="12:13" x14ac:dyDescent="0.3">
      <c r="L160" s="12"/>
      <c r="M160" s="72"/>
    </row>
    <row r="161" spans="12:13" x14ac:dyDescent="0.3">
      <c r="L161" s="12"/>
      <c r="M161" s="72"/>
    </row>
    <row r="162" spans="12:13" x14ac:dyDescent="0.3">
      <c r="L162" s="12"/>
      <c r="M162" s="72"/>
    </row>
    <row r="163" spans="12:13" x14ac:dyDescent="0.3">
      <c r="L163" s="12"/>
      <c r="M163" s="72"/>
    </row>
    <row r="164" spans="12:13" x14ac:dyDescent="0.3">
      <c r="L164" s="12"/>
      <c r="M164" s="72"/>
    </row>
    <row r="165" spans="12:13" x14ac:dyDescent="0.3">
      <c r="L165" s="12"/>
      <c r="M165" s="72"/>
    </row>
    <row r="166" spans="12:13" x14ac:dyDescent="0.3">
      <c r="L166" s="12"/>
      <c r="M166" s="72"/>
    </row>
    <row r="167" spans="12:13" x14ac:dyDescent="0.3">
      <c r="L167" s="12"/>
      <c r="M167" s="72"/>
    </row>
    <row r="168" spans="12:13" x14ac:dyDescent="0.3">
      <c r="L168" s="12"/>
      <c r="M168" s="72"/>
    </row>
    <row r="169" spans="12:13" x14ac:dyDescent="0.3">
      <c r="L169" s="12"/>
      <c r="M169" s="72"/>
    </row>
    <row r="170" spans="12:13" x14ac:dyDescent="0.3">
      <c r="L170" s="12"/>
      <c r="M170" s="72"/>
    </row>
    <row r="171" spans="12:13" x14ac:dyDescent="0.3">
      <c r="L171" s="12"/>
      <c r="M171" s="72"/>
    </row>
    <row r="172" spans="12:13" x14ac:dyDescent="0.3">
      <c r="L172" s="12"/>
      <c r="M172" s="72"/>
    </row>
    <row r="173" spans="12:13" x14ac:dyDescent="0.3">
      <c r="L173" s="12"/>
      <c r="M173" s="72"/>
    </row>
    <row r="174" spans="12:13" x14ac:dyDescent="0.3">
      <c r="L174" s="12"/>
      <c r="M174" s="72"/>
    </row>
    <row r="175" spans="12:13" x14ac:dyDescent="0.3">
      <c r="L175" s="12"/>
      <c r="M175" s="72"/>
    </row>
    <row r="176" spans="12:13" x14ac:dyDescent="0.3">
      <c r="L176" s="12"/>
      <c r="M176" s="72"/>
    </row>
    <row r="177" spans="12:13" x14ac:dyDescent="0.3">
      <c r="L177" s="12"/>
      <c r="M177" s="72"/>
    </row>
    <row r="178" spans="12:13" x14ac:dyDescent="0.3">
      <c r="L178" s="12"/>
      <c r="M178" s="72"/>
    </row>
    <row r="179" spans="12:13" x14ac:dyDescent="0.3">
      <c r="L179" s="12"/>
      <c r="M179" s="72"/>
    </row>
    <row r="180" spans="12:13" x14ac:dyDescent="0.3">
      <c r="L180" s="12"/>
      <c r="M180" s="72"/>
    </row>
    <row r="181" spans="12:13" x14ac:dyDescent="0.3">
      <c r="L181" s="12"/>
      <c r="M181" s="72"/>
    </row>
    <row r="182" spans="12:13" x14ac:dyDescent="0.3">
      <c r="L182" s="12"/>
      <c r="M182" s="72"/>
    </row>
    <row r="183" spans="12:13" x14ac:dyDescent="0.3">
      <c r="L183" s="12"/>
      <c r="M183" s="72"/>
    </row>
    <row r="184" spans="12:13" x14ac:dyDescent="0.3">
      <c r="L184" s="12"/>
      <c r="M184" s="72"/>
    </row>
    <row r="185" spans="12:13" x14ac:dyDescent="0.3">
      <c r="L185" s="12"/>
      <c r="M185" s="72"/>
    </row>
    <row r="186" spans="12:13" x14ac:dyDescent="0.3">
      <c r="L186" s="12"/>
      <c r="M186" s="72"/>
    </row>
    <row r="187" spans="12:13" x14ac:dyDescent="0.3">
      <c r="L187" s="12"/>
      <c r="M187" s="72"/>
    </row>
    <row r="188" spans="12:13" x14ac:dyDescent="0.3">
      <c r="L188" s="12"/>
      <c r="M188" s="72"/>
    </row>
    <row r="189" spans="12:13" x14ac:dyDescent="0.3">
      <c r="L189" s="12"/>
      <c r="M189" s="72"/>
    </row>
    <row r="190" spans="12:13" x14ac:dyDescent="0.3">
      <c r="L190" s="12"/>
      <c r="M190" s="72"/>
    </row>
    <row r="191" spans="12:13" x14ac:dyDescent="0.3">
      <c r="L191" s="12"/>
      <c r="M191" s="72"/>
    </row>
    <row r="192" spans="12:13" x14ac:dyDescent="0.3">
      <c r="L192" s="12"/>
      <c r="M192" s="72"/>
    </row>
    <row r="193" spans="12:22" x14ac:dyDescent="0.3">
      <c r="L193" s="12"/>
      <c r="M193" s="72"/>
    </row>
    <row r="194" spans="12:22" x14ac:dyDescent="0.3">
      <c r="L194" s="12"/>
      <c r="M194" s="72"/>
    </row>
    <row r="195" spans="12:22" x14ac:dyDescent="0.3">
      <c r="L195" s="12"/>
      <c r="M195" s="72"/>
    </row>
    <row r="196" spans="12:22" x14ac:dyDescent="0.3">
      <c r="L196" s="12"/>
      <c r="M196" s="72"/>
    </row>
    <row r="197" spans="12:22" x14ac:dyDescent="0.3">
      <c r="L197" s="12"/>
      <c r="M197" s="72"/>
    </row>
    <row r="198" spans="12:22" x14ac:dyDescent="0.3">
      <c r="L198" s="12"/>
      <c r="M198" s="72"/>
    </row>
    <row r="199" spans="12:22" x14ac:dyDescent="0.3">
      <c r="L199" s="12"/>
      <c r="M199" s="72"/>
    </row>
    <row r="200" spans="12:22" x14ac:dyDescent="0.3">
      <c r="L200" s="12"/>
      <c r="M200" s="72"/>
    </row>
    <row r="201" spans="12:22" x14ac:dyDescent="0.3">
      <c r="L201" s="12"/>
      <c r="M201" s="72"/>
    </row>
    <row r="202" spans="12:22" x14ac:dyDescent="0.3">
      <c r="L202" s="12"/>
      <c r="M202" s="72"/>
    </row>
    <row r="203" spans="12:22" x14ac:dyDescent="0.3">
      <c r="L203" s="12"/>
      <c r="M203" s="72"/>
    </row>
    <row r="204" spans="12:22" x14ac:dyDescent="0.3">
      <c r="L204" s="12"/>
      <c r="M204" s="72"/>
    </row>
    <row r="205" spans="12:22" x14ac:dyDescent="0.3">
      <c r="L205" s="10"/>
      <c r="M205" s="73"/>
    </row>
    <row r="208" spans="12:22" x14ac:dyDescent="0.3">
      <c r="L208" s="10"/>
      <c r="M208" s="10"/>
      <c r="N208" s="10"/>
      <c r="O208" s="10"/>
      <c r="P208" s="10"/>
      <c r="Q208" s="10"/>
      <c r="R208" s="10"/>
      <c r="S208" s="10"/>
      <c r="T208" s="10"/>
      <c r="U208" s="10"/>
      <c r="V208" s="1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3E79-BB4D-4079-8BA4-4F2D88EB81BD}">
  <sheetPr codeName="Sheet9"/>
  <dimension ref="B3:H80"/>
  <sheetViews>
    <sheetView showGridLines="0" zoomScaleNormal="100" workbookViewId="0"/>
  </sheetViews>
  <sheetFormatPr defaultColWidth="8.7109375" defaultRowHeight="16.5" x14ac:dyDescent="0.3"/>
  <cols>
    <col min="1" max="2" width="8.7109375" style="1"/>
    <col min="3" max="3" width="13.7109375" style="1" customWidth="1"/>
    <col min="4" max="4" width="14.85546875" style="4" customWidth="1"/>
    <col min="5" max="5" width="8.85546875" style="1" customWidth="1"/>
    <col min="6" max="6" width="8.7109375" style="14"/>
    <col min="7" max="16384" width="8.7109375" style="1"/>
  </cols>
  <sheetData>
    <row r="3" spans="2:8" x14ac:dyDescent="0.3">
      <c r="B3" s="95" t="s">
        <v>334</v>
      </c>
      <c r="C3" s="8"/>
      <c r="D3" s="17"/>
      <c r="E3" s="8"/>
      <c r="F3" s="15"/>
      <c r="G3" s="8"/>
      <c r="H3" s="8"/>
    </row>
    <row r="4" spans="2:8" x14ac:dyDescent="0.3">
      <c r="B4" s="8" t="s">
        <v>22</v>
      </c>
      <c r="C4" s="8"/>
      <c r="D4" s="17"/>
      <c r="E4" s="8"/>
      <c r="F4" s="15"/>
      <c r="G4" s="8"/>
      <c r="H4" s="8"/>
    </row>
    <row r="6" spans="2:8" x14ac:dyDescent="0.3">
      <c r="C6" s="1" t="s">
        <v>179</v>
      </c>
      <c r="D6" s="4" t="s">
        <v>181</v>
      </c>
      <c r="F6" s="11"/>
    </row>
    <row r="7" spans="2:8" x14ac:dyDescent="0.3">
      <c r="C7" s="1" t="s">
        <v>157</v>
      </c>
      <c r="D7" s="4" t="s">
        <v>157</v>
      </c>
      <c r="F7" s="11"/>
    </row>
    <row r="8" spans="2:8" x14ac:dyDescent="0.3">
      <c r="B8" s="16">
        <v>2006</v>
      </c>
      <c r="C8" s="74">
        <v>2.8928904574015704</v>
      </c>
      <c r="D8" s="4">
        <v>3.1168036987268541</v>
      </c>
      <c r="F8" s="11"/>
      <c r="G8" s="11"/>
    </row>
    <row r="9" spans="2:8" x14ac:dyDescent="0.3">
      <c r="B9" s="16">
        <v>2007</v>
      </c>
      <c r="C9" s="74">
        <v>2.9345872781552806</v>
      </c>
      <c r="D9" s="4">
        <v>3.1523109123557465</v>
      </c>
      <c r="F9" s="11"/>
      <c r="G9" s="11"/>
    </row>
    <row r="10" spans="2:8" x14ac:dyDescent="0.3">
      <c r="B10" s="16">
        <v>2008</v>
      </c>
      <c r="C10" s="74">
        <v>2.9429787287605538</v>
      </c>
      <c r="D10" s="4">
        <v>3.1945430116787819</v>
      </c>
      <c r="F10" s="11"/>
      <c r="G10" s="11"/>
    </row>
    <row r="11" spans="2:8" x14ac:dyDescent="0.3">
      <c r="B11" s="16">
        <v>2009</v>
      </c>
      <c r="C11" s="74">
        <v>2.9431281149077972</v>
      </c>
      <c r="D11" s="4">
        <v>3.2320007371318664</v>
      </c>
      <c r="F11" s="11"/>
      <c r="G11" s="11"/>
    </row>
    <row r="12" spans="2:8" x14ac:dyDescent="0.3">
      <c r="B12" s="16">
        <v>2010</v>
      </c>
      <c r="C12" s="21">
        <v>2.9423223748925675</v>
      </c>
      <c r="D12" s="4">
        <v>3.2705402249684976</v>
      </c>
      <c r="F12" s="11"/>
      <c r="G12" s="11"/>
    </row>
    <row r="13" spans="2:8" x14ac:dyDescent="0.3">
      <c r="B13" s="16">
        <v>2011</v>
      </c>
      <c r="C13" s="21">
        <v>2.94736309540367</v>
      </c>
      <c r="D13" s="4">
        <v>3.3044804509446872</v>
      </c>
      <c r="F13" s="11"/>
      <c r="G13" s="11"/>
    </row>
    <row r="14" spans="2:8" x14ac:dyDescent="0.3">
      <c r="B14" s="16">
        <v>2012</v>
      </c>
      <c r="C14" s="21">
        <v>2.9492728933959533</v>
      </c>
      <c r="D14" s="4">
        <v>3.331148953010604</v>
      </c>
      <c r="F14" s="11"/>
      <c r="G14" s="11"/>
    </row>
    <row r="15" spans="2:8" x14ac:dyDescent="0.3">
      <c r="B15" s="16">
        <v>2013</v>
      </c>
      <c r="C15" s="21">
        <v>2.9505250945844459</v>
      </c>
      <c r="D15" s="4">
        <v>3.3649881835411937</v>
      </c>
      <c r="F15" s="11"/>
      <c r="G15" s="11"/>
    </row>
    <row r="16" spans="2:8" x14ac:dyDescent="0.3">
      <c r="B16" s="16">
        <v>2014</v>
      </c>
      <c r="C16" s="21">
        <v>2.9631628952966658</v>
      </c>
      <c r="D16" s="4">
        <v>3.3914630853574068</v>
      </c>
      <c r="F16" s="11"/>
      <c r="G16" s="11"/>
    </row>
    <row r="17" spans="2:7" x14ac:dyDescent="0.3">
      <c r="B17" s="16">
        <v>2015</v>
      </c>
      <c r="C17" s="21">
        <v>3.0011719904247753</v>
      </c>
      <c r="D17" s="4">
        <v>3.4280282006164455</v>
      </c>
      <c r="F17" s="11"/>
      <c r="G17" s="11"/>
    </row>
    <row r="18" spans="2:7" x14ac:dyDescent="0.3">
      <c r="B18" s="16">
        <v>2016</v>
      </c>
      <c r="C18" s="21">
        <v>3.0541419613083134</v>
      </c>
      <c r="D18" s="4">
        <v>3.4623385258358663</v>
      </c>
      <c r="F18" s="11"/>
      <c r="G18" s="11"/>
    </row>
    <row r="19" spans="2:7" x14ac:dyDescent="0.3">
      <c r="B19" s="16">
        <v>2017</v>
      </c>
      <c r="C19" s="21">
        <v>3.1140159725822252</v>
      </c>
      <c r="D19" s="4">
        <v>3.4849249821386041</v>
      </c>
      <c r="F19" s="11"/>
      <c r="G19" s="11"/>
    </row>
    <row r="20" spans="2:7" x14ac:dyDescent="0.3">
      <c r="B20" s="16">
        <v>2018</v>
      </c>
      <c r="C20" s="21">
        <v>3.1452579386823678</v>
      </c>
      <c r="D20" s="4">
        <v>3.5121400136283754</v>
      </c>
      <c r="F20" s="11"/>
      <c r="G20" s="11"/>
    </row>
    <row r="21" spans="2:7" x14ac:dyDescent="0.3">
      <c r="B21" s="16">
        <v>2019</v>
      </c>
      <c r="C21" s="21">
        <v>3.1859400611002169</v>
      </c>
      <c r="D21" s="4">
        <v>3.5513036569805232</v>
      </c>
      <c r="F21" s="11"/>
      <c r="G21" s="11"/>
    </row>
    <row r="22" spans="2:7" x14ac:dyDescent="0.3">
      <c r="B22" s="16">
        <v>2020</v>
      </c>
      <c r="C22" s="21">
        <v>3.1925662458180479</v>
      </c>
      <c r="D22" s="4">
        <v>3.5867695513131119</v>
      </c>
      <c r="F22" s="11"/>
      <c r="G22" s="11"/>
    </row>
    <row r="23" spans="2:7" x14ac:dyDescent="0.3">
      <c r="B23" s="16">
        <v>2021</v>
      </c>
      <c r="C23" s="21">
        <v>3.2338765287955376</v>
      </c>
      <c r="D23" s="4">
        <v>3.6144246807163647</v>
      </c>
      <c r="F23" s="11"/>
      <c r="G23" s="11"/>
    </row>
    <row r="24" spans="2:7" x14ac:dyDescent="0.3">
      <c r="B24" s="16">
        <v>2022</v>
      </c>
      <c r="C24" s="21">
        <v>3.2287255625232687</v>
      </c>
      <c r="D24" s="4">
        <v>3.6346652003910069</v>
      </c>
      <c r="F24" s="11"/>
      <c r="G24" s="11"/>
    </row>
    <row r="25" spans="2:7" x14ac:dyDescent="0.3">
      <c r="B25" s="16">
        <v>2023</v>
      </c>
      <c r="C25" s="21">
        <v>3.2238617439523458</v>
      </c>
      <c r="D25" s="4">
        <v>3.6488105446260137</v>
      </c>
      <c r="F25" s="11"/>
      <c r="G25" s="11"/>
    </row>
    <row r="26" spans="2:7" x14ac:dyDescent="0.3">
      <c r="B26" s="16">
        <v>2024</v>
      </c>
      <c r="C26" s="21">
        <v>3.2850246074244254</v>
      </c>
      <c r="D26" s="4">
        <v>3.6552684530820576</v>
      </c>
      <c r="F26" s="11"/>
      <c r="G26" s="11"/>
    </row>
    <row r="27" spans="2:7" x14ac:dyDescent="0.3">
      <c r="B27" s="16">
        <v>2025</v>
      </c>
      <c r="C27" s="21">
        <v>3.3288716931235833</v>
      </c>
      <c r="D27" s="4">
        <v>3.6566804999631657</v>
      </c>
      <c r="F27" s="11"/>
      <c r="G27" s="11"/>
    </row>
    <row r="28" spans="2:7" x14ac:dyDescent="0.3">
      <c r="B28" s="16">
        <v>2026</v>
      </c>
      <c r="C28" s="21">
        <v>3.3396987339478224</v>
      </c>
      <c r="D28" s="4">
        <v>3.652279090328602</v>
      </c>
      <c r="F28" s="11"/>
      <c r="G28" s="11"/>
    </row>
    <row r="29" spans="2:7" x14ac:dyDescent="0.3">
      <c r="B29" s="16">
        <v>2027</v>
      </c>
      <c r="C29" s="21">
        <v>3.3457804064769214</v>
      </c>
      <c r="D29" s="4">
        <v>3.6432735618640844</v>
      </c>
      <c r="F29" s="11"/>
      <c r="G29" s="11"/>
    </row>
    <row r="30" spans="2:7" x14ac:dyDescent="0.3">
      <c r="B30" s="16">
        <v>2028</v>
      </c>
      <c r="C30" s="21">
        <v>3.3522186194207895</v>
      </c>
      <c r="D30" s="4">
        <v>3.6320565010544903</v>
      </c>
      <c r="F30" s="11"/>
      <c r="G30" s="11"/>
    </row>
    <row r="31" spans="2:7" x14ac:dyDescent="0.3">
      <c r="B31" s="16">
        <v>2029</v>
      </c>
      <c r="C31" s="21">
        <v>3.3595627547186524</v>
      </c>
      <c r="D31" s="4">
        <v>3.6202348734401979</v>
      </c>
      <c r="F31" s="11"/>
      <c r="G31" s="11"/>
    </row>
    <row r="32" spans="2:7" x14ac:dyDescent="0.3">
      <c r="B32" s="16">
        <v>2030</v>
      </c>
      <c r="C32" s="21">
        <v>3.4046394005433029</v>
      </c>
      <c r="D32" s="4">
        <v>3.6097164308685605</v>
      </c>
      <c r="F32" s="11"/>
      <c r="G32" s="11"/>
    </row>
    <row r="33" spans="2:7" x14ac:dyDescent="0.3">
      <c r="B33" s="16">
        <v>2031</v>
      </c>
      <c r="C33" s="21">
        <v>3.4479653862317634</v>
      </c>
      <c r="D33" s="4">
        <v>3.5987012352912457</v>
      </c>
      <c r="F33" s="11"/>
      <c r="G33" s="11"/>
    </row>
    <row r="34" spans="2:7" x14ac:dyDescent="0.3">
      <c r="B34" s="16">
        <v>2032</v>
      </c>
      <c r="C34" s="21">
        <v>3.4917398739615622</v>
      </c>
      <c r="D34" s="4">
        <v>3.5884726505833155</v>
      </c>
      <c r="F34" s="11"/>
      <c r="G34" s="11"/>
    </row>
    <row r="35" spans="2:7" x14ac:dyDescent="0.3">
      <c r="B35" s="16">
        <v>2033</v>
      </c>
      <c r="C35" s="21">
        <v>3.5310019858753594</v>
      </c>
      <c r="D35" s="4">
        <v>3.5798314209846769</v>
      </c>
      <c r="F35" s="11"/>
      <c r="G35" s="11"/>
    </row>
    <row r="36" spans="2:7" x14ac:dyDescent="0.3">
      <c r="B36" s="16">
        <v>2034</v>
      </c>
      <c r="C36" s="21">
        <v>3.5701258992887297</v>
      </c>
      <c r="D36" s="4">
        <v>3.5725452951490357</v>
      </c>
      <c r="F36" s="11"/>
      <c r="G36" s="11"/>
    </row>
    <row r="37" spans="2:7" x14ac:dyDescent="0.3">
      <c r="B37" s="16">
        <v>2035</v>
      </c>
      <c r="C37" s="21">
        <v>3.6039033573081296</v>
      </c>
      <c r="D37" s="4">
        <v>3.5674846252207271</v>
      </c>
      <c r="F37" s="11"/>
      <c r="G37" s="11"/>
    </row>
    <row r="38" spans="2:7" x14ac:dyDescent="0.3">
      <c r="B38" s="16">
        <v>2036</v>
      </c>
      <c r="C38" s="21">
        <v>3.6377403714947696</v>
      </c>
      <c r="D38" s="4">
        <v>3.562731526613375</v>
      </c>
      <c r="F38" s="11"/>
      <c r="G38" s="11"/>
    </row>
    <row r="39" spans="2:7" x14ac:dyDescent="0.3">
      <c r="B39" s="16">
        <v>2037</v>
      </c>
      <c r="C39" s="21">
        <v>3.6694645934663832</v>
      </c>
      <c r="D39" s="4">
        <v>3.5605045810001341</v>
      </c>
      <c r="F39" s="11"/>
      <c r="G39" s="11"/>
    </row>
    <row r="40" spans="2:7" x14ac:dyDescent="0.3">
      <c r="B40" s="16">
        <v>2038</v>
      </c>
      <c r="C40" s="21">
        <v>3.6826442430561448</v>
      </c>
      <c r="D40" s="4">
        <v>3.5631400151526256</v>
      </c>
      <c r="F40" s="11"/>
      <c r="G40" s="11"/>
    </row>
    <row r="41" spans="2:7" x14ac:dyDescent="0.3">
      <c r="B41" s="16">
        <v>2039</v>
      </c>
      <c r="C41" s="21">
        <v>3.6955563638821269</v>
      </c>
      <c r="D41" s="4">
        <v>3.5695148531824752</v>
      </c>
      <c r="F41" s="11"/>
      <c r="G41" s="11"/>
    </row>
    <row r="42" spans="2:7" x14ac:dyDescent="0.3">
      <c r="B42" s="16">
        <v>2040</v>
      </c>
      <c r="C42" s="21">
        <v>3.7141745369928891</v>
      </c>
      <c r="D42" s="4">
        <v>3.5794557706233965</v>
      </c>
      <c r="F42" s="11"/>
      <c r="G42" s="11"/>
    </row>
    <row r="43" spans="2:7" x14ac:dyDescent="0.3">
      <c r="B43" s="16">
        <v>2041</v>
      </c>
      <c r="C43" s="21">
        <v>3.7327267323591999</v>
      </c>
      <c r="D43" s="4">
        <v>3.59329501679938</v>
      </c>
      <c r="F43" s="11"/>
      <c r="G43" s="11"/>
    </row>
    <row r="44" spans="2:7" x14ac:dyDescent="0.3">
      <c r="B44" s="16">
        <v>2042</v>
      </c>
      <c r="C44" s="21">
        <v>3.7493621273984563</v>
      </c>
      <c r="D44" s="4">
        <v>3.6077639943220392</v>
      </c>
      <c r="F44" s="11"/>
      <c r="G44" s="11"/>
    </row>
    <row r="45" spans="2:7" x14ac:dyDescent="0.3">
      <c r="B45" s="16">
        <v>2043</v>
      </c>
      <c r="C45" s="21">
        <v>3.765211041753028</v>
      </c>
      <c r="D45" s="4">
        <v>3.6239738494112399</v>
      </c>
      <c r="F45" s="11"/>
      <c r="G45" s="11"/>
    </row>
    <row r="46" spans="2:7" x14ac:dyDescent="0.3">
      <c r="B46" s="16">
        <v>2044</v>
      </c>
      <c r="C46" s="21">
        <v>3.7775606076317159</v>
      </c>
      <c r="D46" s="4">
        <v>3.6390921400797547</v>
      </c>
      <c r="F46" s="11"/>
      <c r="G46" s="11"/>
    </row>
    <row r="47" spans="2:7" x14ac:dyDescent="0.3">
      <c r="B47" s="16">
        <v>2045</v>
      </c>
      <c r="C47" s="21">
        <v>3.7875794472251902</v>
      </c>
      <c r="D47" s="4">
        <v>3.6539693619355083</v>
      </c>
      <c r="F47" s="11"/>
      <c r="G47" s="11"/>
    </row>
    <row r="48" spans="2:7" x14ac:dyDescent="0.3">
      <c r="B48" s="16">
        <v>2046</v>
      </c>
      <c r="C48" s="21">
        <v>3.7957358672546269</v>
      </c>
      <c r="D48" s="4">
        <v>3.6679132011756614</v>
      </c>
      <c r="F48" s="11"/>
      <c r="G48" s="11"/>
    </row>
    <row r="49" spans="2:7" x14ac:dyDescent="0.3">
      <c r="B49" s="16">
        <v>2047</v>
      </c>
      <c r="C49" s="21">
        <v>3.8019224113810455</v>
      </c>
      <c r="D49" s="4">
        <v>3.6814873378008683</v>
      </c>
      <c r="F49" s="11"/>
      <c r="G49" s="11"/>
    </row>
    <row r="50" spans="2:7" x14ac:dyDescent="0.3">
      <c r="B50" s="16">
        <v>2048</v>
      </c>
      <c r="C50" s="21">
        <v>3.8064394226690572</v>
      </c>
      <c r="D50" s="4">
        <v>3.6944056208212146</v>
      </c>
      <c r="F50" s="11"/>
      <c r="G50" s="11"/>
    </row>
    <row r="51" spans="2:7" x14ac:dyDescent="0.3">
      <c r="B51" s="16">
        <v>2049</v>
      </c>
      <c r="C51" s="21">
        <v>3.8103391169010639</v>
      </c>
      <c r="D51" s="4">
        <v>3.7069033032274361</v>
      </c>
      <c r="F51" s="11"/>
      <c r="G51" s="11"/>
    </row>
    <row r="52" spans="2:7" x14ac:dyDescent="0.3">
      <c r="B52" s="16">
        <v>2050</v>
      </c>
      <c r="C52" s="21">
        <v>3.8141489560954511</v>
      </c>
      <c r="D52" s="4">
        <v>3.7191226225021223</v>
      </c>
      <c r="F52" s="11"/>
      <c r="G52" s="11"/>
    </row>
    <row r="53" spans="2:7" x14ac:dyDescent="0.3">
      <c r="B53" s="16">
        <v>2051</v>
      </c>
      <c r="C53" s="21">
        <v>3.8182320182970138</v>
      </c>
      <c r="D53" s="4">
        <v>3.7293705049683603</v>
      </c>
      <c r="F53" s="11"/>
      <c r="G53" s="11"/>
    </row>
    <row r="54" spans="2:7" x14ac:dyDescent="0.3">
      <c r="B54" s="16">
        <v>2052</v>
      </c>
      <c r="C54" s="21">
        <v>3.8213349921996866</v>
      </c>
      <c r="D54" s="4">
        <v>3.7380967548766035</v>
      </c>
      <c r="F54" s="11"/>
      <c r="G54" s="11"/>
    </row>
    <row r="55" spans="2:7" x14ac:dyDescent="0.3">
      <c r="B55" s="16">
        <v>2053</v>
      </c>
      <c r="C55" s="21">
        <v>3.823606238922495</v>
      </c>
      <c r="D55" s="4">
        <v>3.7425418880261545</v>
      </c>
      <c r="F55" s="11"/>
      <c r="G55" s="11"/>
    </row>
    <row r="56" spans="2:7" x14ac:dyDescent="0.3">
      <c r="B56" s="16">
        <v>2054</v>
      </c>
      <c r="C56" s="21">
        <v>3.8271537825628199</v>
      </c>
      <c r="D56" s="4">
        <v>3.744567582094136</v>
      </c>
      <c r="F56" s="11"/>
      <c r="G56" s="11"/>
    </row>
    <row r="57" spans="2:7" x14ac:dyDescent="0.3">
      <c r="B57" s="16">
        <v>2055</v>
      </c>
      <c r="C57" s="21">
        <v>3.8302801609689863</v>
      </c>
      <c r="D57" s="4">
        <v>3.7423014794492451</v>
      </c>
      <c r="F57" s="11"/>
      <c r="G57" s="11"/>
    </row>
    <row r="58" spans="2:7" x14ac:dyDescent="0.3">
      <c r="B58" s="16">
        <v>2056</v>
      </c>
      <c r="C58" s="21">
        <v>3.8343217740267632</v>
      </c>
      <c r="D58" s="4">
        <v>3.7368373753065183</v>
      </c>
      <c r="F58" s="11"/>
      <c r="G58" s="11"/>
    </row>
    <row r="59" spans="2:7" x14ac:dyDescent="0.3">
      <c r="B59" s="16">
        <v>2057</v>
      </c>
      <c r="C59" s="21">
        <v>3.8409158594244217</v>
      </c>
      <c r="D59" s="4">
        <v>3.7321678771129254</v>
      </c>
      <c r="F59" s="11"/>
      <c r="G59" s="11"/>
    </row>
    <row r="60" spans="2:7" x14ac:dyDescent="0.3">
      <c r="B60" s="16">
        <v>2058</v>
      </c>
      <c r="C60" s="21">
        <v>3.8502561254200356</v>
      </c>
      <c r="D60" s="4">
        <v>3.7262610798780411</v>
      </c>
      <c r="F60" s="11"/>
      <c r="G60" s="11"/>
    </row>
    <row r="61" spans="2:7" x14ac:dyDescent="0.3">
      <c r="B61" s="16">
        <v>2059</v>
      </c>
      <c r="C61" s="21">
        <v>3.8630453046435087</v>
      </c>
      <c r="D61" s="4">
        <v>3.7210134665396395</v>
      </c>
      <c r="F61" s="11"/>
      <c r="G61" s="11"/>
    </row>
    <row r="62" spans="2:7" x14ac:dyDescent="0.3">
      <c r="B62" s="16">
        <v>2060</v>
      </c>
      <c r="C62" s="21">
        <v>3.8771960102044929</v>
      </c>
      <c r="D62" s="4">
        <v>3.7145175625024147</v>
      </c>
      <c r="F62" s="11"/>
      <c r="G62" s="11"/>
    </row>
    <row r="63" spans="2:7" x14ac:dyDescent="0.3">
      <c r="B63" s="16">
        <v>2061</v>
      </c>
      <c r="C63" s="21">
        <v>3.8930397193255466</v>
      </c>
      <c r="D63" s="4">
        <v>3.7088165558476369</v>
      </c>
      <c r="F63" s="11"/>
      <c r="G63" s="11"/>
    </row>
    <row r="64" spans="2:7" x14ac:dyDescent="0.3">
      <c r="B64" s="16">
        <v>2062</v>
      </c>
      <c r="C64" s="21">
        <v>3.9104809108737877</v>
      </c>
      <c r="D64" s="4">
        <v>3.7029082658691279</v>
      </c>
      <c r="F64" s="11"/>
      <c r="G64" s="11"/>
    </row>
    <row r="65" spans="2:7" x14ac:dyDescent="0.3">
      <c r="B65" s="16">
        <v>2063</v>
      </c>
      <c r="C65" s="21">
        <v>3.9276564085103205</v>
      </c>
      <c r="D65" s="4">
        <v>3.6957547778093005</v>
      </c>
      <c r="F65" s="11"/>
      <c r="G65" s="11"/>
    </row>
    <row r="66" spans="2:7" x14ac:dyDescent="0.3">
      <c r="B66" s="16">
        <v>2064</v>
      </c>
      <c r="C66" s="21">
        <v>3.9457414587822899</v>
      </c>
      <c r="D66" s="4">
        <v>3.6910542883682522</v>
      </c>
      <c r="F66" s="11"/>
      <c r="G66" s="11"/>
    </row>
    <row r="67" spans="2:7" x14ac:dyDescent="0.3">
      <c r="B67" s="16">
        <v>2065</v>
      </c>
      <c r="C67" s="21">
        <v>3.9605852076001775</v>
      </c>
      <c r="D67" s="4">
        <v>3.6848036557973818</v>
      </c>
      <c r="F67" s="11"/>
      <c r="G67" s="11"/>
    </row>
    <row r="68" spans="2:7" x14ac:dyDescent="0.3">
      <c r="B68" s="16"/>
      <c r="E68" s="4"/>
      <c r="F68" s="1"/>
    </row>
    <row r="69" spans="2:7" x14ac:dyDescent="0.3">
      <c r="B69" s="16"/>
      <c r="E69" s="4"/>
      <c r="F69" s="1"/>
    </row>
    <row r="70" spans="2:7" x14ac:dyDescent="0.3">
      <c r="B70" s="16"/>
      <c r="E70" s="4"/>
      <c r="F70" s="1"/>
    </row>
    <row r="71" spans="2:7" x14ac:dyDescent="0.3">
      <c r="B71" s="16"/>
      <c r="E71" s="4"/>
    </row>
    <row r="72" spans="2:7" x14ac:dyDescent="0.3">
      <c r="B72" s="16"/>
      <c r="E72" s="4"/>
    </row>
    <row r="73" spans="2:7" x14ac:dyDescent="0.3">
      <c r="B73" s="16"/>
      <c r="E73" s="4"/>
    </row>
    <row r="74" spans="2:7" x14ac:dyDescent="0.3">
      <c r="B74" s="16"/>
      <c r="E74" s="4"/>
    </row>
    <row r="75" spans="2:7" x14ac:dyDescent="0.3">
      <c r="B75" s="16"/>
      <c r="E75" s="4"/>
    </row>
    <row r="76" spans="2:7" x14ac:dyDescent="0.3">
      <c r="B76" s="16"/>
      <c r="E76" s="4"/>
    </row>
    <row r="77" spans="2:7" x14ac:dyDescent="0.3">
      <c r="B77" s="16"/>
      <c r="E77" s="4"/>
    </row>
    <row r="78" spans="2:7" x14ac:dyDescent="0.3">
      <c r="B78" s="16"/>
      <c r="E78" s="4"/>
    </row>
    <row r="79" spans="2:7" x14ac:dyDescent="0.3">
      <c r="B79" s="16"/>
      <c r="E79" s="4"/>
    </row>
    <row r="80" spans="2:7" x14ac:dyDescent="0.3">
      <c r="B80" s="16"/>
      <c r="E80" s="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E3254-9BFE-4200-83D7-2E064B3D3272}">
  <dimension ref="B2:I25"/>
  <sheetViews>
    <sheetView showGridLines="0" zoomScaleNormal="100" workbookViewId="0"/>
  </sheetViews>
  <sheetFormatPr defaultColWidth="9.5703125" defaultRowHeight="16.5" x14ac:dyDescent="0.3"/>
  <cols>
    <col min="1" max="2" width="9.5703125" style="1"/>
    <col min="3" max="4" width="10.140625" style="1" bestFit="1" customWidth="1"/>
    <col min="5" max="5" width="11.7109375" style="1" bestFit="1" customWidth="1"/>
    <col min="6" max="7" width="10.140625" style="1" bestFit="1" customWidth="1"/>
    <col min="8" max="16384" width="9.5703125" style="1"/>
  </cols>
  <sheetData>
    <row r="2" spans="2:9" x14ac:dyDescent="0.3">
      <c r="B2" s="9" t="s">
        <v>286</v>
      </c>
      <c r="C2" s="8"/>
      <c r="D2" s="8"/>
      <c r="E2" s="8"/>
      <c r="F2" s="8"/>
      <c r="G2" s="8"/>
      <c r="H2" s="8"/>
      <c r="I2" s="8"/>
    </row>
    <row r="3" spans="2:9" x14ac:dyDescent="0.3">
      <c r="B3" s="8" t="s">
        <v>0</v>
      </c>
      <c r="C3" s="8"/>
      <c r="D3" s="8"/>
      <c r="E3" s="8"/>
      <c r="F3" s="8"/>
      <c r="G3" s="8"/>
      <c r="H3" s="8"/>
      <c r="I3" s="8"/>
    </row>
    <row r="5" spans="2:9" ht="49.5" x14ac:dyDescent="0.3">
      <c r="C5" s="28" t="s">
        <v>132</v>
      </c>
      <c r="D5" s="30" t="s">
        <v>137</v>
      </c>
      <c r="E5" s="28" t="s">
        <v>136</v>
      </c>
      <c r="F5" s="28" t="s">
        <v>56</v>
      </c>
      <c r="G5" s="28" t="s">
        <v>133</v>
      </c>
      <c r="H5" s="29"/>
    </row>
    <row r="6" spans="2:9" x14ac:dyDescent="0.3">
      <c r="C6" s="28" t="s">
        <v>162</v>
      </c>
      <c r="D6" s="28" t="s">
        <v>162</v>
      </c>
      <c r="E6" s="28" t="s">
        <v>162</v>
      </c>
      <c r="F6" s="28" t="s">
        <v>162</v>
      </c>
      <c r="G6" s="28" t="s">
        <v>162</v>
      </c>
      <c r="H6" s="29"/>
    </row>
    <row r="7" spans="2:9" x14ac:dyDescent="0.3">
      <c r="B7" s="1" t="s">
        <v>189</v>
      </c>
      <c r="C7" s="4">
        <v>0</v>
      </c>
      <c r="D7" s="4">
        <v>2.5218385272935304</v>
      </c>
      <c r="E7" s="4">
        <v>0</v>
      </c>
      <c r="F7" s="4">
        <v>8.28018779026721E-2</v>
      </c>
      <c r="G7" s="4">
        <v>0.52551591842229195</v>
      </c>
    </row>
    <row r="8" spans="2:9" x14ac:dyDescent="0.3">
      <c r="B8" s="1" t="s">
        <v>190</v>
      </c>
      <c r="C8" s="4">
        <v>0</v>
      </c>
      <c r="D8" s="4">
        <v>0.98646573286643302</v>
      </c>
      <c r="E8" s="4">
        <v>3.5898417958979398E-2</v>
      </c>
      <c r="F8" s="4">
        <v>7.0087387443721796E-2</v>
      </c>
      <c r="G8" s="4">
        <v>0.23248499249624799</v>
      </c>
    </row>
    <row r="9" spans="2:9" x14ac:dyDescent="0.3">
      <c r="B9" s="1" t="s">
        <v>191</v>
      </c>
      <c r="C9" s="4">
        <v>0</v>
      </c>
      <c r="D9" s="4">
        <v>0.94598871050275002</v>
      </c>
      <c r="E9" s="4">
        <v>0.13464164641166598</v>
      </c>
      <c r="F9" s="4">
        <v>6.8195119611103999E-2</v>
      </c>
      <c r="G9" s="4">
        <v>0.237808622233593</v>
      </c>
    </row>
    <row r="10" spans="2:9" x14ac:dyDescent="0.3">
      <c r="B10" s="1" t="s">
        <v>192</v>
      </c>
      <c r="C10" s="4">
        <v>0</v>
      </c>
      <c r="D10" s="4">
        <v>1.2097040875629601</v>
      </c>
      <c r="E10" s="4">
        <v>0.55607080588919</v>
      </c>
      <c r="F10" s="4">
        <v>7.4142774118558699E-2</v>
      </c>
      <c r="G10" s="4">
        <v>0.36012204571871304</v>
      </c>
    </row>
    <row r="11" spans="2:9" x14ac:dyDescent="0.3">
      <c r="B11" s="1" t="s">
        <v>193</v>
      </c>
      <c r="C11" s="4">
        <v>0</v>
      </c>
      <c r="D11" s="4">
        <v>1.39776673446745</v>
      </c>
      <c r="E11" s="4">
        <v>0.46000600961538402</v>
      </c>
      <c r="F11" s="4">
        <v>7.4140162721893402E-2</v>
      </c>
      <c r="G11" s="4">
        <v>0.48123705621301699</v>
      </c>
    </row>
    <row r="12" spans="2:9" x14ac:dyDescent="0.3">
      <c r="B12" s="1" t="s">
        <v>194</v>
      </c>
      <c r="C12" s="4">
        <v>0</v>
      </c>
      <c r="D12" s="4">
        <v>1.44790914282606</v>
      </c>
      <c r="E12" s="4">
        <v>0.45795442184270596</v>
      </c>
      <c r="F12" s="4">
        <v>5.5014005221364001E-2</v>
      </c>
      <c r="G12" s="4">
        <v>0.44487000979005697</v>
      </c>
    </row>
    <row r="13" spans="2:9" x14ac:dyDescent="0.3">
      <c r="B13" s="1" t="s">
        <v>195</v>
      </c>
      <c r="C13" s="4">
        <v>0</v>
      </c>
      <c r="D13" s="4">
        <v>1.7737306049021799</v>
      </c>
      <c r="E13" s="4">
        <v>0.430318192039577</v>
      </c>
      <c r="F13" s="4">
        <v>5.0716072633235798E-2</v>
      </c>
      <c r="G13" s="4">
        <v>0.52252923319091493</v>
      </c>
    </row>
    <row r="14" spans="2:9" x14ac:dyDescent="0.3">
      <c r="B14" s="1" t="s">
        <v>196</v>
      </c>
      <c r="C14" s="4">
        <v>0</v>
      </c>
      <c r="D14" s="4">
        <v>1.6996386135566</v>
      </c>
      <c r="E14" s="4">
        <v>0.45946792464446201</v>
      </c>
      <c r="F14" s="4">
        <v>5.2174013421166003E-2</v>
      </c>
      <c r="G14" s="4">
        <v>0.64089884873483904</v>
      </c>
    </row>
    <row r="15" spans="2:9" x14ac:dyDescent="0.3">
      <c r="B15" s="1" t="s">
        <v>197</v>
      </c>
      <c r="C15" s="4">
        <v>0</v>
      </c>
      <c r="D15" s="4">
        <v>1.6045640216117598</v>
      </c>
      <c r="E15" s="4">
        <v>0.61038683114177794</v>
      </c>
      <c r="F15" s="4">
        <v>5.8725263637547098E-2</v>
      </c>
      <c r="G15" s="4">
        <v>0.871269365967972</v>
      </c>
    </row>
    <row r="16" spans="2:9" x14ac:dyDescent="0.3">
      <c r="B16" s="1" t="s">
        <v>198</v>
      </c>
      <c r="C16" s="4">
        <v>0</v>
      </c>
      <c r="D16" s="4">
        <v>1.50441813380281</v>
      </c>
      <c r="E16" s="4">
        <v>0.56150968309859106</v>
      </c>
      <c r="F16" s="4">
        <v>4.97337147887323E-2</v>
      </c>
      <c r="G16" s="4">
        <v>0.87274647887323897</v>
      </c>
    </row>
    <row r="17" spans="2:7" x14ac:dyDescent="0.3">
      <c r="B17" s="1" t="s">
        <v>199</v>
      </c>
      <c r="C17" s="4">
        <v>9.87414013514336E-3</v>
      </c>
      <c r="D17" s="4">
        <v>1.74062229865465</v>
      </c>
      <c r="E17" s="4">
        <v>0.53586625677238597</v>
      </c>
      <c r="F17" s="4">
        <v>7.7107049369939701E-2</v>
      </c>
      <c r="G17" s="4">
        <v>1.01847872405186</v>
      </c>
    </row>
    <row r="18" spans="2:7" x14ac:dyDescent="0.3">
      <c r="B18" s="1" t="s">
        <v>200</v>
      </c>
      <c r="C18" s="4">
        <v>2.94431838809221E-2</v>
      </c>
      <c r="D18" s="4">
        <v>1.9090651660918501</v>
      </c>
      <c r="E18" s="4">
        <v>0.38209974587039303</v>
      </c>
      <c r="F18" s="4">
        <v>8.7006262479578794E-2</v>
      </c>
      <c r="G18" s="4">
        <v>1.0348121256126301</v>
      </c>
    </row>
    <row r="19" spans="2:7" x14ac:dyDescent="0.3">
      <c r="B19" s="1" t="s">
        <v>201</v>
      </c>
      <c r="C19" s="4">
        <v>9.01250173635227E-2</v>
      </c>
      <c r="D19" s="4">
        <v>2.3283140019447099</v>
      </c>
      <c r="E19" s="4">
        <v>0.37214543686623103</v>
      </c>
      <c r="F19" s="4">
        <v>9.9998263647728805E-2</v>
      </c>
      <c r="G19" s="4">
        <v>1.16200513960272</v>
      </c>
    </row>
    <row r="20" spans="2:7" x14ac:dyDescent="0.3">
      <c r="B20" s="1" t="s">
        <v>202</v>
      </c>
      <c r="C20" s="4">
        <v>0.25084221878560897</v>
      </c>
      <c r="D20" s="4">
        <v>2.96931324271528</v>
      </c>
      <c r="E20" s="4">
        <v>0.29593744912908998</v>
      </c>
      <c r="F20" s="4">
        <v>0.30617287970047197</v>
      </c>
      <c r="G20" s="4">
        <v>1.48280237668891</v>
      </c>
    </row>
    <row r="21" spans="2:7" x14ac:dyDescent="0.3">
      <c r="B21" s="1" t="s">
        <v>203</v>
      </c>
      <c r="C21" s="4">
        <v>0.62584161280987705</v>
      </c>
      <c r="D21" s="4">
        <v>3.5189526864087903</v>
      </c>
      <c r="E21" s="4">
        <v>0.203046927751519</v>
      </c>
      <c r="F21" s="4">
        <v>0.5544675412366159</v>
      </c>
      <c r="G21" s="4">
        <v>1.43451335969904</v>
      </c>
    </row>
    <row r="22" spans="2:7" x14ac:dyDescent="0.3">
      <c r="B22" s="1" t="s">
        <v>204</v>
      </c>
      <c r="C22" s="4">
        <v>1.63444679564691</v>
      </c>
      <c r="D22" s="4">
        <v>4.5039721886336102</v>
      </c>
      <c r="E22" s="4">
        <v>0.205683192261185</v>
      </c>
      <c r="F22" s="4">
        <v>1.08424425634824</v>
      </c>
      <c r="G22" s="4">
        <v>1.5984522370012</v>
      </c>
    </row>
    <row r="23" spans="2:7" x14ac:dyDescent="0.3">
      <c r="B23" s="1" t="s">
        <v>205</v>
      </c>
      <c r="C23" s="4">
        <v>4.2659354453078304</v>
      </c>
      <c r="D23" s="4">
        <v>6.0898879258816496</v>
      </c>
      <c r="E23" s="4">
        <v>0.22876569037656902</v>
      </c>
      <c r="F23" s="4">
        <v>2.3486610878661001</v>
      </c>
      <c r="G23" s="4">
        <v>1.92598924088463</v>
      </c>
    </row>
    <row r="24" spans="2:7" x14ac:dyDescent="0.3">
      <c r="B24" s="1" t="s">
        <v>206</v>
      </c>
      <c r="C24" s="4">
        <v>8.9244148274790103</v>
      </c>
      <c r="D24" s="4">
        <v>7.3557165060615395</v>
      </c>
      <c r="E24" s="4">
        <v>0.17845430525334099</v>
      </c>
      <c r="F24" s="4">
        <v>4.3684480882810002</v>
      </c>
      <c r="G24" s="4">
        <v>1.9646969225986899</v>
      </c>
    </row>
    <row r="25" spans="2:7" x14ac:dyDescent="0.3">
      <c r="B25" s="1" t="s">
        <v>131</v>
      </c>
      <c r="C25" s="4">
        <v>16.1052127659574</v>
      </c>
      <c r="D25" s="4">
        <v>6.5265319148936092</v>
      </c>
      <c r="E25" s="4">
        <v>0.18095744680851</v>
      </c>
      <c r="F25" s="4">
        <v>3.8440531914893601</v>
      </c>
      <c r="G25" s="4">
        <v>1.7578723404255299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4D93-2775-4227-92A9-4AA119102A6D}">
  <sheetPr codeName="Sheet35"/>
  <dimension ref="B2:AX139"/>
  <sheetViews>
    <sheetView showGridLines="0" zoomScaleNormal="100" workbookViewId="0"/>
  </sheetViews>
  <sheetFormatPr defaultColWidth="8.7109375" defaultRowHeight="16.5" x14ac:dyDescent="0.3"/>
  <cols>
    <col min="1" max="1" width="8.7109375" style="1"/>
    <col min="2" max="2" width="36.28515625" style="1" bestFit="1" customWidth="1"/>
    <col min="3" max="3" width="20.85546875" style="1" bestFit="1" customWidth="1"/>
    <col min="4" max="4" width="19.42578125" style="1" bestFit="1" customWidth="1"/>
    <col min="5" max="5" width="8.7109375" style="14"/>
    <col min="6" max="12" width="8.7109375" style="1"/>
    <col min="13" max="13" width="10.42578125" style="1" bestFit="1" customWidth="1"/>
    <col min="14" max="14" width="10.85546875" style="1" bestFit="1" customWidth="1"/>
    <col min="15" max="17" width="10.42578125" style="1" bestFit="1" customWidth="1"/>
    <col min="18" max="21" width="8.7109375" style="1"/>
    <col min="22" max="22" width="20.85546875" style="1" bestFit="1" customWidth="1"/>
    <col min="23" max="16384" width="8.7109375" style="1"/>
  </cols>
  <sheetData>
    <row r="2" spans="2:17" x14ac:dyDescent="0.3">
      <c r="B2" s="95" t="s">
        <v>337</v>
      </c>
      <c r="C2" s="8"/>
      <c r="D2" s="8"/>
      <c r="E2" s="15"/>
      <c r="F2" s="8"/>
      <c r="G2" s="8"/>
    </row>
    <row r="3" spans="2:17" x14ac:dyDescent="0.3">
      <c r="B3" s="8" t="s">
        <v>277</v>
      </c>
      <c r="C3" s="8"/>
      <c r="D3" s="8"/>
      <c r="E3" s="15"/>
      <c r="F3" s="8"/>
      <c r="G3" s="8"/>
    </row>
    <row r="5" spans="2:17" x14ac:dyDescent="0.3">
      <c r="B5" s="3" t="s">
        <v>29</v>
      </c>
      <c r="C5" s="1" t="s">
        <v>207</v>
      </c>
      <c r="D5" s="1" t="s">
        <v>208</v>
      </c>
      <c r="E5" s="14" t="s">
        <v>15</v>
      </c>
    </row>
    <row r="6" spans="2:17" x14ac:dyDescent="0.3">
      <c r="B6" s="3"/>
      <c r="C6" s="1" t="s">
        <v>3</v>
      </c>
      <c r="D6" s="1" t="s">
        <v>3</v>
      </c>
    </row>
    <row r="7" spans="2:17" x14ac:dyDescent="0.3">
      <c r="B7" s="2">
        <v>2010</v>
      </c>
      <c r="C7" s="4">
        <v>28.252420789144324</v>
      </c>
      <c r="D7" s="4">
        <v>32.20320947743383</v>
      </c>
      <c r="K7" s="26"/>
    </row>
    <row r="8" spans="2:17" x14ac:dyDescent="0.3">
      <c r="B8" s="2">
        <v>2011</v>
      </c>
      <c r="C8" s="4">
        <v>27.753301827286048</v>
      </c>
      <c r="D8" s="4">
        <v>34.012460091800989</v>
      </c>
      <c r="K8" s="26"/>
    </row>
    <row r="9" spans="2:17" x14ac:dyDescent="0.3">
      <c r="B9" s="2">
        <v>2012</v>
      </c>
      <c r="C9" s="4">
        <v>28.08031710479235</v>
      </c>
      <c r="D9" s="4">
        <v>32.035297889840471</v>
      </c>
      <c r="K9" s="26"/>
      <c r="Q9" s="4"/>
    </row>
    <row r="10" spans="2:17" x14ac:dyDescent="0.3">
      <c r="B10" s="2">
        <v>2013</v>
      </c>
      <c r="C10" s="4">
        <v>29.110378085891696</v>
      </c>
      <c r="D10" s="4">
        <v>31.919446307423481</v>
      </c>
      <c r="K10" s="26"/>
      <c r="Q10" s="4"/>
    </row>
    <row r="11" spans="2:17" x14ac:dyDescent="0.3">
      <c r="B11" s="2">
        <v>2014</v>
      </c>
      <c r="C11" s="4">
        <v>28.303192140088001</v>
      </c>
      <c r="D11" s="4">
        <v>30.024762603827863</v>
      </c>
      <c r="K11" s="26"/>
      <c r="Q11" s="4"/>
    </row>
    <row r="12" spans="2:17" x14ac:dyDescent="0.3">
      <c r="B12" s="2">
        <v>2015</v>
      </c>
      <c r="C12" s="4">
        <v>29.370160083295371</v>
      </c>
      <c r="D12" s="4">
        <v>29.431167436715032</v>
      </c>
      <c r="K12" s="26"/>
      <c r="Q12" s="4"/>
    </row>
    <row r="13" spans="2:17" x14ac:dyDescent="0.3">
      <c r="B13" s="2">
        <v>2016</v>
      </c>
      <c r="C13" s="4">
        <v>29.398406512982323</v>
      </c>
      <c r="D13" s="4">
        <v>28.551842396950516</v>
      </c>
      <c r="K13" s="26"/>
      <c r="Q13" s="4"/>
    </row>
    <row r="14" spans="2:17" x14ac:dyDescent="0.3">
      <c r="B14" s="2">
        <v>2017</v>
      </c>
      <c r="C14" s="4">
        <v>29.64447795386333</v>
      </c>
      <c r="D14" s="4">
        <v>27.671490089750467</v>
      </c>
      <c r="K14" s="26"/>
      <c r="O14" s="4"/>
      <c r="P14" s="4"/>
      <c r="Q14" s="4"/>
    </row>
    <row r="15" spans="2:17" x14ac:dyDescent="0.3">
      <c r="B15" s="2">
        <v>2018</v>
      </c>
      <c r="C15" s="4">
        <v>29.335028074789481</v>
      </c>
      <c r="D15" s="4">
        <v>27.238461616472343</v>
      </c>
      <c r="K15" s="26"/>
      <c r="O15" s="4"/>
      <c r="P15" s="4"/>
      <c r="Q15" s="4"/>
    </row>
    <row r="16" spans="2:17" x14ac:dyDescent="0.3">
      <c r="B16" s="2">
        <v>2019</v>
      </c>
      <c r="C16" s="4">
        <v>30.103184417993507</v>
      </c>
      <c r="D16" s="4">
        <v>28.005036842376462</v>
      </c>
      <c r="K16" s="26"/>
      <c r="O16" s="4"/>
      <c r="P16" s="4"/>
      <c r="Q16" s="4"/>
    </row>
    <row r="17" spans="2:18" x14ac:dyDescent="0.3">
      <c r="B17" s="2">
        <v>2020</v>
      </c>
      <c r="C17" s="4">
        <v>28.94018530936842</v>
      </c>
      <c r="D17" s="4">
        <v>34.263658144198772</v>
      </c>
      <c r="K17" s="26"/>
      <c r="L17" s="4"/>
      <c r="O17" s="4"/>
      <c r="P17" s="4"/>
      <c r="Q17" s="4"/>
      <c r="R17" s="4"/>
    </row>
    <row r="18" spans="2:18" x14ac:dyDescent="0.3">
      <c r="B18" s="2">
        <v>2021</v>
      </c>
      <c r="C18" s="4">
        <v>30.567891599421078</v>
      </c>
      <c r="D18" s="4">
        <v>31.382410241327001</v>
      </c>
      <c r="K18" s="26"/>
      <c r="L18" s="4"/>
      <c r="O18" s="4"/>
      <c r="P18" s="4"/>
      <c r="Q18" s="4"/>
      <c r="R18" s="4"/>
    </row>
    <row r="19" spans="2:18" x14ac:dyDescent="0.3">
      <c r="B19" s="2">
        <v>2022</v>
      </c>
      <c r="C19" s="4">
        <v>32.132857189731922</v>
      </c>
      <c r="D19" s="4">
        <v>34.354799899375472</v>
      </c>
      <c r="K19" s="26"/>
      <c r="L19" s="4"/>
      <c r="O19" s="4"/>
      <c r="P19" s="4"/>
      <c r="Q19" s="4"/>
      <c r="R19" s="4"/>
    </row>
    <row r="20" spans="2:18" x14ac:dyDescent="0.3">
      <c r="B20" s="2">
        <v>2023</v>
      </c>
      <c r="C20" s="4">
        <v>30.730649214164217</v>
      </c>
      <c r="D20" s="4">
        <v>31.770627099691946</v>
      </c>
      <c r="K20" s="26"/>
      <c r="L20" s="4"/>
      <c r="O20" s="4"/>
      <c r="P20" s="4"/>
      <c r="Q20" s="4"/>
      <c r="R20" s="4"/>
    </row>
    <row r="21" spans="2:18" x14ac:dyDescent="0.3">
      <c r="B21" s="2">
        <v>2024</v>
      </c>
      <c r="C21" s="4">
        <v>31.672142683929987</v>
      </c>
      <c r="D21" s="4">
        <v>33.046298101383201</v>
      </c>
      <c r="K21" s="26"/>
      <c r="L21" s="4"/>
      <c r="O21" s="4"/>
      <c r="P21" s="4"/>
      <c r="Q21" s="4"/>
      <c r="R21" s="4"/>
    </row>
    <row r="22" spans="2:18" x14ac:dyDescent="0.3">
      <c r="B22" s="2">
        <v>2025</v>
      </c>
      <c r="C22" s="4">
        <v>30.837324312647645</v>
      </c>
      <c r="D22" s="4">
        <v>32.680375412503331</v>
      </c>
      <c r="K22" s="26"/>
      <c r="L22" s="4"/>
      <c r="N22" s="4"/>
      <c r="O22" s="4"/>
      <c r="P22" s="4"/>
      <c r="Q22" s="4"/>
      <c r="R22" s="4"/>
    </row>
    <row r="23" spans="2:18" x14ac:dyDescent="0.3">
      <c r="B23" s="2">
        <v>2026</v>
      </c>
      <c r="C23" s="4">
        <v>30.61051912089453</v>
      </c>
      <c r="D23" s="4">
        <v>32.937756318132422</v>
      </c>
      <c r="K23" s="26"/>
      <c r="L23" s="4"/>
      <c r="N23" s="4"/>
      <c r="O23" s="4"/>
      <c r="P23" s="4"/>
      <c r="Q23" s="4"/>
      <c r="R23" s="4"/>
    </row>
    <row r="24" spans="2:18" x14ac:dyDescent="0.3">
      <c r="B24" s="2">
        <v>2027</v>
      </c>
      <c r="C24" s="4">
        <v>30.647173326077411</v>
      </c>
      <c r="D24" s="4">
        <v>32.053498545325155</v>
      </c>
      <c r="K24" s="26"/>
      <c r="L24" s="4"/>
      <c r="N24" s="4"/>
      <c r="O24" s="4"/>
      <c r="P24" s="4"/>
      <c r="Q24" s="4"/>
      <c r="R24" s="4"/>
    </row>
    <row r="25" spans="2:18" x14ac:dyDescent="0.3">
      <c r="B25" s="2">
        <v>2028</v>
      </c>
      <c r="C25" s="4">
        <v>30.820818342630563</v>
      </c>
      <c r="D25" s="4">
        <v>31.311169055196409</v>
      </c>
      <c r="K25" s="26"/>
      <c r="L25" s="4"/>
      <c r="N25" s="4"/>
      <c r="O25" s="4"/>
      <c r="P25" s="4"/>
      <c r="Q25" s="4"/>
      <c r="R25" s="4"/>
    </row>
    <row r="26" spans="2:18" x14ac:dyDescent="0.3">
      <c r="B26" s="2">
        <v>2029</v>
      </c>
      <c r="C26" s="4">
        <v>31.005185815516235</v>
      </c>
      <c r="D26" s="4">
        <v>30.90101159653668</v>
      </c>
      <c r="E26" s="14">
        <v>1</v>
      </c>
      <c r="K26" s="26"/>
      <c r="L26" s="4"/>
      <c r="M26" s="4"/>
      <c r="N26" s="4"/>
      <c r="O26" s="4"/>
      <c r="P26" s="4"/>
      <c r="Q26" s="4"/>
      <c r="R26" s="4"/>
    </row>
    <row r="27" spans="2:18" x14ac:dyDescent="0.3">
      <c r="B27" s="2">
        <v>2030</v>
      </c>
      <c r="C27" s="4">
        <v>30.846358840029207</v>
      </c>
      <c r="D27" s="4">
        <v>31.261131675564375</v>
      </c>
      <c r="K27" s="26"/>
      <c r="L27" s="4"/>
      <c r="M27" s="4"/>
      <c r="N27" s="4"/>
      <c r="O27" s="4"/>
      <c r="P27" s="4"/>
      <c r="Q27" s="4"/>
      <c r="R27" s="4"/>
    </row>
    <row r="28" spans="2:18" x14ac:dyDescent="0.3">
      <c r="B28" s="2">
        <v>2031</v>
      </c>
      <c r="C28" s="4">
        <v>30.769618712204881</v>
      </c>
      <c r="D28" s="4">
        <v>31.604931786668359</v>
      </c>
      <c r="K28" s="26"/>
      <c r="L28" s="4"/>
      <c r="M28" s="4"/>
      <c r="N28" s="4"/>
      <c r="O28" s="4"/>
      <c r="P28" s="4"/>
      <c r="Q28" s="4"/>
      <c r="R28" s="4"/>
    </row>
    <row r="29" spans="2:18" x14ac:dyDescent="0.3">
      <c r="B29" s="2">
        <v>2032</v>
      </c>
      <c r="C29" s="4">
        <v>30.731240661491576</v>
      </c>
      <c r="D29" s="4">
        <v>32.01079741305076</v>
      </c>
      <c r="K29" s="26"/>
      <c r="L29" s="4"/>
      <c r="M29" s="4"/>
      <c r="N29" s="4"/>
      <c r="O29" s="4"/>
      <c r="P29" s="4"/>
      <c r="Q29" s="4"/>
      <c r="R29" s="4"/>
    </row>
    <row r="30" spans="2:18" x14ac:dyDescent="0.3">
      <c r="B30" s="2">
        <v>2033</v>
      </c>
      <c r="C30" s="4">
        <v>30.70081079860153</v>
      </c>
      <c r="D30" s="4">
        <v>32.458407534252053</v>
      </c>
      <c r="K30" s="26"/>
      <c r="L30" s="4"/>
      <c r="M30" s="4"/>
      <c r="N30" s="4"/>
      <c r="O30" s="4"/>
      <c r="P30" s="4"/>
      <c r="Q30" s="4"/>
      <c r="R30" s="4"/>
    </row>
    <row r="31" spans="2:18" x14ac:dyDescent="0.3">
      <c r="B31" s="2">
        <v>2034</v>
      </c>
      <c r="C31" s="4">
        <v>30.671114337801857</v>
      </c>
      <c r="D31" s="4">
        <v>32.879477079593435</v>
      </c>
      <c r="K31" s="26"/>
      <c r="L31" s="4"/>
      <c r="M31" s="4"/>
      <c r="N31" s="4"/>
      <c r="O31" s="4"/>
      <c r="P31" s="4"/>
      <c r="Q31" s="4"/>
      <c r="R31" s="4"/>
    </row>
    <row r="32" spans="2:18" x14ac:dyDescent="0.3">
      <c r="B32" s="2">
        <v>2035</v>
      </c>
      <c r="C32" s="4">
        <v>30.641608195628073</v>
      </c>
      <c r="D32" s="4">
        <v>33.240626181102535</v>
      </c>
      <c r="K32" s="26"/>
      <c r="L32" s="27"/>
      <c r="M32" s="4"/>
      <c r="N32" s="4"/>
      <c r="O32" s="4"/>
      <c r="P32" s="4"/>
      <c r="Q32" s="4"/>
    </row>
    <row r="33" spans="2:17" x14ac:dyDescent="0.3">
      <c r="B33" s="2">
        <v>2036</v>
      </c>
      <c r="C33" s="4">
        <v>30.612337312194622</v>
      </c>
      <c r="D33" s="4">
        <v>33.449474730891851</v>
      </c>
      <c r="K33" s="26"/>
      <c r="L33" s="27"/>
      <c r="M33" s="4"/>
      <c r="N33" s="4"/>
      <c r="O33" s="4"/>
      <c r="P33" s="4"/>
      <c r="Q33" s="4"/>
    </row>
    <row r="34" spans="2:17" x14ac:dyDescent="0.3">
      <c r="B34" s="2">
        <v>2037</v>
      </c>
      <c r="C34" s="4">
        <v>30.583234248737</v>
      </c>
      <c r="D34" s="4">
        <v>33.627406921110847</v>
      </c>
      <c r="K34" s="26"/>
      <c r="L34" s="27"/>
      <c r="M34" s="4"/>
      <c r="N34" s="4"/>
      <c r="O34" s="4"/>
      <c r="P34" s="4"/>
      <c r="Q34" s="4"/>
    </row>
    <row r="35" spans="2:17" x14ac:dyDescent="0.3">
      <c r="B35" s="2">
        <v>2038</v>
      </c>
      <c r="C35" s="4">
        <v>30.554337777046708</v>
      </c>
      <c r="D35" s="4">
        <v>33.804647094094939</v>
      </c>
      <c r="K35" s="26"/>
      <c r="L35" s="27"/>
      <c r="M35" s="4"/>
      <c r="N35" s="4"/>
      <c r="O35" s="4"/>
      <c r="P35" s="4"/>
      <c r="Q35" s="4"/>
    </row>
    <row r="36" spans="2:17" x14ac:dyDescent="0.3">
      <c r="B36" s="2">
        <v>2039</v>
      </c>
      <c r="C36" s="4">
        <v>30.527139407815568</v>
      </c>
      <c r="D36" s="4">
        <v>33.988858082421395</v>
      </c>
      <c r="K36" s="26"/>
      <c r="L36" s="27"/>
      <c r="M36" s="4"/>
      <c r="N36" s="4"/>
      <c r="O36" s="4"/>
      <c r="P36" s="4"/>
      <c r="Q36" s="4"/>
    </row>
    <row r="37" spans="2:17" x14ac:dyDescent="0.3">
      <c r="B37" s="2">
        <v>2040</v>
      </c>
      <c r="C37" s="4">
        <v>30.501741020667016</v>
      </c>
      <c r="D37" s="4">
        <v>34.203311809567957</v>
      </c>
      <c r="K37" s="26"/>
      <c r="L37" s="27"/>
      <c r="M37" s="4"/>
      <c r="N37" s="4"/>
      <c r="O37" s="4"/>
      <c r="P37" s="4"/>
      <c r="Q37" s="4"/>
    </row>
    <row r="38" spans="2:17" x14ac:dyDescent="0.3">
      <c r="B38" s="2">
        <v>2041</v>
      </c>
      <c r="C38" s="4">
        <v>30.477970730321008</v>
      </c>
      <c r="D38" s="4">
        <v>34.423433626717539</v>
      </c>
      <c r="K38" s="26"/>
      <c r="L38" s="27"/>
      <c r="M38" s="4"/>
      <c r="N38" s="4"/>
      <c r="O38" s="4"/>
      <c r="P38" s="4"/>
      <c r="Q38" s="4"/>
    </row>
    <row r="39" spans="2:17" x14ac:dyDescent="0.3">
      <c r="B39" s="2">
        <v>2042</v>
      </c>
      <c r="C39" s="4">
        <v>30.455605458355773</v>
      </c>
      <c r="D39" s="4">
        <v>34.651963869311089</v>
      </c>
      <c r="K39" s="26"/>
      <c r="L39" s="27"/>
      <c r="M39" s="4"/>
      <c r="N39" s="4"/>
      <c r="O39" s="4"/>
      <c r="P39" s="4"/>
      <c r="Q39" s="4"/>
    </row>
    <row r="40" spans="2:17" x14ac:dyDescent="0.3">
      <c r="B40" s="2">
        <v>2043</v>
      </c>
      <c r="C40" s="4">
        <v>30.434859602999897</v>
      </c>
      <c r="D40" s="4">
        <v>34.883409303496208</v>
      </c>
      <c r="K40" s="26"/>
      <c r="L40" s="27"/>
      <c r="M40" s="4"/>
      <c r="N40" s="4"/>
      <c r="O40" s="4"/>
      <c r="P40" s="4"/>
      <c r="Q40" s="4"/>
    </row>
    <row r="41" spans="2:17" x14ac:dyDescent="0.3">
      <c r="B41" s="2">
        <v>2044</v>
      </c>
      <c r="C41" s="4">
        <v>30.415830240614632</v>
      </c>
      <c r="D41" s="4">
        <v>35.12977238862932</v>
      </c>
      <c r="K41" s="26"/>
      <c r="L41" s="27"/>
      <c r="M41" s="4"/>
      <c r="N41" s="4"/>
      <c r="O41" s="4"/>
      <c r="P41" s="4"/>
      <c r="Q41" s="4"/>
    </row>
    <row r="42" spans="2:17" x14ac:dyDescent="0.3">
      <c r="B42" s="2">
        <v>2045</v>
      </c>
      <c r="C42" s="4">
        <v>30.396617926529313</v>
      </c>
      <c r="D42" s="4">
        <v>35.387837115624627</v>
      </c>
      <c r="K42" s="26"/>
      <c r="L42" s="27"/>
      <c r="M42" s="4"/>
      <c r="N42" s="4"/>
      <c r="O42" s="4"/>
      <c r="P42" s="4"/>
      <c r="Q42" s="4"/>
    </row>
    <row r="43" spans="2:17" x14ac:dyDescent="0.3">
      <c r="B43" s="2">
        <v>2046</v>
      </c>
      <c r="C43" s="4">
        <v>30.378850412097076</v>
      </c>
      <c r="D43" s="4">
        <v>35.659879770133664</v>
      </c>
      <c r="K43" s="26"/>
      <c r="L43" s="27"/>
      <c r="M43" s="4"/>
      <c r="N43" s="4"/>
      <c r="O43" s="4"/>
      <c r="P43" s="4"/>
      <c r="Q43" s="4"/>
    </row>
    <row r="44" spans="2:17" x14ac:dyDescent="0.3">
      <c r="B44" s="2">
        <v>2047</v>
      </c>
      <c r="C44" s="4">
        <v>30.36242109125417</v>
      </c>
      <c r="D44" s="4">
        <v>35.947058134527538</v>
      </c>
      <c r="K44" s="26"/>
      <c r="L44" s="27"/>
      <c r="M44" s="4"/>
      <c r="N44" s="4"/>
      <c r="O44" s="4"/>
      <c r="P44" s="4"/>
      <c r="Q44" s="4"/>
    </row>
    <row r="45" spans="2:17" x14ac:dyDescent="0.3">
      <c r="B45" s="2">
        <v>2048</v>
      </c>
      <c r="C45" s="4">
        <v>30.347267490889767</v>
      </c>
      <c r="D45" s="4">
        <v>36.253987654518696</v>
      </c>
      <c r="K45" s="26"/>
      <c r="L45" s="27"/>
      <c r="M45" s="4"/>
      <c r="N45" s="4"/>
      <c r="O45" s="4"/>
      <c r="P45" s="4"/>
      <c r="Q45" s="4"/>
    </row>
    <row r="46" spans="2:17" x14ac:dyDescent="0.3">
      <c r="B46" s="2">
        <v>2049</v>
      </c>
      <c r="C46" s="4">
        <v>30.333296120067494</v>
      </c>
      <c r="D46" s="4">
        <v>36.574971823988491</v>
      </c>
      <c r="K46" s="26"/>
      <c r="L46" s="27"/>
      <c r="M46" s="4"/>
      <c r="N46" s="4"/>
      <c r="O46" s="4"/>
      <c r="P46" s="4"/>
      <c r="Q46" s="4"/>
    </row>
    <row r="47" spans="2:17" x14ac:dyDescent="0.3">
      <c r="B47" s="2">
        <v>2050</v>
      </c>
      <c r="C47" s="4">
        <v>30.320429414568729</v>
      </c>
      <c r="D47" s="4">
        <v>36.911537701392845</v>
      </c>
      <c r="K47" s="26"/>
      <c r="L47" s="27"/>
      <c r="M47" s="4"/>
      <c r="N47" s="4"/>
      <c r="O47" s="4"/>
      <c r="P47" s="4"/>
      <c r="Q47" s="4"/>
    </row>
    <row r="48" spans="2:17" x14ac:dyDescent="0.3">
      <c r="B48" s="2">
        <v>2051</v>
      </c>
      <c r="C48" s="4">
        <v>30.308431597035714</v>
      </c>
      <c r="D48" s="4">
        <v>37.263443957032145</v>
      </c>
      <c r="K48" s="26"/>
      <c r="L48" s="27"/>
      <c r="M48" s="4"/>
      <c r="N48" s="4"/>
      <c r="O48" s="4"/>
      <c r="P48" s="4"/>
      <c r="Q48" s="4"/>
    </row>
    <row r="49" spans="2:17" x14ac:dyDescent="0.3">
      <c r="B49" s="2">
        <v>2052</v>
      </c>
      <c r="C49" s="4">
        <v>30.29735494008316</v>
      </c>
      <c r="D49" s="4">
        <v>37.641263944517775</v>
      </c>
      <c r="K49" s="26"/>
      <c r="L49" s="27"/>
      <c r="M49" s="4"/>
      <c r="N49" s="4"/>
      <c r="O49" s="4"/>
      <c r="P49" s="4"/>
      <c r="Q49" s="4"/>
    </row>
    <row r="50" spans="2:17" x14ac:dyDescent="0.3">
      <c r="B50" s="2">
        <v>2053</v>
      </c>
      <c r="C50" s="4">
        <v>30.286838440111186</v>
      </c>
      <c r="D50" s="4">
        <v>38.042784413736747</v>
      </c>
      <c r="K50" s="26"/>
      <c r="L50" s="27"/>
      <c r="M50" s="4"/>
      <c r="N50" s="4"/>
      <c r="O50" s="4"/>
      <c r="P50" s="4"/>
      <c r="Q50" s="4"/>
    </row>
    <row r="51" spans="2:17" x14ac:dyDescent="0.3">
      <c r="B51" s="2">
        <v>2054</v>
      </c>
      <c r="C51" s="4">
        <v>30.276577087652008</v>
      </c>
      <c r="D51" s="4">
        <v>38.461272727010133</v>
      </c>
      <c r="K51" s="26"/>
      <c r="L51" s="27"/>
      <c r="M51" s="4"/>
      <c r="N51" s="4"/>
      <c r="O51" s="4"/>
      <c r="P51" s="4"/>
      <c r="Q51" s="4"/>
    </row>
    <row r="52" spans="2:17" x14ac:dyDescent="0.3">
      <c r="B52" s="2">
        <v>2055</v>
      </c>
      <c r="C52" s="4">
        <v>30.265224068681036</v>
      </c>
      <c r="D52" s="4">
        <v>38.912681916172112</v>
      </c>
      <c r="K52" s="26"/>
      <c r="L52" s="27"/>
      <c r="M52" s="4"/>
      <c r="N52" s="4"/>
      <c r="O52" s="4"/>
      <c r="P52" s="4"/>
      <c r="Q52" s="4"/>
    </row>
    <row r="53" spans="2:17" x14ac:dyDescent="0.3">
      <c r="B53" s="2">
        <v>2056</v>
      </c>
      <c r="C53" s="4">
        <v>30.252829060205936</v>
      </c>
      <c r="D53" s="4">
        <v>39.376277540767312</v>
      </c>
      <c r="K53" s="26"/>
      <c r="L53" s="27"/>
      <c r="M53" s="4"/>
      <c r="N53" s="4"/>
      <c r="O53" s="4"/>
      <c r="P53" s="4"/>
      <c r="Q53" s="4"/>
    </row>
    <row r="54" spans="2:17" x14ac:dyDescent="0.3">
      <c r="B54" s="2">
        <v>2057</v>
      </c>
      <c r="C54" s="4">
        <v>30.240505785199467</v>
      </c>
      <c r="D54" s="4">
        <v>39.846592849300379</v>
      </c>
      <c r="K54" s="26"/>
      <c r="L54" s="27"/>
      <c r="M54" s="4"/>
      <c r="N54" s="4"/>
      <c r="O54" s="4"/>
      <c r="P54" s="4"/>
      <c r="Q54" s="4"/>
    </row>
    <row r="55" spans="2:17" x14ac:dyDescent="0.3">
      <c r="B55" s="2">
        <v>2058</v>
      </c>
      <c r="C55" s="4">
        <v>30.227784570091792</v>
      </c>
      <c r="D55" s="4">
        <v>40.323407136610179</v>
      </c>
      <c r="K55" s="26"/>
      <c r="L55" s="27"/>
      <c r="M55" s="4"/>
      <c r="N55" s="4"/>
      <c r="O55" s="4"/>
      <c r="P55" s="4"/>
      <c r="Q55" s="4"/>
    </row>
    <row r="56" spans="2:17" x14ac:dyDescent="0.3">
      <c r="B56" s="2">
        <v>2059</v>
      </c>
      <c r="C56" s="4">
        <v>30.214637747346902</v>
      </c>
      <c r="D56" s="4">
        <v>40.799984547886666</v>
      </c>
      <c r="K56" s="26"/>
      <c r="L56" s="27"/>
      <c r="M56" s="4"/>
      <c r="N56" s="4"/>
      <c r="O56" s="4"/>
      <c r="P56" s="4"/>
      <c r="Q56" s="4"/>
    </row>
    <row r="57" spans="2:17" x14ac:dyDescent="0.3">
      <c r="B57" s="2">
        <v>2060</v>
      </c>
      <c r="C57" s="4">
        <v>30.201075689583451</v>
      </c>
      <c r="D57" s="4">
        <v>41.285278943285448</v>
      </c>
      <c r="K57" s="26"/>
      <c r="L57" s="27"/>
      <c r="M57" s="4"/>
      <c r="N57" s="4"/>
      <c r="O57" s="4"/>
      <c r="P57" s="4"/>
      <c r="Q57" s="4"/>
    </row>
    <row r="58" spans="2:17" x14ac:dyDescent="0.3">
      <c r="B58" s="2">
        <v>2061</v>
      </c>
      <c r="C58" s="4">
        <v>30.186956701292655</v>
      </c>
      <c r="D58" s="4">
        <v>41.771373217089803</v>
      </c>
      <c r="K58" s="26"/>
      <c r="L58" s="27"/>
      <c r="M58" s="4"/>
      <c r="N58" s="4"/>
      <c r="O58" s="4"/>
    </row>
    <row r="59" spans="2:17" x14ac:dyDescent="0.3">
      <c r="B59" s="2">
        <v>2062</v>
      </c>
      <c r="C59" s="4">
        <v>30.172583513680046</v>
      </c>
      <c r="D59" s="4">
        <v>42.263470913911824</v>
      </c>
      <c r="K59" s="26"/>
      <c r="L59" s="27"/>
      <c r="M59" s="4"/>
      <c r="N59" s="4"/>
      <c r="O59" s="4"/>
    </row>
    <row r="60" spans="2:17" x14ac:dyDescent="0.3">
      <c r="B60" s="2">
        <v>2063</v>
      </c>
      <c r="C60" s="4">
        <v>30.157791559662016</v>
      </c>
      <c r="D60" s="4">
        <v>42.764204263070951</v>
      </c>
      <c r="K60" s="26"/>
      <c r="L60" s="27"/>
      <c r="M60" s="4"/>
      <c r="N60" s="4"/>
      <c r="O60" s="4"/>
    </row>
    <row r="61" spans="2:17" x14ac:dyDescent="0.3">
      <c r="B61" s="2">
        <v>2064</v>
      </c>
      <c r="C61" s="4">
        <v>30.142721225605445</v>
      </c>
      <c r="D61" s="4">
        <v>43.267969240184314</v>
      </c>
      <c r="K61" s="26"/>
      <c r="L61" s="27"/>
      <c r="M61" s="4"/>
      <c r="N61" s="4"/>
      <c r="O61" s="4"/>
    </row>
    <row r="62" spans="2:17" x14ac:dyDescent="0.3">
      <c r="B62" s="2">
        <v>2065</v>
      </c>
      <c r="C62" s="4">
        <v>30.12828253875357</v>
      </c>
      <c r="D62" s="4">
        <v>43.792066692772167</v>
      </c>
      <c r="K62" s="26"/>
      <c r="L62" s="27"/>
      <c r="M62" s="4"/>
      <c r="N62" s="4"/>
      <c r="O62" s="4"/>
    </row>
    <row r="63" spans="2:17" x14ac:dyDescent="0.3">
      <c r="K63" s="26"/>
      <c r="L63" s="27"/>
      <c r="M63" s="4"/>
      <c r="N63" s="4"/>
      <c r="O63" s="4"/>
    </row>
    <row r="64" spans="2:17" x14ac:dyDescent="0.3">
      <c r="K64" s="26"/>
      <c r="L64" s="27"/>
      <c r="M64" s="4"/>
      <c r="N64" s="4"/>
      <c r="O64" s="4"/>
    </row>
    <row r="65" spans="11:18" x14ac:dyDescent="0.3">
      <c r="K65" s="26"/>
      <c r="L65" s="27"/>
      <c r="M65" s="4"/>
      <c r="N65" s="4"/>
      <c r="O65" s="4"/>
    </row>
    <row r="66" spans="11:18" x14ac:dyDescent="0.3">
      <c r="K66" s="26"/>
      <c r="L66" s="27"/>
      <c r="M66" s="4"/>
      <c r="N66" s="4"/>
      <c r="O66" s="4"/>
    </row>
    <row r="67" spans="11:18" x14ac:dyDescent="0.3">
      <c r="K67" s="26"/>
      <c r="L67" s="27"/>
      <c r="M67" s="4"/>
      <c r="N67" s="4"/>
      <c r="O67" s="4"/>
    </row>
    <row r="68" spans="11:18" x14ac:dyDescent="0.3">
      <c r="K68" s="26"/>
      <c r="L68" s="27"/>
      <c r="M68" s="4"/>
    </row>
    <row r="69" spans="11:18" x14ac:dyDescent="0.3">
      <c r="K69" s="26"/>
      <c r="L69" s="27"/>
    </row>
    <row r="70" spans="11:18" x14ac:dyDescent="0.3">
      <c r="K70" s="26"/>
      <c r="L70" s="27"/>
    </row>
    <row r="71" spans="11:18" x14ac:dyDescent="0.3">
      <c r="K71" s="26"/>
      <c r="L71" s="27"/>
    </row>
    <row r="72" spans="11:18" x14ac:dyDescent="0.3">
      <c r="K72" s="26"/>
      <c r="L72" s="27"/>
    </row>
    <row r="77" spans="11:18" x14ac:dyDescent="0.3">
      <c r="K77" s="1" t="s">
        <v>138</v>
      </c>
    </row>
    <row r="79" spans="11:18" x14ac:dyDescent="0.3">
      <c r="L79" s="1" t="s">
        <v>13</v>
      </c>
      <c r="M79" s="1" t="s">
        <v>106</v>
      </c>
      <c r="N79" s="1" t="s">
        <v>125</v>
      </c>
      <c r="O79" s="1" t="s">
        <v>107</v>
      </c>
      <c r="P79" s="1" t="s">
        <v>108</v>
      </c>
      <c r="Q79" s="1" t="s">
        <v>14</v>
      </c>
      <c r="R79" s="1" t="s">
        <v>16</v>
      </c>
    </row>
    <row r="80" spans="11:18" x14ac:dyDescent="0.3">
      <c r="K80" s="26">
        <v>2006</v>
      </c>
      <c r="Q80" s="4">
        <v>32.283264468225482</v>
      </c>
      <c r="R80" s="4">
        <v>29.989419791071274</v>
      </c>
    </row>
    <row r="81" spans="11:50" x14ac:dyDescent="0.3">
      <c r="K81" s="26">
        <v>2007</v>
      </c>
      <c r="O81" s="4">
        <v>31.177041116768855</v>
      </c>
      <c r="P81" s="4">
        <v>31.928932509533801</v>
      </c>
      <c r="Q81" s="4">
        <v>32.704014854850399</v>
      </c>
      <c r="R81" s="4">
        <v>30.794979556690986</v>
      </c>
    </row>
    <row r="82" spans="11:50" x14ac:dyDescent="0.3">
      <c r="K82" s="26">
        <v>2008</v>
      </c>
      <c r="O82" s="4">
        <v>30.696689968655416</v>
      </c>
      <c r="P82" s="4">
        <v>31.801570075937224</v>
      </c>
      <c r="Q82" s="4">
        <v>32.698642686608153</v>
      </c>
      <c r="R82" s="4">
        <v>30.173906138330814</v>
      </c>
    </row>
    <row r="83" spans="11:50" x14ac:dyDescent="0.3">
      <c r="K83" s="26">
        <v>2009</v>
      </c>
      <c r="O83" s="4">
        <v>34.504844005240258</v>
      </c>
      <c r="P83" s="4">
        <v>35.850760768155993</v>
      </c>
      <c r="Q83" s="4">
        <v>32.589096499649585</v>
      </c>
      <c r="R83" s="4">
        <v>33.714719175700864</v>
      </c>
    </row>
    <row r="84" spans="11:50" x14ac:dyDescent="0.3">
      <c r="K84" s="26">
        <v>2010</v>
      </c>
      <c r="L84" s="4"/>
      <c r="O84" s="4">
        <v>33.375217676930937</v>
      </c>
      <c r="P84" s="4">
        <v>37.293107702917347</v>
      </c>
      <c r="Q84" s="4">
        <v>32.378456761628968</v>
      </c>
      <c r="R84" s="4">
        <v>32.435787649541687</v>
      </c>
    </row>
    <row r="85" spans="11:50" x14ac:dyDescent="0.3">
      <c r="K85" s="26">
        <v>2011</v>
      </c>
      <c r="L85" s="4"/>
      <c r="O85" s="4">
        <v>35.183834913151614</v>
      </c>
      <c r="P85" s="4">
        <v>36.912854713544526</v>
      </c>
      <c r="Q85" s="4">
        <v>32.305190378184356</v>
      </c>
      <c r="R85" s="4">
        <v>34.012460091800989</v>
      </c>
      <c r="W85" s="1" t="s">
        <v>140</v>
      </c>
      <c r="X85" s="1" t="s">
        <v>141</v>
      </c>
      <c r="Y85" s="1" t="s">
        <v>142</v>
      </c>
      <c r="Z85" s="1" t="s">
        <v>143</v>
      </c>
      <c r="AA85" s="1" t="s">
        <v>144</v>
      </c>
      <c r="AB85" s="1" t="s">
        <v>33</v>
      </c>
      <c r="AC85" s="1" t="s">
        <v>34</v>
      </c>
      <c r="AD85" s="1" t="s">
        <v>35</v>
      </c>
      <c r="AE85" s="1" t="s">
        <v>36</v>
      </c>
      <c r="AF85" s="1" t="s">
        <v>37</v>
      </c>
      <c r="AG85" s="1" t="s">
        <v>38</v>
      </c>
      <c r="AH85" s="1" t="s">
        <v>39</v>
      </c>
      <c r="AI85" s="1" t="s">
        <v>40</v>
      </c>
      <c r="AJ85" s="1" t="s">
        <v>41</v>
      </c>
      <c r="AK85" s="1" t="s">
        <v>42</v>
      </c>
      <c r="AL85" s="1" t="s">
        <v>43</v>
      </c>
      <c r="AM85" s="1" t="s">
        <v>44</v>
      </c>
      <c r="AN85" s="1" t="s">
        <v>45</v>
      </c>
      <c r="AO85" s="1" t="s">
        <v>46</v>
      </c>
      <c r="AP85" s="1" t="s">
        <v>47</v>
      </c>
      <c r="AQ85" s="1" t="s">
        <v>48</v>
      </c>
      <c r="AR85" s="1" t="s">
        <v>49</v>
      </c>
      <c r="AS85" s="1" t="s">
        <v>50</v>
      </c>
      <c r="AT85" s="1" t="s">
        <v>51</v>
      </c>
      <c r="AU85" s="1" t="s">
        <v>52</v>
      </c>
      <c r="AV85" s="1" t="s">
        <v>53</v>
      </c>
      <c r="AW85" s="1" t="s">
        <v>54</v>
      </c>
      <c r="AX85" s="1" t="s">
        <v>55</v>
      </c>
    </row>
    <row r="86" spans="11:50" x14ac:dyDescent="0.3">
      <c r="K86" s="26">
        <v>2012</v>
      </c>
      <c r="L86" s="4"/>
      <c r="O86" s="4">
        <v>33.135220442564041</v>
      </c>
      <c r="P86" s="4">
        <v>36.736622647500838</v>
      </c>
      <c r="Q86" s="4">
        <v>32.378697239591716</v>
      </c>
      <c r="R86" s="4">
        <v>32.035297889840464</v>
      </c>
      <c r="V86" s="1" t="s">
        <v>139</v>
      </c>
      <c r="W86" s="1">
        <v>31.368000000000002</v>
      </c>
      <c r="X86" s="1">
        <v>32.981999999999999</v>
      </c>
      <c r="Y86" s="1">
        <v>33.938999999999993</v>
      </c>
      <c r="Z86" s="1">
        <v>34.828999999999994</v>
      </c>
      <c r="AA86" s="1">
        <v>36.559000000000005</v>
      </c>
      <c r="AB86" s="1">
        <v>37.512000000000008</v>
      </c>
      <c r="AC86" s="1">
        <v>39.896999999999991</v>
      </c>
      <c r="AD86" s="1">
        <v>41.882000000000012</v>
      </c>
      <c r="AE86" s="1">
        <v>44.894999999999996</v>
      </c>
      <c r="AF86" s="1">
        <v>49.32</v>
      </c>
      <c r="AG86" s="1">
        <v>54.003000000000014</v>
      </c>
      <c r="AH86" s="1">
        <v>56.996999999999993</v>
      </c>
      <c r="AI86" s="1">
        <v>64.001999999999981</v>
      </c>
      <c r="AJ86" s="1">
        <v>64.013000000000005</v>
      </c>
      <c r="AK86" s="1">
        <v>70.099000000000004</v>
      </c>
      <c r="AL86" s="1">
        <v>68.938999999999979</v>
      </c>
      <c r="AM86" s="1">
        <v>69.962000000000003</v>
      </c>
      <c r="AN86" s="1">
        <v>71.174000000000007</v>
      </c>
      <c r="AO86" s="1">
        <v>72.363</v>
      </c>
      <c r="AP86" s="1">
        <v>73.929000000000016</v>
      </c>
      <c r="AQ86" s="1">
        <v>76.338999999999984</v>
      </c>
      <c r="AR86" s="1">
        <v>80.576000000000022</v>
      </c>
      <c r="AS86" s="1">
        <v>86.959000000000003</v>
      </c>
      <c r="AT86" s="1">
        <v>108.83199999999998</v>
      </c>
      <c r="AU86" s="1">
        <v>107.76400000000002</v>
      </c>
      <c r="AV86" s="1">
        <v>125.64099999999999</v>
      </c>
      <c r="AW86" s="1">
        <v>127.57400000000001</v>
      </c>
      <c r="AX86" s="1">
        <v>138.99800000000002</v>
      </c>
    </row>
    <row r="87" spans="11:50" x14ac:dyDescent="0.3">
      <c r="K87" s="26">
        <v>2013</v>
      </c>
      <c r="L87" s="4"/>
      <c r="O87" s="4">
        <v>33.505265520659918</v>
      </c>
      <c r="P87" s="4">
        <v>36.26228892039812</v>
      </c>
      <c r="Q87" s="4">
        <v>32.438491140499131</v>
      </c>
      <c r="R87" s="4">
        <v>31.919446307423481</v>
      </c>
      <c r="V87" s="1" t="s">
        <v>145</v>
      </c>
      <c r="AE87" s="1">
        <v>156.81</v>
      </c>
      <c r="AF87" s="1">
        <v>164.458</v>
      </c>
      <c r="AG87" s="1">
        <v>175.363</v>
      </c>
      <c r="AH87" s="1">
        <v>188.89500000000001</v>
      </c>
      <c r="AI87" s="1">
        <v>189.834</v>
      </c>
      <c r="AJ87" s="1">
        <v>197.35300000000001</v>
      </c>
      <c r="AK87" s="1">
        <v>206.09800000000001</v>
      </c>
      <c r="AL87" s="1">
        <v>215.197</v>
      </c>
      <c r="AM87" s="1">
        <v>219.18299999999999</v>
      </c>
      <c r="AN87" s="1">
        <v>237.05099999999999</v>
      </c>
      <c r="AO87" s="1">
        <v>245.87200000000001</v>
      </c>
      <c r="AP87" s="1">
        <v>258.92899999999997</v>
      </c>
      <c r="AQ87" s="1">
        <v>275.87599999999998</v>
      </c>
      <c r="AR87" s="1">
        <v>295.81700000000001</v>
      </c>
      <c r="AS87" s="1">
        <v>310.512</v>
      </c>
      <c r="AT87" s="1">
        <v>317.63099999999997</v>
      </c>
      <c r="AU87" s="1">
        <v>343.39299999999997</v>
      </c>
      <c r="AV87" s="1">
        <v>365.71600000000001</v>
      </c>
      <c r="AW87" s="1">
        <v>401.54700000000003</v>
      </c>
      <c r="AX87" s="1">
        <v>420.62200000000001</v>
      </c>
    </row>
    <row r="88" spans="11:50" x14ac:dyDescent="0.3">
      <c r="K88" s="26">
        <v>2014</v>
      </c>
      <c r="L88" s="4"/>
      <c r="O88" s="4">
        <v>31.754954101065415</v>
      </c>
      <c r="P88" s="4">
        <v>35.808583672051469</v>
      </c>
      <c r="Q88" s="4">
        <v>32.495740837753502</v>
      </c>
      <c r="R88" s="4">
        <v>30.02476260382787</v>
      </c>
      <c r="V88" s="1" t="s">
        <v>146</v>
      </c>
      <c r="AE88" s="1">
        <f>AE86/AE87*100</f>
        <v>28.630189401186147</v>
      </c>
      <c r="AF88" s="1">
        <f t="shared" ref="AF88:AX88" si="0">AF86/AF87*100</f>
        <v>29.989419791071274</v>
      </c>
      <c r="AG88" s="1">
        <f t="shared" si="0"/>
        <v>30.794979556690986</v>
      </c>
      <c r="AH88" s="1">
        <f t="shared" si="0"/>
        <v>30.173906138330814</v>
      </c>
      <c r="AI88" s="1">
        <f t="shared" si="0"/>
        <v>33.714719175700864</v>
      </c>
      <c r="AJ88" s="1">
        <f t="shared" si="0"/>
        <v>32.435787649541687</v>
      </c>
      <c r="AK88" s="1">
        <f t="shared" si="0"/>
        <v>34.012460091800989</v>
      </c>
      <c r="AL88" s="1">
        <f t="shared" si="0"/>
        <v>32.035297889840464</v>
      </c>
      <c r="AM88" s="1">
        <f t="shared" si="0"/>
        <v>31.919446307423481</v>
      </c>
      <c r="AN88" s="1">
        <f t="shared" si="0"/>
        <v>30.02476260382787</v>
      </c>
      <c r="AO88" s="1">
        <f t="shared" si="0"/>
        <v>29.43116743671504</v>
      </c>
      <c r="AP88" s="1">
        <f t="shared" si="0"/>
        <v>28.551842396950523</v>
      </c>
      <c r="AQ88" s="1">
        <f t="shared" si="0"/>
        <v>27.671490089750467</v>
      </c>
      <c r="AR88" s="1">
        <f t="shared" si="0"/>
        <v>27.238461616472353</v>
      </c>
      <c r="AS88" s="1">
        <f t="shared" si="0"/>
        <v>28.005036842376462</v>
      </c>
      <c r="AT88" s="1">
        <f t="shared" si="0"/>
        <v>34.263658144198764</v>
      </c>
      <c r="AU88" s="1">
        <f t="shared" si="0"/>
        <v>31.382119029799689</v>
      </c>
      <c r="AV88" s="1">
        <f t="shared" si="0"/>
        <v>34.354799899375472</v>
      </c>
      <c r="AW88" s="1">
        <f t="shared" si="0"/>
        <v>31.770627099691946</v>
      </c>
      <c r="AX88" s="1">
        <f t="shared" si="0"/>
        <v>33.04582261507958</v>
      </c>
    </row>
    <row r="89" spans="11:50" x14ac:dyDescent="0.3">
      <c r="K89" s="26">
        <v>2015</v>
      </c>
      <c r="L89" s="4"/>
      <c r="N89" s="4">
        <v>29.954052487788722</v>
      </c>
      <c r="O89" s="4">
        <v>30.870252233624985</v>
      </c>
      <c r="P89" s="4">
        <v>35.465193421295879</v>
      </c>
      <c r="Q89" s="4">
        <v>32.553939707936991</v>
      </c>
      <c r="R89" s="4">
        <v>29.43116743671504</v>
      </c>
      <c r="AF89" s="1">
        <v>29.989419791071274</v>
      </c>
      <c r="AG89" s="1">
        <v>30.794979556690986</v>
      </c>
      <c r="AH89" s="1">
        <v>30.173906138330814</v>
      </c>
      <c r="AI89" s="1">
        <v>33.714719175700864</v>
      </c>
      <c r="AJ89" s="1">
        <v>32.435787649541687</v>
      </c>
      <c r="AK89" s="1">
        <v>34.012460091800989</v>
      </c>
      <c r="AL89" s="1">
        <v>32.035297889840464</v>
      </c>
      <c r="AM89" s="1">
        <v>31.919446307423481</v>
      </c>
      <c r="AN89" s="1">
        <v>30.02476260382787</v>
      </c>
      <c r="AO89" s="1">
        <v>29.43116743671504</v>
      </c>
      <c r="AP89" s="1">
        <v>28.551842396950523</v>
      </c>
      <c r="AQ89" s="1">
        <v>27.671490089750467</v>
      </c>
      <c r="AR89" s="1">
        <v>27.238461616472353</v>
      </c>
      <c r="AS89" s="1">
        <v>28.005036842376462</v>
      </c>
      <c r="AT89" s="1">
        <v>34.263658144198764</v>
      </c>
      <c r="AU89" s="1">
        <v>31.382119029799689</v>
      </c>
      <c r="AV89" s="1">
        <v>34.354799899375472</v>
      </c>
      <c r="AW89" s="1">
        <v>31.770627099691946</v>
      </c>
      <c r="AX89" s="1">
        <v>33.04582261507958</v>
      </c>
    </row>
    <row r="90" spans="11:50" x14ac:dyDescent="0.3">
      <c r="K90" s="26">
        <v>2016</v>
      </c>
      <c r="L90" s="4"/>
      <c r="N90" s="4">
        <v>29.737812142680092</v>
      </c>
      <c r="O90" s="4">
        <v>30.707884518346969</v>
      </c>
      <c r="P90" s="4">
        <v>35.203495880103397</v>
      </c>
      <c r="Q90" s="4">
        <v>32.617018758361475</v>
      </c>
      <c r="R90" s="4">
        <v>28.551842396950523</v>
      </c>
    </row>
    <row r="91" spans="11:50" x14ac:dyDescent="0.3">
      <c r="K91" s="26">
        <v>2017</v>
      </c>
      <c r="L91" s="4"/>
      <c r="N91" s="4">
        <v>29.855560013579829</v>
      </c>
      <c r="O91" s="4">
        <v>30.947187728282199</v>
      </c>
      <c r="P91" s="4">
        <v>35.365599165240631</v>
      </c>
      <c r="Q91" s="4">
        <v>32.725641826908593</v>
      </c>
      <c r="R91" s="4">
        <v>27.671490089750467</v>
      </c>
    </row>
    <row r="92" spans="11:50" x14ac:dyDescent="0.3">
      <c r="K92" s="26">
        <v>2018</v>
      </c>
      <c r="L92" s="4"/>
      <c r="N92" s="4">
        <v>29.135144617678659</v>
      </c>
      <c r="O92" s="4">
        <v>30.671709516435396</v>
      </c>
      <c r="P92" s="4">
        <v>35.484538351797248</v>
      </c>
      <c r="Q92" s="4">
        <v>32.824481912303511</v>
      </c>
      <c r="R92" s="4">
        <v>27.238461616472353</v>
      </c>
    </row>
    <row r="93" spans="11:50" x14ac:dyDescent="0.3">
      <c r="K93" s="26">
        <v>2019</v>
      </c>
      <c r="L93" s="4"/>
      <c r="M93" s="4">
        <v>28.027692813469951</v>
      </c>
      <c r="N93" s="4">
        <v>28.543150263177118</v>
      </c>
      <c r="O93" s="4">
        <v>30.709250744198069</v>
      </c>
      <c r="P93" s="4">
        <v>35.580398258996091</v>
      </c>
      <c r="Q93" s="4">
        <v>32.940191344799622</v>
      </c>
      <c r="R93" s="4">
        <v>28.005036842376462</v>
      </c>
    </row>
    <row r="94" spans="11:50" x14ac:dyDescent="0.3">
      <c r="K94" s="26">
        <v>2020</v>
      </c>
      <c r="L94" s="4"/>
      <c r="M94" s="4">
        <v>34.380449341656345</v>
      </c>
      <c r="N94" s="4">
        <v>28.349209532404156</v>
      </c>
      <c r="O94" s="4">
        <v>30.758902919604807</v>
      </c>
      <c r="P94" s="4">
        <v>35.677492417107331</v>
      </c>
      <c r="Q94" s="4">
        <v>33.071338655620266</v>
      </c>
      <c r="R94" s="4">
        <v>34.263658144198764</v>
      </c>
    </row>
    <row r="95" spans="11:50" x14ac:dyDescent="0.3">
      <c r="K95" s="26">
        <v>2021</v>
      </c>
      <c r="L95" s="4"/>
      <c r="M95" s="4">
        <v>33.117622959398801</v>
      </c>
      <c r="N95" s="4">
        <v>29.010134589073999</v>
      </c>
      <c r="O95" s="4">
        <v>30.868978704999499</v>
      </c>
      <c r="P95" s="4">
        <v>35.720439852962485</v>
      </c>
      <c r="Q95" s="4">
        <v>33.236180441473259</v>
      </c>
      <c r="R95" s="4">
        <v>31.382119029799689</v>
      </c>
    </row>
    <row r="96" spans="11:50" x14ac:dyDescent="0.3">
      <c r="K96" s="26">
        <v>2022</v>
      </c>
      <c r="L96" s="4"/>
      <c r="M96" s="4">
        <v>32.800464342286595</v>
      </c>
      <c r="N96" s="4">
        <v>29.762630469971825</v>
      </c>
      <c r="O96" s="4">
        <v>31.044397135290247</v>
      </c>
      <c r="P96" s="4">
        <v>35.964468984214534</v>
      </c>
      <c r="Q96" s="4">
        <v>33.449959742769465</v>
      </c>
      <c r="R96" s="4">
        <v>34.354799899375472</v>
      </c>
    </row>
    <row r="97" spans="11:18" x14ac:dyDescent="0.3">
      <c r="K97" s="26">
        <v>2023</v>
      </c>
      <c r="L97" s="4"/>
      <c r="M97" s="4">
        <v>31.058149952781573</v>
      </c>
      <c r="N97" s="4">
        <v>30.324662036739365</v>
      </c>
      <c r="O97" s="4">
        <v>31.260040829020031</v>
      </c>
      <c r="P97" s="4">
        <v>36.182037091948793</v>
      </c>
      <c r="Q97" s="4">
        <v>33.664979822947757</v>
      </c>
      <c r="R97" s="4">
        <v>31.770627099691946</v>
      </c>
    </row>
    <row r="98" spans="11:18" x14ac:dyDescent="0.3">
      <c r="K98" s="26">
        <v>2024</v>
      </c>
      <c r="L98" s="4"/>
      <c r="M98" s="4">
        <v>29.985847447704277</v>
      </c>
      <c r="N98" s="4">
        <v>30.784725038198502</v>
      </c>
      <c r="O98" s="4">
        <v>31.512132783348591</v>
      </c>
      <c r="P98" s="4">
        <v>36.477590753266355</v>
      </c>
      <c r="Q98" s="4">
        <v>33.926109182935697</v>
      </c>
      <c r="R98" s="4">
        <v>33.04582261507958</v>
      </c>
    </row>
    <row r="99" spans="11:18" x14ac:dyDescent="0.3">
      <c r="K99" s="26">
        <v>2025</v>
      </c>
      <c r="L99" s="4">
        <v>32.680375412503331</v>
      </c>
      <c r="M99" s="4">
        <v>29.234537512970871</v>
      </c>
      <c r="N99" s="4">
        <v>31.173814628999875</v>
      </c>
      <c r="O99" s="4">
        <v>31.781973451857894</v>
      </c>
      <c r="P99" s="4">
        <v>36.81521736006659</v>
      </c>
      <c r="Q99" s="4">
        <v>34.222947824744459</v>
      </c>
    </row>
    <row r="100" spans="11:18" x14ac:dyDescent="0.3">
      <c r="K100" s="26">
        <v>2026</v>
      </c>
      <c r="L100" s="4">
        <v>32.937756318132422</v>
      </c>
      <c r="M100" s="4">
        <v>29.470782849051634</v>
      </c>
      <c r="N100" s="4">
        <v>31.622388392172063</v>
      </c>
      <c r="O100" s="4">
        <v>32.083114179845573</v>
      </c>
      <c r="P100" s="4">
        <v>37.196927330763835</v>
      </c>
      <c r="Q100" s="4">
        <v>34.548316430400952</v>
      </c>
    </row>
    <row r="101" spans="11:18" x14ac:dyDescent="0.3">
      <c r="K101" s="26">
        <v>2027</v>
      </c>
      <c r="L101" s="4">
        <v>32.053498545325155</v>
      </c>
      <c r="M101" s="4">
        <v>29.898961037909778</v>
      </c>
      <c r="N101" s="4">
        <v>32.071989827800628</v>
      </c>
      <c r="O101" s="4">
        <v>32.365646905989855</v>
      </c>
      <c r="P101" s="4">
        <v>37.641831546889478</v>
      </c>
      <c r="Q101" s="4">
        <v>34.919573379076603</v>
      </c>
    </row>
    <row r="102" spans="11:18" x14ac:dyDescent="0.3">
      <c r="K102" s="26">
        <v>2028</v>
      </c>
      <c r="L102" s="4">
        <v>31.311169055196409</v>
      </c>
      <c r="M102" s="4">
        <v>30.31491099458788</v>
      </c>
      <c r="N102" s="4">
        <v>32.45789579194232</v>
      </c>
      <c r="O102" s="4">
        <v>32.698480792505919</v>
      </c>
      <c r="P102" s="4">
        <v>38.08370769135729</v>
      </c>
      <c r="Q102" s="4">
        <v>35.279207650813618</v>
      </c>
    </row>
    <row r="103" spans="11:18" x14ac:dyDescent="0.3">
      <c r="K103" s="26">
        <v>2029</v>
      </c>
      <c r="L103" s="4">
        <v>30.90101159653668</v>
      </c>
      <c r="M103" s="4">
        <v>30.744194829358317</v>
      </c>
      <c r="N103" s="4">
        <v>32.848873338278118</v>
      </c>
      <c r="O103" s="4">
        <v>33.050366666766678</v>
      </c>
      <c r="P103" s="4">
        <v>38.529428573488786</v>
      </c>
      <c r="Q103" s="4">
        <v>35.637498984929685</v>
      </c>
    </row>
    <row r="104" spans="11:18" x14ac:dyDescent="0.3">
      <c r="K104" s="26">
        <v>2030</v>
      </c>
      <c r="L104" s="4">
        <v>31.258766962088934</v>
      </c>
      <c r="M104" s="4">
        <v>31.102748025148529</v>
      </c>
      <c r="N104" s="4">
        <v>33.237769455113011</v>
      </c>
      <c r="O104" s="4">
        <v>33.395416734685263</v>
      </c>
      <c r="P104" s="4">
        <v>38.965654584434176</v>
      </c>
      <c r="Q104" s="4">
        <v>35.974154413020869</v>
      </c>
    </row>
    <row r="105" spans="11:18" x14ac:dyDescent="0.3">
      <c r="K105" s="26">
        <v>2031</v>
      </c>
      <c r="L105" s="4">
        <v>31.603690519950817</v>
      </c>
      <c r="M105" s="4">
        <v>31.384232601531316</v>
      </c>
      <c r="N105" s="4">
        <v>33.637580595062602</v>
      </c>
      <c r="O105" s="4">
        <v>33.753332348102703</v>
      </c>
      <c r="P105" s="4">
        <v>39.406661457734025</v>
      </c>
      <c r="Q105" s="4">
        <v>36.312832326227806</v>
      </c>
    </row>
    <row r="106" spans="11:18" x14ac:dyDescent="0.3">
      <c r="K106" s="26">
        <v>2032</v>
      </c>
      <c r="L106" s="4">
        <v>32.006875404306115</v>
      </c>
      <c r="M106" s="4">
        <v>31.684056292574613</v>
      </c>
      <c r="N106" s="4">
        <v>34.056798047632689</v>
      </c>
      <c r="O106" s="4">
        <v>34.108151913935259</v>
      </c>
      <c r="P106" s="4">
        <v>39.863089370031155</v>
      </c>
      <c r="Q106" s="4">
        <v>36.688432358055245</v>
      </c>
    </row>
    <row r="107" spans="11:18" x14ac:dyDescent="0.3">
      <c r="K107" s="26">
        <v>2033</v>
      </c>
      <c r="L107" s="4">
        <v>32.4521344306036</v>
      </c>
      <c r="M107" s="4">
        <v>32.028371521861345</v>
      </c>
      <c r="N107" s="4">
        <v>34.486987864162828</v>
      </c>
      <c r="O107" s="4">
        <v>34.42409305535481</v>
      </c>
      <c r="P107" s="4">
        <v>40.310217288134822</v>
      </c>
      <c r="Q107" s="4">
        <v>37.068619905758851</v>
      </c>
    </row>
    <row r="108" spans="11:18" x14ac:dyDescent="0.3">
      <c r="K108" s="26">
        <v>2034</v>
      </c>
      <c r="L108" s="4">
        <v>32.871924083373159</v>
      </c>
      <c r="M108" s="4">
        <v>32.356474837594561</v>
      </c>
      <c r="N108" s="4">
        <v>34.892545196086253</v>
      </c>
      <c r="O108" s="4">
        <v>34.763420318783318</v>
      </c>
      <c r="P108" s="4">
        <v>40.772303072846569</v>
      </c>
      <c r="Q108" s="4">
        <v>37.442442181322022</v>
      </c>
    </row>
    <row r="109" spans="11:18" x14ac:dyDescent="0.3">
      <c r="K109" s="26">
        <v>2035</v>
      </c>
      <c r="L109" s="4">
        <v>33.232469160948739</v>
      </c>
      <c r="M109" s="4">
        <v>32.689025079801262</v>
      </c>
      <c r="N109" s="4">
        <v>35.286208564587277</v>
      </c>
      <c r="O109" s="4">
        <v>35.103184654293777</v>
      </c>
      <c r="P109" s="4">
        <v>41.233921964627172</v>
      </c>
      <c r="Q109" s="4">
        <v>37.814675150895944</v>
      </c>
    </row>
    <row r="110" spans="11:18" x14ac:dyDescent="0.3">
      <c r="K110" s="26">
        <v>2036</v>
      </c>
      <c r="L110" s="4">
        <v>33.441406163229345</v>
      </c>
      <c r="M110" s="4">
        <v>33.040294318573189</v>
      </c>
      <c r="N110" s="4">
        <v>35.694708385531484</v>
      </c>
      <c r="O110" s="4">
        <v>35.46408337829336</v>
      </c>
      <c r="P110" s="4">
        <v>41.72198483948376</v>
      </c>
      <c r="Q110" s="4">
        <v>38.206262885083497</v>
      </c>
    </row>
    <row r="111" spans="11:18" x14ac:dyDescent="0.3">
      <c r="K111" s="26">
        <v>2037</v>
      </c>
      <c r="L111" s="4">
        <v>33.620097893189104</v>
      </c>
      <c r="M111" s="4">
        <v>33.396629232514442</v>
      </c>
      <c r="N111" s="4">
        <v>36.099299120822657</v>
      </c>
      <c r="O111" s="4">
        <v>35.822313042450276</v>
      </c>
      <c r="P111" s="4">
        <v>42.224447899903033</v>
      </c>
      <c r="Q111" s="4">
        <v>38.593075234833904</v>
      </c>
    </row>
    <row r="112" spans="11:18" x14ac:dyDescent="0.3">
      <c r="K112" s="26">
        <v>2038</v>
      </c>
      <c r="L112" s="4">
        <v>33.796651623581674</v>
      </c>
      <c r="M112" s="4">
        <v>33.747296418939158</v>
      </c>
      <c r="N112" s="4">
        <v>36.49447522461292</v>
      </c>
      <c r="O112" s="4">
        <v>36.179551407820973</v>
      </c>
      <c r="P112" s="4">
        <v>42.711054255914512</v>
      </c>
      <c r="Q112" s="4">
        <v>38.959550449930582</v>
      </c>
    </row>
    <row r="113" spans="11:17" x14ac:dyDescent="0.3">
      <c r="K113" s="26">
        <v>2039</v>
      </c>
      <c r="L113" s="4">
        <v>33.976536137769656</v>
      </c>
      <c r="M113" s="4">
        <v>34.103123715617208</v>
      </c>
      <c r="N113" s="4">
        <v>36.879540678474868</v>
      </c>
      <c r="O113" s="4">
        <v>36.527718244384822</v>
      </c>
      <c r="P113" s="4">
        <v>43.200086125642088</v>
      </c>
      <c r="Q113" s="4">
        <v>39.309083317135787</v>
      </c>
    </row>
    <row r="114" spans="11:17" x14ac:dyDescent="0.3">
      <c r="K114" s="26">
        <v>2040</v>
      </c>
      <c r="L114" s="4">
        <v>34.184960019534856</v>
      </c>
      <c r="M114" s="4">
        <v>34.457262043744308</v>
      </c>
      <c r="N114" s="4">
        <v>37.251230438438583</v>
      </c>
      <c r="O114" s="4">
        <v>36.865138373156405</v>
      </c>
      <c r="P114" s="4">
        <v>43.678123047707018</v>
      </c>
      <c r="Q114" s="4">
        <v>39.625115518682122</v>
      </c>
    </row>
    <row r="115" spans="11:17" x14ac:dyDescent="0.3">
      <c r="K115" s="26">
        <v>2041</v>
      </c>
      <c r="L115" s="4">
        <v>34.399349483511266</v>
      </c>
      <c r="M115" s="4">
        <v>34.814995077180235</v>
      </c>
      <c r="N115" s="4">
        <v>37.607929108147992</v>
      </c>
      <c r="O115" s="4">
        <v>37.19636301959892</v>
      </c>
      <c r="P115" s="4">
        <v>44.161622221265525</v>
      </c>
      <c r="Q115" s="4">
        <v>39.92081452049905</v>
      </c>
    </row>
    <row r="116" spans="11:17" x14ac:dyDescent="0.3">
      <c r="K116" s="26">
        <v>2042</v>
      </c>
      <c r="L116" s="4">
        <v>34.622408272122328</v>
      </c>
      <c r="M116" s="4">
        <v>35.188950190267938</v>
      </c>
      <c r="N116" s="4">
        <v>37.967578535230935</v>
      </c>
      <c r="O116" s="4">
        <v>37.530404701418227</v>
      </c>
      <c r="P116" s="4">
        <v>44.664897303659387</v>
      </c>
      <c r="Q116" s="4">
        <v>40.222928037044817</v>
      </c>
    </row>
    <row r="117" spans="11:17" x14ac:dyDescent="0.3">
      <c r="K117" s="26">
        <v>2043</v>
      </c>
      <c r="L117" s="4">
        <v>34.8486452152776</v>
      </c>
      <c r="M117" s="4">
        <v>35.567157722812553</v>
      </c>
      <c r="N117" s="4">
        <v>38.321932514458936</v>
      </c>
      <c r="O117" s="4">
        <v>37.864117019075216</v>
      </c>
      <c r="P117" s="4">
        <v>45.171728980708487</v>
      </c>
      <c r="Q117" s="4">
        <v>40.506255705528531</v>
      </c>
    </row>
    <row r="118" spans="11:17" x14ac:dyDescent="0.3">
      <c r="K118" s="26">
        <v>2044</v>
      </c>
      <c r="L118" s="4">
        <v>35.090081244859192</v>
      </c>
      <c r="M118" s="4">
        <v>35.965678573245022</v>
      </c>
      <c r="N118" s="4">
        <v>38.687437406063843</v>
      </c>
      <c r="O118" s="4">
        <v>38.205887630852473</v>
      </c>
      <c r="P118" s="4">
        <v>45.700037103217987</v>
      </c>
      <c r="Q118" s="4">
        <v>40.802940680650693</v>
      </c>
    </row>
    <row r="119" spans="11:17" x14ac:dyDescent="0.3">
      <c r="K119" s="26">
        <v>2045</v>
      </c>
      <c r="L119" s="4">
        <v>35.343502661402084</v>
      </c>
      <c r="M119" s="4">
        <v>36.353010576058139</v>
      </c>
      <c r="N119" s="4">
        <v>39.059398147126139</v>
      </c>
      <c r="O119" s="4">
        <v>38.563838183832466</v>
      </c>
      <c r="P119" s="4">
        <v>46.236879473231305</v>
      </c>
      <c r="Q119" s="4">
        <v>41.095187887724514</v>
      </c>
    </row>
    <row r="120" spans="11:17" x14ac:dyDescent="0.3">
      <c r="K120" s="26">
        <v>2046</v>
      </c>
      <c r="L120" s="4">
        <v>35.611192882994864</v>
      </c>
      <c r="M120" s="4">
        <v>36.742998477081663</v>
      </c>
      <c r="N120" s="4">
        <v>39.441197995237665</v>
      </c>
      <c r="O120" s="4">
        <v>38.94492192280201</v>
      </c>
      <c r="P120" s="4">
        <v>46.793115178830689</v>
      </c>
      <c r="Q120" s="4">
        <v>41.395785553581526</v>
      </c>
    </row>
    <row r="121" spans="11:17" x14ac:dyDescent="0.3">
      <c r="K121" s="26">
        <v>2047</v>
      </c>
      <c r="L121" s="4">
        <v>35.894315404776037</v>
      </c>
      <c r="M121" s="4">
        <v>37.16042592763791</v>
      </c>
      <c r="N121" s="4">
        <v>39.830677539853887</v>
      </c>
      <c r="O121" s="4">
        <v>39.32473364399641</v>
      </c>
      <c r="P121" s="4">
        <v>47.373429203712035</v>
      </c>
      <c r="Q121" s="4">
        <v>41.698198144669838</v>
      </c>
    </row>
    <row r="122" spans="11:17" x14ac:dyDescent="0.3">
      <c r="K122" s="26">
        <v>2048</v>
      </c>
      <c r="L122" s="4">
        <v>36.197488698538358</v>
      </c>
      <c r="M122" s="4">
        <v>37.58886323179123</v>
      </c>
      <c r="N122" s="4">
        <v>40.237601292017857</v>
      </c>
      <c r="O122" s="4">
        <v>39.737348150737198</v>
      </c>
      <c r="P122" s="4">
        <v>47.975873823026639</v>
      </c>
      <c r="Q122" s="4">
        <v>41.996582546731645</v>
      </c>
    </row>
    <row r="123" spans="11:17" x14ac:dyDescent="0.3">
      <c r="K123" s="26">
        <v>2049</v>
      </c>
      <c r="L123" s="4">
        <v>36.515023778713626</v>
      </c>
      <c r="M123" s="4">
        <v>38.028377594099737</v>
      </c>
      <c r="N123" s="4">
        <v>40.658136925532268</v>
      </c>
      <c r="O123" s="4">
        <v>40.177901215449587</v>
      </c>
      <c r="P123" s="4">
        <v>48.5854011069558</v>
      </c>
      <c r="Q123" s="4">
        <v>42.280631679781692</v>
      </c>
    </row>
    <row r="124" spans="11:17" x14ac:dyDescent="0.3">
      <c r="K124" s="26">
        <v>2050</v>
      </c>
      <c r="L124" s="4">
        <v>36.848444562312132</v>
      </c>
      <c r="M124" s="4">
        <v>38.487629698954045</v>
      </c>
      <c r="N124" s="4">
        <v>41.094072739159117</v>
      </c>
      <c r="O124" s="4">
        <v>40.629578948857109</v>
      </c>
      <c r="P124" s="4">
        <v>49.2144141610923</v>
      </c>
      <c r="Q124" s="4">
        <v>42.572520709302495</v>
      </c>
    </row>
    <row r="125" spans="11:17" x14ac:dyDescent="0.3">
      <c r="K125" s="26">
        <v>2051</v>
      </c>
      <c r="L125" s="4">
        <v>37.197498913443681</v>
      </c>
      <c r="M125" s="4">
        <v>38.970324707589334</v>
      </c>
      <c r="N125" s="4">
        <v>41.552690940609587</v>
      </c>
      <c r="O125" s="4">
        <v>41.10587035608296</v>
      </c>
    </row>
    <row r="126" spans="11:17" x14ac:dyDescent="0.3">
      <c r="K126" s="26">
        <v>2052</v>
      </c>
      <c r="L126" s="4">
        <v>37.572768719441541</v>
      </c>
      <c r="M126" s="4">
        <v>39.474280171178293</v>
      </c>
      <c r="N126" s="4">
        <v>42.041872352692721</v>
      </c>
      <c r="O126" s="4">
        <v>41.621009674277488</v>
      </c>
    </row>
    <row r="127" spans="11:17" x14ac:dyDescent="0.3">
      <c r="K127" s="26">
        <v>2053</v>
      </c>
      <c r="L127" s="4">
        <v>37.97203786273495</v>
      </c>
      <c r="M127" s="4">
        <v>40.004879309772669</v>
      </c>
      <c r="N127" s="4">
        <v>42.565327047386361</v>
      </c>
      <c r="O127" s="4">
        <v>42.162492790311916</v>
      </c>
    </row>
    <row r="128" spans="11:17" x14ac:dyDescent="0.3">
      <c r="K128" s="26">
        <v>2054</v>
      </c>
      <c r="L128" s="4">
        <v>38.388560395878777</v>
      </c>
      <c r="M128" s="4">
        <v>40.565720881872707</v>
      </c>
      <c r="N128" s="4">
        <v>43.125014370806269</v>
      </c>
      <c r="O128" s="4">
        <v>42.742654991159391</v>
      </c>
    </row>
    <row r="129" spans="11:15" x14ac:dyDescent="0.3">
      <c r="K129" s="26">
        <v>2055</v>
      </c>
      <c r="L129" s="4">
        <v>38.838279892854821</v>
      </c>
      <c r="M129" s="4">
        <v>41.158837868035206</v>
      </c>
      <c r="N129" s="4">
        <v>43.725156368856595</v>
      </c>
      <c r="O129" s="4">
        <v>43.341402369650595</v>
      </c>
    </row>
    <row r="130" spans="11:15" x14ac:dyDescent="0.3">
      <c r="K130" s="26">
        <v>2056</v>
      </c>
      <c r="L130" s="4">
        <v>39.300459680796507</v>
      </c>
      <c r="M130" s="4">
        <v>41.769312716655968</v>
      </c>
      <c r="N130" s="4">
        <v>44.361044255159335</v>
      </c>
      <c r="O130" s="4">
        <v>43.99309099191899</v>
      </c>
    </row>
    <row r="131" spans="11:15" x14ac:dyDescent="0.3">
      <c r="K131" s="26">
        <v>2057</v>
      </c>
      <c r="L131" s="4">
        <v>39.769616901549483</v>
      </c>
      <c r="M131" s="4">
        <v>42.398187244881186</v>
      </c>
      <c r="N131" s="4">
        <v>45.013358070821987</v>
      </c>
      <c r="O131" s="4">
        <v>44.667039383403043</v>
      </c>
    </row>
    <row r="132" spans="11:15" x14ac:dyDescent="0.3">
      <c r="K132" s="26">
        <v>2058</v>
      </c>
      <c r="L132" s="4">
        <v>40.245521722273324</v>
      </c>
      <c r="M132" s="4">
        <v>43.032963325154043</v>
      </c>
      <c r="N132" s="4">
        <v>45.688819817734696</v>
      </c>
      <c r="O132" s="4">
        <v>45.35974085247372</v>
      </c>
    </row>
    <row r="133" spans="11:15" x14ac:dyDescent="0.3">
      <c r="K133" s="26">
        <v>2059</v>
      </c>
      <c r="L133" s="4">
        <v>40.721427621753818</v>
      </c>
      <c r="M133" s="4">
        <v>43.682998073403766</v>
      </c>
      <c r="N133" s="4">
        <v>46.380721298757479</v>
      </c>
      <c r="O133" s="4">
        <v>46.083642749813677</v>
      </c>
    </row>
    <row r="134" spans="11:15" x14ac:dyDescent="0.3">
      <c r="K134" s="26">
        <v>2060</v>
      </c>
      <c r="L134" s="4">
        <v>41.206285660245001</v>
      </c>
      <c r="M134" s="4">
        <v>44.35114982951027</v>
      </c>
      <c r="N134" s="4">
        <v>47.097647585842701</v>
      </c>
      <c r="O134" s="4">
        <v>46.833978785703742</v>
      </c>
    </row>
    <row r="135" spans="11:15" x14ac:dyDescent="0.3">
      <c r="K135" s="26">
        <v>2061</v>
      </c>
      <c r="L135" s="4">
        <v>41.692168780093787</v>
      </c>
      <c r="M135" s="4">
        <v>45.02701476723071</v>
      </c>
    </row>
    <row r="136" spans="11:15" x14ac:dyDescent="0.3">
      <c r="K136" s="26">
        <v>2062</v>
      </c>
      <c r="L136" s="4">
        <v>42.184285452279688</v>
      </c>
    </row>
    <row r="137" spans="11:15" x14ac:dyDescent="0.3">
      <c r="K137" s="26">
        <v>2063</v>
      </c>
      <c r="L137" s="4">
        <v>42.685264224202946</v>
      </c>
    </row>
    <row r="138" spans="11:15" x14ac:dyDescent="0.3">
      <c r="K138" s="26">
        <v>2064</v>
      </c>
      <c r="L138" s="4">
        <v>43.189500615150891</v>
      </c>
    </row>
    <row r="139" spans="11:15" x14ac:dyDescent="0.3">
      <c r="K139" s="26">
        <v>2065</v>
      </c>
      <c r="L139" s="4">
        <v>43.714306562916668</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6A41-684F-4B27-B5D1-DAA694321DD4}">
  <sheetPr codeName="Sheet37"/>
  <dimension ref="B2:I62"/>
  <sheetViews>
    <sheetView showGridLines="0" zoomScaleNormal="100" workbookViewId="0"/>
  </sheetViews>
  <sheetFormatPr defaultColWidth="8.7109375" defaultRowHeight="16.5" x14ac:dyDescent="0.3"/>
  <cols>
    <col min="1" max="2" width="8.7109375" style="1"/>
    <col min="3" max="3" width="17.85546875" style="1" bestFit="1" customWidth="1"/>
    <col min="4" max="4" width="10.42578125" style="1" bestFit="1" customWidth="1"/>
    <col min="5" max="5" width="8.85546875" style="1" customWidth="1"/>
    <col min="6" max="16384" width="8.7109375" style="1"/>
  </cols>
  <sheetData>
    <row r="2" spans="2:9" x14ac:dyDescent="0.3">
      <c r="B2" s="9" t="s">
        <v>287</v>
      </c>
      <c r="C2" s="8"/>
      <c r="D2" s="8"/>
      <c r="E2" s="8"/>
      <c r="F2" s="8"/>
      <c r="G2" s="8"/>
      <c r="H2" s="8"/>
      <c r="I2" s="8"/>
    </row>
    <row r="3" spans="2:9" x14ac:dyDescent="0.3">
      <c r="B3" s="8" t="s">
        <v>277</v>
      </c>
      <c r="C3" s="8"/>
      <c r="D3" s="8"/>
      <c r="E3" s="8"/>
      <c r="F3" s="8"/>
      <c r="G3" s="8"/>
      <c r="H3" s="8"/>
      <c r="I3" s="8"/>
    </row>
    <row r="5" spans="2:9" x14ac:dyDescent="0.3">
      <c r="C5" s="1" t="s">
        <v>179</v>
      </c>
      <c r="D5" s="1" t="s">
        <v>184</v>
      </c>
      <c r="E5" s="1" t="s">
        <v>183</v>
      </c>
    </row>
    <row r="6" spans="2:9" x14ac:dyDescent="0.3">
      <c r="C6" s="1" t="s">
        <v>3</v>
      </c>
      <c r="D6" s="1" t="s">
        <v>3</v>
      </c>
      <c r="E6" s="1" t="s">
        <v>3</v>
      </c>
    </row>
    <row r="7" spans="2:9" x14ac:dyDescent="0.3">
      <c r="B7" s="110">
        <v>2010</v>
      </c>
      <c r="C7" s="4">
        <v>13.548243258307407</v>
      </c>
      <c r="D7" s="4">
        <v>13.548243258307407</v>
      </c>
      <c r="E7" s="4">
        <v>12.836404683877525</v>
      </c>
    </row>
    <row r="8" spans="2:9" x14ac:dyDescent="0.3">
      <c r="B8" s="110">
        <v>2011</v>
      </c>
      <c r="C8" s="4">
        <v>19.468554267721728</v>
      </c>
      <c r="D8" s="4">
        <v>19.468554267721728</v>
      </c>
      <c r="E8" s="4">
        <v>13.510539464867374</v>
      </c>
    </row>
    <row r="9" spans="2:9" x14ac:dyDescent="0.3">
      <c r="B9" s="110">
        <v>2012</v>
      </c>
      <c r="C9" s="4">
        <v>23.546769643993994</v>
      </c>
      <c r="D9" s="4">
        <v>23.546769643993994</v>
      </c>
      <c r="E9" s="4">
        <v>14.217133633053322</v>
      </c>
    </row>
    <row r="10" spans="2:9" x14ac:dyDescent="0.3">
      <c r="B10" s="110">
        <v>2013</v>
      </c>
      <c r="C10" s="4">
        <v>25.474147173822786</v>
      </c>
      <c r="D10" s="4">
        <v>25.474147173822786</v>
      </c>
      <c r="E10" s="4">
        <v>14.863503780470811</v>
      </c>
    </row>
    <row r="11" spans="2:9" x14ac:dyDescent="0.3">
      <c r="B11" s="110">
        <v>2014</v>
      </c>
      <c r="C11" s="4">
        <v>25.273691845754193</v>
      </c>
      <c r="D11" s="4">
        <v>25.273691845754193</v>
      </c>
      <c r="E11" s="4">
        <v>15.455754454660189</v>
      </c>
    </row>
    <row r="12" spans="2:9" x14ac:dyDescent="0.3">
      <c r="B12" s="110">
        <v>2015</v>
      </c>
      <c r="C12" s="4">
        <v>24.659478673949558</v>
      </c>
      <c r="D12" s="4">
        <v>24.659478673949558</v>
      </c>
      <c r="E12" s="4">
        <v>15.996242203802865</v>
      </c>
    </row>
    <row r="13" spans="2:9" x14ac:dyDescent="0.3">
      <c r="B13" s="110">
        <v>2016</v>
      </c>
      <c r="C13" s="4">
        <v>23.90010466917203</v>
      </c>
      <c r="D13" s="4">
        <v>23.90010466917203</v>
      </c>
      <c r="E13" s="4">
        <v>16.50264122408857</v>
      </c>
    </row>
    <row r="14" spans="2:9" x14ac:dyDescent="0.3">
      <c r="B14" s="110">
        <v>2017</v>
      </c>
      <c r="C14" s="4">
        <v>21.559395264037349</v>
      </c>
      <c r="D14" s="4">
        <v>21.559395264037349</v>
      </c>
      <c r="E14" s="4">
        <v>17.038604929830665</v>
      </c>
    </row>
    <row r="15" spans="2:9" x14ac:dyDescent="0.3">
      <c r="B15" s="110">
        <v>2018</v>
      </c>
      <c r="C15" s="4">
        <v>19.43390040189421</v>
      </c>
      <c r="D15" s="4">
        <v>19.43390040189421</v>
      </c>
      <c r="E15" s="4">
        <v>17.574262657934543</v>
      </c>
    </row>
    <row r="16" spans="2:9" x14ac:dyDescent="0.3">
      <c r="B16" s="110">
        <v>2019</v>
      </c>
      <c r="C16" s="4">
        <v>18.593806358530429</v>
      </c>
      <c r="D16" s="4">
        <v>18.608848679015406</v>
      </c>
      <c r="E16" s="4">
        <v>18.1104800780628</v>
      </c>
    </row>
    <row r="17" spans="2:5" x14ac:dyDescent="0.3">
      <c r="B17" s="110">
        <v>2020</v>
      </c>
      <c r="C17" s="4">
        <v>26.249012218580681</v>
      </c>
      <c r="D17" s="4">
        <v>26.33848467234451</v>
      </c>
      <c r="E17" s="4">
        <v>18.647506474476902</v>
      </c>
    </row>
    <row r="18" spans="2:5" x14ac:dyDescent="0.3">
      <c r="B18" s="110">
        <v>2021</v>
      </c>
      <c r="C18" s="4">
        <v>29.726872708529299</v>
      </c>
      <c r="D18" s="4">
        <v>33.987840872729876</v>
      </c>
      <c r="E18" s="4">
        <v>19.228273892608268</v>
      </c>
    </row>
    <row r="19" spans="2:5" x14ac:dyDescent="0.3">
      <c r="B19" s="110">
        <v>2022</v>
      </c>
      <c r="C19" s="4">
        <v>35.238545756816755</v>
      </c>
      <c r="D19" s="4">
        <v>43.835455850312513</v>
      </c>
      <c r="E19" s="4">
        <v>19.907224138167525</v>
      </c>
    </row>
    <row r="20" spans="2:5" x14ac:dyDescent="0.3">
      <c r="B20" s="110">
        <v>2023</v>
      </c>
      <c r="C20" s="4">
        <v>38.668698807362532</v>
      </c>
      <c r="D20" s="4">
        <v>48.019651471573447</v>
      </c>
      <c r="E20" s="4">
        <v>20.656779731706752</v>
      </c>
    </row>
    <row r="21" spans="2:5" x14ac:dyDescent="0.3">
      <c r="B21" s="110">
        <v>2024</v>
      </c>
      <c r="C21" s="4">
        <v>41.715364388928769</v>
      </c>
      <c r="D21" s="4">
        <v>46.897638356471219</v>
      </c>
      <c r="E21" s="4">
        <v>21.510952066038357</v>
      </c>
    </row>
    <row r="22" spans="2:5" x14ac:dyDescent="0.3">
      <c r="B22" s="110">
        <v>2025</v>
      </c>
      <c r="C22" s="4">
        <v>42.662266631123209</v>
      </c>
      <c r="D22" s="4">
        <v>43.626535389367504</v>
      </c>
      <c r="E22" s="4">
        <v>22.497439755577638</v>
      </c>
    </row>
    <row r="23" spans="2:5" x14ac:dyDescent="0.3">
      <c r="B23" s="110">
        <v>2026</v>
      </c>
      <c r="C23" s="4">
        <v>43.856251533527278</v>
      </c>
      <c r="D23" s="4">
        <v>41.349367092058841</v>
      </c>
      <c r="E23" s="4">
        <v>23.635844316261764</v>
      </c>
    </row>
    <row r="24" spans="2:5" x14ac:dyDescent="0.3">
      <c r="B24" s="110">
        <v>2027</v>
      </c>
      <c r="C24" s="4">
        <v>45.720325679720375</v>
      </c>
      <c r="D24" s="4">
        <v>41.299352600643566</v>
      </c>
      <c r="E24" s="4">
        <v>24.947319222353386</v>
      </c>
    </row>
    <row r="25" spans="2:5" x14ac:dyDescent="0.3">
      <c r="B25" s="110">
        <v>2028</v>
      </c>
      <c r="C25" s="4">
        <v>45.969979994649258</v>
      </c>
      <c r="D25" s="4">
        <v>41.568812622795363</v>
      </c>
      <c r="E25" s="4">
        <v>26.411209695647305</v>
      </c>
    </row>
    <row r="26" spans="2:5" x14ac:dyDescent="0.3">
      <c r="B26" s="110">
        <v>2029</v>
      </c>
      <c r="C26" s="4">
        <v>45.50753450532509</v>
      </c>
      <c r="D26" s="4">
        <v>42.115641250900389</v>
      </c>
      <c r="E26" s="4">
        <v>28.030350579587161</v>
      </c>
    </row>
    <row r="27" spans="2:5" x14ac:dyDescent="0.3">
      <c r="B27" s="110">
        <v>2030</v>
      </c>
      <c r="C27" s="4">
        <v>45.994639863852179</v>
      </c>
      <c r="D27" s="4">
        <v>42.934260054053212</v>
      </c>
      <c r="E27" s="4">
        <v>29.795661243645604</v>
      </c>
    </row>
    <row r="28" spans="2:5" x14ac:dyDescent="0.3">
      <c r="B28" s="110">
        <v>2031</v>
      </c>
      <c r="C28" s="4">
        <v>46.745755798944231</v>
      </c>
      <c r="D28" s="4">
        <v>43.96662628393112</v>
      </c>
      <c r="E28" s="4">
        <v>31.719251939426833</v>
      </c>
    </row>
    <row r="29" spans="2:5" x14ac:dyDescent="0.3">
      <c r="B29" s="110">
        <v>2032</v>
      </c>
      <c r="C29" s="4">
        <v>47.902018331619956</v>
      </c>
      <c r="D29" s="4">
        <v>45.229959008836133</v>
      </c>
      <c r="E29" s="4">
        <v>33.854700528397764</v>
      </c>
    </row>
    <row r="30" spans="2:5" x14ac:dyDescent="0.3">
      <c r="B30" s="110">
        <v>2033</v>
      </c>
      <c r="C30" s="4">
        <v>49.474451588221683</v>
      </c>
      <c r="D30" s="4">
        <v>46.759869729990314</v>
      </c>
      <c r="E30" s="4">
        <v>36.181927527425948</v>
      </c>
    </row>
    <row r="31" spans="2:5" x14ac:dyDescent="0.3">
      <c r="B31" s="110">
        <v>2034</v>
      </c>
      <c r="C31" s="4">
        <v>51.410059238652636</v>
      </c>
      <c r="D31" s="4">
        <v>48.529675173833006</v>
      </c>
      <c r="E31" s="4">
        <v>38.690851126738423</v>
      </c>
    </row>
    <row r="32" spans="2:5" x14ac:dyDescent="0.3">
      <c r="B32" s="110">
        <v>2035</v>
      </c>
      <c r="C32" s="4">
        <v>53.639633556887688</v>
      </c>
      <c r="D32" s="4">
        <v>50.529367848738985</v>
      </c>
      <c r="E32" s="4">
        <v>41.3808705508796</v>
      </c>
    </row>
    <row r="33" spans="2:5" x14ac:dyDescent="0.3">
      <c r="B33" s="110">
        <v>2036</v>
      </c>
      <c r="C33" s="4">
        <v>55.792886503026232</v>
      </c>
      <c r="D33" s="4">
        <v>52.767320332914501</v>
      </c>
      <c r="E33" s="4">
        <v>44.255071091976525</v>
      </c>
    </row>
    <row r="34" spans="2:5" x14ac:dyDescent="0.3">
      <c r="B34" s="110">
        <v>2037</v>
      </c>
      <c r="C34" s="4">
        <v>58.042324639763123</v>
      </c>
      <c r="D34" s="4">
        <v>55.245767320824925</v>
      </c>
      <c r="E34" s="4">
        <v>47.323627339085881</v>
      </c>
    </row>
    <row r="35" spans="2:5" x14ac:dyDescent="0.3">
      <c r="B35" s="110">
        <v>2038</v>
      </c>
      <c r="C35" s="4">
        <v>60.498660534783376</v>
      </c>
      <c r="D35" s="4">
        <v>57.962462529982353</v>
      </c>
      <c r="E35" s="4">
        <v>50.557416246700704</v>
      </c>
    </row>
    <row r="36" spans="2:5" x14ac:dyDescent="0.3">
      <c r="B36" s="110">
        <v>2039</v>
      </c>
      <c r="C36" s="4">
        <v>63.174159719252209</v>
      </c>
      <c r="D36" s="4">
        <v>60.925301569466363</v>
      </c>
      <c r="E36" s="4">
        <v>53.958850086039853</v>
      </c>
    </row>
    <row r="37" spans="2:5" x14ac:dyDescent="0.3">
      <c r="B37" s="110">
        <v>2040</v>
      </c>
      <c r="C37" s="4">
        <v>66.002794014467909</v>
      </c>
      <c r="D37" s="4">
        <v>64.139811594594079</v>
      </c>
      <c r="E37" s="4">
        <v>57.510394384529874</v>
      </c>
    </row>
    <row r="38" spans="2:5" x14ac:dyDescent="0.3">
      <c r="B38" s="110">
        <v>2041</v>
      </c>
      <c r="C38" s="4">
        <v>68.992727316958778</v>
      </c>
      <c r="D38" s="4">
        <v>67.607598308494246</v>
      </c>
      <c r="E38" s="4">
        <v>61.209921003574287</v>
      </c>
    </row>
    <row r="39" spans="2:5" x14ac:dyDescent="0.3">
      <c r="B39" s="110">
        <v>2042</v>
      </c>
      <c r="C39" s="4">
        <v>72.143805681006384</v>
      </c>
      <c r="D39" s="4">
        <v>71.343967982807882</v>
      </c>
      <c r="E39" s="4">
        <v>65.10381617725487</v>
      </c>
    </row>
    <row r="40" spans="2:5" x14ac:dyDescent="0.3">
      <c r="B40" s="110">
        <v>2043</v>
      </c>
      <c r="C40" s="4">
        <v>75.45883598356383</v>
      </c>
      <c r="D40" s="4">
        <v>75.348110661147274</v>
      </c>
      <c r="E40" s="4">
        <v>69.1529640794176</v>
      </c>
    </row>
    <row r="41" spans="2:5" x14ac:dyDescent="0.3">
      <c r="B41" s="110">
        <v>2044</v>
      </c>
      <c r="C41" s="4">
        <v>78.940304126756189</v>
      </c>
      <c r="D41" s="4">
        <v>79.628487140890073</v>
      </c>
      <c r="E41" s="4">
        <v>73.385842823052698</v>
      </c>
    </row>
    <row r="42" spans="2:5" x14ac:dyDescent="0.3">
      <c r="B42" s="110">
        <v>2045</v>
      </c>
      <c r="C42" s="4">
        <v>82.592221057046871</v>
      </c>
      <c r="D42" s="4">
        <v>84.163318109699361</v>
      </c>
      <c r="E42" s="4">
        <v>77.776502111147366</v>
      </c>
    </row>
    <row r="43" spans="2:5" x14ac:dyDescent="0.3">
      <c r="B43" s="110">
        <v>2046</v>
      </c>
      <c r="C43" s="4">
        <v>86.419370432243412</v>
      </c>
      <c r="D43" s="4">
        <v>88.950524143797665</v>
      </c>
      <c r="E43" s="4">
        <v>82.340448101488434</v>
      </c>
    </row>
    <row r="44" spans="2:5" x14ac:dyDescent="0.3">
      <c r="B44" s="110">
        <v>2047</v>
      </c>
      <c r="C44" s="4">
        <v>90.426369443103468</v>
      </c>
      <c r="D44" s="4">
        <v>94.006077996983734</v>
      </c>
      <c r="E44" s="4">
        <v>87.065776456737254</v>
      </c>
    </row>
    <row r="45" spans="2:5" x14ac:dyDescent="0.3">
      <c r="B45" s="110">
        <v>2048</v>
      </c>
      <c r="C45" s="4">
        <v>94.620476617891711</v>
      </c>
      <c r="D45" s="4">
        <v>99.333596673210636</v>
      </c>
      <c r="E45" s="4">
        <v>91.954026324778241</v>
      </c>
    </row>
    <row r="46" spans="2:5" x14ac:dyDescent="0.3">
      <c r="B46" s="110">
        <v>2049</v>
      </c>
      <c r="C46" s="4">
        <v>99.00777145746747</v>
      </c>
      <c r="D46" s="4">
        <v>104.92817000406269</v>
      </c>
      <c r="E46" s="4">
        <v>96.973642225885143</v>
      </c>
    </row>
    <row r="47" spans="2:5" x14ac:dyDescent="0.3">
      <c r="B47" s="110">
        <v>2050</v>
      </c>
      <c r="C47" s="4">
        <v>103.59208253345477</v>
      </c>
      <c r="D47" s="4">
        <v>110.80484492676321</v>
      </c>
      <c r="E47" s="4">
        <v>102.14514818994031</v>
      </c>
    </row>
    <row r="48" spans="2:5" x14ac:dyDescent="0.3">
      <c r="B48" s="110">
        <v>2051</v>
      </c>
      <c r="C48" s="4">
        <v>108.37763071072106</v>
      </c>
      <c r="D48" s="4">
        <v>116.97779124268848</v>
      </c>
    </row>
    <row r="49" spans="2:4" x14ac:dyDescent="0.3">
      <c r="B49" s="110">
        <v>2052</v>
      </c>
      <c r="C49" s="4">
        <v>113.37678136034725</v>
      </c>
      <c r="D49" s="4">
        <v>123.45504122815846</v>
      </c>
    </row>
    <row r="50" spans="2:4" x14ac:dyDescent="0.3">
      <c r="B50" s="110">
        <v>2053</v>
      </c>
      <c r="C50" s="4">
        <v>118.595341758323</v>
      </c>
      <c r="D50" s="4">
        <v>130.24121896748707</v>
      </c>
    </row>
    <row r="51" spans="2:4" x14ac:dyDescent="0.3">
      <c r="B51" s="110">
        <v>2054</v>
      </c>
      <c r="C51" s="4">
        <v>124.03839608169436</v>
      </c>
      <c r="D51" s="4">
        <v>137.35949327654998</v>
      </c>
    </row>
    <row r="52" spans="2:4" x14ac:dyDescent="0.3">
      <c r="B52" s="110">
        <v>2055</v>
      </c>
      <c r="C52" s="4">
        <v>129.71358707590875</v>
      </c>
      <c r="D52" s="4">
        <v>144.81912363583186</v>
      </c>
    </row>
    <row r="53" spans="2:4" x14ac:dyDescent="0.3">
      <c r="B53" s="110">
        <v>2056</v>
      </c>
      <c r="C53" s="4">
        <v>135.63550650685855</v>
      </c>
      <c r="D53" s="4">
        <v>152.61689472522258</v>
      </c>
    </row>
    <row r="54" spans="2:4" x14ac:dyDescent="0.3">
      <c r="B54" s="110">
        <v>2057</v>
      </c>
      <c r="C54" s="4">
        <v>141.80317962623471</v>
      </c>
      <c r="D54" s="4">
        <v>160.77246117007101</v>
      </c>
    </row>
    <row r="55" spans="2:4" x14ac:dyDescent="0.3">
      <c r="B55" s="110">
        <v>2058</v>
      </c>
      <c r="C55" s="4">
        <v>148.21684127458337</v>
      </c>
      <c r="D55" s="4">
        <v>169.27069626680364</v>
      </c>
    </row>
    <row r="56" spans="2:4" x14ac:dyDescent="0.3">
      <c r="B56" s="110">
        <v>2059</v>
      </c>
      <c r="C56" s="4">
        <v>154.87340162203637</v>
      </c>
      <c r="D56" s="4">
        <v>178.12468480125045</v>
      </c>
    </row>
    <row r="57" spans="2:4" x14ac:dyDescent="0.3">
      <c r="B57" s="110">
        <v>2060</v>
      </c>
      <c r="C57" s="4">
        <v>161.77874586949704</v>
      </c>
      <c r="D57" s="4">
        <v>187.35778717507296</v>
      </c>
    </row>
    <row r="58" spans="2:4" x14ac:dyDescent="0.3">
      <c r="B58" s="110">
        <v>2061</v>
      </c>
      <c r="C58" s="4">
        <v>168.92589308825092</v>
      </c>
      <c r="D58" s="4">
        <v>196.94431310166559</v>
      </c>
    </row>
    <row r="59" spans="2:4" x14ac:dyDescent="0.3">
      <c r="B59" s="110">
        <v>2062</v>
      </c>
      <c r="C59" s="4">
        <v>176.32532755945135</v>
      </c>
    </row>
    <row r="60" spans="2:4" x14ac:dyDescent="0.3">
      <c r="B60" s="110">
        <v>2063</v>
      </c>
      <c r="C60" s="4">
        <v>183.97419005984332</v>
      </c>
    </row>
    <row r="61" spans="2:4" x14ac:dyDescent="0.3">
      <c r="B61" s="110">
        <v>2064</v>
      </c>
      <c r="C61" s="4">
        <v>191.87530189258945</v>
      </c>
    </row>
    <row r="62" spans="2:4" x14ac:dyDescent="0.3">
      <c r="B62" s="110">
        <v>2065</v>
      </c>
      <c r="C62" s="4">
        <v>200.04067114934801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28DD-8F1A-402A-A97A-6D9553E425C5}">
  <sheetPr codeName="Sheet39"/>
  <dimension ref="B2:U47"/>
  <sheetViews>
    <sheetView workbookViewId="0"/>
  </sheetViews>
  <sheetFormatPr defaultRowHeight="15" x14ac:dyDescent="0.25"/>
  <cols>
    <col min="3" max="3" width="14.85546875" customWidth="1"/>
    <col min="4" max="4" width="8.85546875" customWidth="1"/>
    <col min="12" max="12" width="9.140625" style="101" bestFit="1" customWidth="1"/>
    <col min="13" max="13" width="9.42578125" style="101" bestFit="1" customWidth="1"/>
    <col min="14" max="16" width="8.7109375" style="101"/>
    <col min="17" max="17" width="9.140625" style="101" bestFit="1" customWidth="1"/>
    <col min="18" max="19" width="8.7109375" style="101"/>
  </cols>
  <sheetData>
    <row r="2" spans="2:21" ht="16.5" x14ac:dyDescent="0.3">
      <c r="B2" s="18" t="s">
        <v>288</v>
      </c>
      <c r="C2" s="19"/>
      <c r="D2" s="19"/>
      <c r="E2" s="19"/>
      <c r="F2" s="19"/>
      <c r="G2" s="19"/>
      <c r="H2" s="19"/>
      <c r="M2" s="102"/>
      <c r="Q2" s="102"/>
    </row>
    <row r="3" spans="2:21" ht="16.5" x14ac:dyDescent="0.3">
      <c r="B3" s="32" t="s">
        <v>289</v>
      </c>
      <c r="C3" s="19"/>
      <c r="D3" s="19"/>
      <c r="E3" s="19"/>
      <c r="F3" s="19"/>
      <c r="G3" s="19"/>
      <c r="H3" s="19"/>
    </row>
    <row r="5" spans="2:21" ht="16.5" x14ac:dyDescent="0.3">
      <c r="B5" s="1"/>
      <c r="C5" s="1" t="s">
        <v>170</v>
      </c>
      <c r="D5" s="1" t="s">
        <v>185</v>
      </c>
    </row>
    <row r="6" spans="2:21" ht="16.5" x14ac:dyDescent="0.3">
      <c r="B6" s="1"/>
      <c r="C6" s="1" t="s">
        <v>3</v>
      </c>
      <c r="D6" s="1" t="s">
        <v>3</v>
      </c>
      <c r="M6" s="103"/>
      <c r="Q6" s="103"/>
    </row>
    <row r="7" spans="2:21" ht="16.5" x14ac:dyDescent="0.3">
      <c r="B7" s="1">
        <v>2025</v>
      </c>
      <c r="C7" s="4">
        <v>42.472015775010298</v>
      </c>
      <c r="D7" s="4">
        <v>42.662266631123217</v>
      </c>
      <c r="M7" s="103"/>
      <c r="Q7" s="103"/>
      <c r="U7" s="5"/>
    </row>
    <row r="8" spans="2:21" ht="16.5" x14ac:dyDescent="0.3">
      <c r="B8" s="1">
        <v>2026</v>
      </c>
      <c r="C8" s="4">
        <v>42.576202991002503</v>
      </c>
      <c r="D8" s="4">
        <v>43.856251533527278</v>
      </c>
      <c r="M8" s="103"/>
      <c r="Q8" s="103"/>
      <c r="U8" s="5"/>
    </row>
    <row r="9" spans="2:21" ht="16.5" x14ac:dyDescent="0.3">
      <c r="B9" s="1">
        <v>2027</v>
      </c>
      <c r="C9" s="4">
        <v>42.886500700301497</v>
      </c>
      <c r="D9" s="4">
        <v>45.720325679720375</v>
      </c>
      <c r="M9" s="103"/>
      <c r="Q9" s="103"/>
      <c r="U9" s="5"/>
    </row>
    <row r="10" spans="2:21" ht="16.5" x14ac:dyDescent="0.3">
      <c r="B10" s="1">
        <v>2028</v>
      </c>
      <c r="C10" s="4">
        <v>43.408313171584702</v>
      </c>
      <c r="D10" s="4">
        <v>45.96997999464925</v>
      </c>
      <c r="M10" s="103"/>
      <c r="Q10" s="103"/>
      <c r="U10" s="5"/>
    </row>
    <row r="11" spans="2:21" ht="16.5" x14ac:dyDescent="0.3">
      <c r="B11" s="1">
        <v>2029</v>
      </c>
      <c r="C11" s="4">
        <v>44.138328082986703</v>
      </c>
      <c r="D11" s="4">
        <v>45.507534505325083</v>
      </c>
      <c r="M11" s="103"/>
      <c r="Q11" s="103"/>
      <c r="U11" s="5"/>
    </row>
    <row r="12" spans="2:21" ht="16.5" x14ac:dyDescent="0.3">
      <c r="B12" s="1">
        <v>2030</v>
      </c>
      <c r="C12" s="4">
        <v>45.083010317918003</v>
      </c>
      <c r="D12" s="4">
        <v>45.994639863852179</v>
      </c>
      <c r="M12" s="103"/>
      <c r="Q12" s="103"/>
      <c r="U12" s="5"/>
    </row>
    <row r="13" spans="2:21" ht="16.5" x14ac:dyDescent="0.3">
      <c r="B13" s="1">
        <v>2031</v>
      </c>
      <c r="C13" s="4">
        <v>46.222230378354702</v>
      </c>
      <c r="D13" s="4">
        <v>46.745755798944231</v>
      </c>
      <c r="M13" s="103"/>
      <c r="Q13" s="103"/>
      <c r="U13" s="5"/>
    </row>
    <row r="14" spans="2:21" ht="16.5" x14ac:dyDescent="0.3">
      <c r="B14" s="1">
        <v>2032</v>
      </c>
      <c r="C14" s="4">
        <v>47.564900640418003</v>
      </c>
      <c r="D14" s="4">
        <v>47.902018331619956</v>
      </c>
      <c r="M14" s="103"/>
      <c r="Q14" s="103"/>
      <c r="U14" s="5"/>
    </row>
    <row r="15" spans="2:21" ht="16.5" x14ac:dyDescent="0.3">
      <c r="B15" s="1">
        <v>2033</v>
      </c>
      <c r="C15" s="4">
        <v>49.122383898461997</v>
      </c>
      <c r="D15" s="4">
        <v>49.474451588221683</v>
      </c>
      <c r="M15" s="103"/>
      <c r="Q15" s="103"/>
      <c r="U15" s="5"/>
    </row>
    <row r="16" spans="2:21" ht="16.5" x14ac:dyDescent="0.3">
      <c r="B16" s="1">
        <v>2034</v>
      </c>
      <c r="C16" s="4">
        <v>50.890821569152003</v>
      </c>
      <c r="D16" s="4">
        <v>51.410059238652636</v>
      </c>
      <c r="M16" s="103"/>
      <c r="Q16" s="103"/>
      <c r="U16" s="5"/>
    </row>
    <row r="17" spans="2:21" ht="16.5" x14ac:dyDescent="0.3">
      <c r="B17" s="1">
        <v>2035</v>
      </c>
      <c r="C17" s="4">
        <v>52.875144765340401</v>
      </c>
      <c r="D17" s="4">
        <v>53.639633556887688</v>
      </c>
      <c r="M17" s="103"/>
      <c r="Q17" s="103"/>
      <c r="U17" s="5"/>
    </row>
    <row r="18" spans="2:21" ht="16.5" x14ac:dyDescent="0.3">
      <c r="B18" s="1">
        <v>2036</v>
      </c>
      <c r="C18" s="4">
        <v>55.075235910280199</v>
      </c>
      <c r="D18" s="4">
        <v>55.792886503026232</v>
      </c>
      <c r="M18" s="103"/>
      <c r="Q18" s="103"/>
      <c r="U18" s="5"/>
    </row>
    <row r="19" spans="2:21" ht="16.5" x14ac:dyDescent="0.3">
      <c r="B19" s="1">
        <v>2037</v>
      </c>
      <c r="C19" s="4">
        <v>57.495436354331403</v>
      </c>
      <c r="D19" s="4">
        <v>58.042324639763123</v>
      </c>
      <c r="M19" s="103"/>
      <c r="Q19" s="103"/>
      <c r="U19" s="5"/>
    </row>
    <row r="20" spans="2:21" ht="16.5" x14ac:dyDescent="0.3">
      <c r="B20" s="1">
        <v>2038</v>
      </c>
      <c r="C20" s="4">
        <v>60.120468550096497</v>
      </c>
      <c r="D20" s="4">
        <v>60.498660534783376</v>
      </c>
      <c r="M20" s="103"/>
      <c r="Q20" s="103"/>
      <c r="U20" s="5"/>
    </row>
    <row r="21" spans="2:21" ht="16.5" x14ac:dyDescent="0.3">
      <c r="B21" s="1">
        <v>2039</v>
      </c>
      <c r="C21" s="4">
        <v>62.941063805169001</v>
      </c>
      <c r="D21" s="4">
        <v>63.174159719252209</v>
      </c>
      <c r="M21" s="103"/>
      <c r="Q21" s="103"/>
      <c r="U21" s="5"/>
    </row>
    <row r="22" spans="2:21" ht="16.5" x14ac:dyDescent="0.3">
      <c r="B22" s="1">
        <v>2040</v>
      </c>
      <c r="C22" s="4">
        <v>65.936763981832698</v>
      </c>
      <c r="D22" s="4">
        <v>66.002794014467909</v>
      </c>
      <c r="M22" s="103"/>
      <c r="Q22" s="103"/>
      <c r="U22" s="5"/>
    </row>
    <row r="23" spans="2:21" ht="16.5" x14ac:dyDescent="0.3">
      <c r="B23" s="1">
        <v>2041</v>
      </c>
      <c r="C23" s="4">
        <v>69.105107600146496</v>
      </c>
      <c r="D23" s="4">
        <v>68.992727316958778</v>
      </c>
      <c r="M23" s="103"/>
      <c r="Q23" s="103"/>
      <c r="U23" s="5"/>
    </row>
    <row r="24" spans="2:21" ht="16.5" x14ac:dyDescent="0.3">
      <c r="B24" s="1">
        <v>2042</v>
      </c>
      <c r="C24" s="4">
        <v>72.432960854334098</v>
      </c>
      <c r="D24" s="4">
        <v>72.143805681006384</v>
      </c>
      <c r="M24" s="103"/>
      <c r="Q24" s="103"/>
      <c r="U24" s="5"/>
    </row>
    <row r="25" spans="2:21" ht="16.5" x14ac:dyDescent="0.3">
      <c r="B25" s="1">
        <v>2043</v>
      </c>
      <c r="C25" s="4">
        <v>75.929013457594905</v>
      </c>
      <c r="D25" s="4">
        <v>75.45883598356383</v>
      </c>
      <c r="M25" s="103"/>
      <c r="Q25" s="103"/>
      <c r="U25" s="5"/>
    </row>
    <row r="26" spans="2:21" ht="16.5" x14ac:dyDescent="0.3">
      <c r="B26" s="1">
        <v>2044</v>
      </c>
      <c r="C26" s="4">
        <v>79.638069815668203</v>
      </c>
      <c r="D26" s="4">
        <v>78.940304126756189</v>
      </c>
      <c r="M26" s="103"/>
      <c r="Q26" s="103"/>
      <c r="U26" s="5"/>
    </row>
    <row r="27" spans="2:21" ht="16.5" x14ac:dyDescent="0.3">
      <c r="B27" s="1">
        <v>2045</v>
      </c>
      <c r="C27" s="4">
        <v>83.551754071081604</v>
      </c>
      <c r="D27" s="4">
        <v>82.592221057046871</v>
      </c>
      <c r="M27" s="103"/>
      <c r="Q27" s="103"/>
      <c r="U27" s="5"/>
    </row>
    <row r="28" spans="2:21" ht="16.5" x14ac:dyDescent="0.3">
      <c r="B28" s="1">
        <v>2046</v>
      </c>
      <c r="C28" s="4">
        <v>87.657261965249106</v>
      </c>
      <c r="D28" s="4">
        <v>86.419370432243412</v>
      </c>
      <c r="M28" s="103"/>
      <c r="Q28" s="103"/>
      <c r="U28" s="5"/>
    </row>
    <row r="29" spans="2:21" ht="16.5" x14ac:dyDescent="0.3">
      <c r="B29" s="1">
        <v>2047</v>
      </c>
      <c r="C29" s="4">
        <v>91.9847424249878</v>
      </c>
      <c r="D29" s="4">
        <v>90.426369443103468</v>
      </c>
      <c r="M29" s="103"/>
      <c r="Q29" s="103"/>
      <c r="U29" s="5"/>
    </row>
    <row r="30" spans="2:21" ht="16.5" x14ac:dyDescent="0.3">
      <c r="B30" s="1">
        <v>2048</v>
      </c>
      <c r="C30" s="4">
        <v>96.552918941897005</v>
      </c>
      <c r="D30" s="4">
        <v>94.620476617891711</v>
      </c>
      <c r="M30" s="103"/>
      <c r="Q30" s="103"/>
      <c r="U30" s="5"/>
    </row>
    <row r="31" spans="2:21" ht="16.5" x14ac:dyDescent="0.3">
      <c r="B31" s="1">
        <v>2049</v>
      </c>
      <c r="C31" s="4">
        <v>101.37145318232901</v>
      </c>
      <c r="D31" s="4">
        <v>99.00777145746747</v>
      </c>
      <c r="M31" s="103"/>
      <c r="Q31" s="103"/>
      <c r="U31" s="5"/>
    </row>
    <row r="32" spans="2:21" ht="16.5" x14ac:dyDescent="0.3">
      <c r="B32" s="1">
        <v>2050</v>
      </c>
      <c r="C32" s="4">
        <v>106.453085247328</v>
      </c>
      <c r="D32" s="4">
        <v>103.59208253345477</v>
      </c>
      <c r="M32" s="103"/>
      <c r="Q32" s="103"/>
      <c r="U32" s="5"/>
    </row>
    <row r="33" spans="2:21" ht="16.5" x14ac:dyDescent="0.3">
      <c r="B33" s="1">
        <v>2051</v>
      </c>
      <c r="C33" s="4">
        <v>111.811086941035</v>
      </c>
      <c r="D33" s="4">
        <v>108.37763071072106</v>
      </c>
      <c r="M33" s="103"/>
      <c r="Q33" s="103"/>
      <c r="U33" s="5"/>
    </row>
    <row r="34" spans="2:21" ht="16.5" x14ac:dyDescent="0.3">
      <c r="B34" s="1">
        <v>2052</v>
      </c>
      <c r="C34" s="4">
        <v>117.470642981767</v>
      </c>
      <c r="D34" s="4">
        <v>113.37678136034725</v>
      </c>
      <c r="M34" s="103"/>
      <c r="Q34" s="103"/>
      <c r="U34" s="5"/>
    </row>
    <row r="35" spans="2:21" ht="16.5" x14ac:dyDescent="0.3">
      <c r="B35" s="1">
        <v>2053</v>
      </c>
      <c r="C35" s="4">
        <v>123.453745782054</v>
      </c>
      <c r="D35" s="4">
        <v>118.595341758323</v>
      </c>
      <c r="M35" s="103"/>
      <c r="Q35" s="103"/>
      <c r="U35" s="5"/>
    </row>
    <row r="36" spans="2:21" ht="16.5" x14ac:dyDescent="0.3">
      <c r="B36" s="1">
        <v>2054</v>
      </c>
      <c r="C36" s="4">
        <v>129.76677259414399</v>
      </c>
      <c r="D36" s="4">
        <v>124.03839608169436</v>
      </c>
      <c r="M36" s="103"/>
      <c r="Q36" s="103"/>
      <c r="U36" s="5"/>
    </row>
    <row r="37" spans="2:21" ht="16.5" x14ac:dyDescent="0.3">
      <c r="B37" s="1">
        <v>2055</v>
      </c>
      <c r="C37" s="4">
        <v>136.430850315996</v>
      </c>
      <c r="D37" s="4">
        <v>129.71358707590875</v>
      </c>
      <c r="M37" s="103"/>
      <c r="Q37" s="103"/>
      <c r="U37" s="5"/>
    </row>
    <row r="38" spans="2:21" ht="16.5" x14ac:dyDescent="0.3">
      <c r="B38" s="1">
        <v>2056</v>
      </c>
      <c r="C38" s="4">
        <v>143.45052357187399</v>
      </c>
      <c r="D38" s="4">
        <v>135.63550650685855</v>
      </c>
      <c r="M38" s="103"/>
      <c r="Q38" s="103"/>
      <c r="U38" s="5"/>
    </row>
    <row r="39" spans="2:21" ht="16.5" x14ac:dyDescent="0.3">
      <c r="B39" s="1">
        <v>2057</v>
      </c>
      <c r="C39" s="4">
        <v>150.80517286671599</v>
      </c>
      <c r="D39" s="4">
        <v>141.80317962623471</v>
      </c>
      <c r="M39" s="103"/>
      <c r="Q39" s="103"/>
      <c r="U39" s="5"/>
    </row>
    <row r="40" spans="2:21" ht="16.5" x14ac:dyDescent="0.3">
      <c r="B40" s="1">
        <v>2058</v>
      </c>
      <c r="C40" s="4">
        <v>158.46846245139099</v>
      </c>
      <c r="D40" s="4">
        <v>148.21684127458337</v>
      </c>
      <c r="M40" s="103"/>
      <c r="Q40" s="103"/>
      <c r="U40" s="5"/>
    </row>
    <row r="41" spans="2:21" ht="16.5" x14ac:dyDescent="0.3">
      <c r="B41" s="1">
        <v>2059</v>
      </c>
      <c r="C41" s="4">
        <v>166.41410039440299</v>
      </c>
      <c r="D41" s="4">
        <v>154.87340162203637</v>
      </c>
      <c r="M41" s="103"/>
      <c r="Q41" s="103"/>
      <c r="U41" s="5"/>
    </row>
    <row r="42" spans="2:21" ht="16.5" x14ac:dyDescent="0.3">
      <c r="B42" s="1">
        <v>2060</v>
      </c>
      <c r="C42" s="4">
        <v>174.633206978571</v>
      </c>
      <c r="D42" s="4">
        <v>161.77874586949704</v>
      </c>
      <c r="M42" s="103"/>
      <c r="Q42" s="103"/>
      <c r="U42" s="5"/>
    </row>
    <row r="43" spans="2:21" ht="16.5" x14ac:dyDescent="0.3">
      <c r="B43" s="1">
        <v>2061</v>
      </c>
      <c r="C43" s="4">
        <v>183.10282769880399</v>
      </c>
      <c r="D43" s="4">
        <v>168.92589308825092</v>
      </c>
      <c r="M43" s="103"/>
      <c r="Q43" s="103"/>
      <c r="U43" s="5"/>
    </row>
    <row r="44" spans="2:21" ht="16.5" x14ac:dyDescent="0.3">
      <c r="B44" s="1">
        <v>2062</v>
      </c>
      <c r="C44" s="4">
        <v>191.79670793859199</v>
      </c>
      <c r="D44" s="4">
        <v>176.32532755945135</v>
      </c>
      <c r="M44" s="103"/>
      <c r="Q44" s="103"/>
      <c r="U44" s="5"/>
    </row>
    <row r="45" spans="2:21" ht="16.5" x14ac:dyDescent="0.3">
      <c r="B45" s="1">
        <v>2063</v>
      </c>
      <c r="C45" s="4">
        <v>200.70493720958299</v>
      </c>
      <c r="D45" s="4">
        <v>183.97419005984332</v>
      </c>
      <c r="M45" s="103"/>
      <c r="Q45" s="103"/>
      <c r="U45" s="5"/>
    </row>
    <row r="46" spans="2:21" ht="16.5" x14ac:dyDescent="0.3">
      <c r="B46" s="1">
        <v>2064</v>
      </c>
      <c r="C46" s="4">
        <v>209.78917144181401</v>
      </c>
      <c r="D46" s="4">
        <v>191.87530189258945</v>
      </c>
      <c r="M46" s="103"/>
      <c r="Q46" s="103"/>
      <c r="U46" s="5"/>
    </row>
    <row r="47" spans="2:21" ht="16.5" x14ac:dyDescent="0.3">
      <c r="B47" s="1">
        <v>2065</v>
      </c>
      <c r="C47" s="4">
        <v>219.09613686220601</v>
      </c>
      <c r="D47" s="4">
        <v>200.04067114934801</v>
      </c>
      <c r="M47" s="103"/>
      <c r="Q47" s="103"/>
      <c r="U47" s="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8764-BFEE-4649-8D5B-5D1D6FF7705B}">
  <sheetPr codeName="Sheet41"/>
  <dimension ref="B2:I67"/>
  <sheetViews>
    <sheetView showGridLines="0" workbookViewId="0"/>
  </sheetViews>
  <sheetFormatPr defaultColWidth="8.7109375" defaultRowHeight="16.5" x14ac:dyDescent="0.3"/>
  <cols>
    <col min="1" max="5" width="8.7109375" style="1"/>
    <col min="6" max="6" width="8.7109375" style="14"/>
    <col min="7" max="16384" width="8.7109375" style="1"/>
  </cols>
  <sheetData>
    <row r="2" spans="2:9" x14ac:dyDescent="0.3">
      <c r="B2" s="9" t="s">
        <v>171</v>
      </c>
      <c r="C2" s="8"/>
      <c r="D2" s="8"/>
      <c r="E2" s="8"/>
      <c r="F2" s="15"/>
      <c r="G2" s="8"/>
      <c r="H2" s="8"/>
      <c r="I2" s="8"/>
    </row>
    <row r="3" spans="2:9" x14ac:dyDescent="0.3">
      <c r="B3" s="8" t="s">
        <v>277</v>
      </c>
      <c r="C3" s="8"/>
      <c r="D3" s="8"/>
      <c r="E3" s="8"/>
      <c r="F3" s="15"/>
      <c r="G3" s="8"/>
      <c r="H3" s="8"/>
      <c r="I3" s="8"/>
    </row>
    <row r="5" spans="2:9" ht="14.45" customHeight="1" x14ac:dyDescent="0.3">
      <c r="B5" s="11"/>
      <c r="C5" s="11" t="s">
        <v>5</v>
      </c>
      <c r="D5" s="11" t="s">
        <v>59</v>
      </c>
      <c r="E5" s="11" t="s">
        <v>60</v>
      </c>
      <c r="F5" s="14" t="s">
        <v>2</v>
      </c>
    </row>
    <row r="6" spans="2:9" ht="14.45" customHeight="1" x14ac:dyDescent="0.3">
      <c r="B6" s="11"/>
      <c r="C6" s="11" t="s">
        <v>3</v>
      </c>
      <c r="D6" s="11" t="s">
        <v>3</v>
      </c>
      <c r="E6" s="11" t="s">
        <v>3</v>
      </c>
    </row>
    <row r="7" spans="2:9" x14ac:dyDescent="0.3">
      <c r="B7" s="11">
        <v>2005</v>
      </c>
      <c r="C7" s="4">
        <v>12.6771251833429</v>
      </c>
      <c r="D7" s="4">
        <v>12.6771251833429</v>
      </c>
      <c r="E7" s="4">
        <v>12.6771251833429</v>
      </c>
    </row>
    <row r="8" spans="2:9" x14ac:dyDescent="0.3">
      <c r="B8" s="11">
        <v>2006</v>
      </c>
      <c r="C8" s="4">
        <v>9.8280412020090235</v>
      </c>
      <c r="D8" s="4">
        <v>9.8280412020090235</v>
      </c>
      <c r="E8" s="4">
        <v>9.8280412020090235</v>
      </c>
    </row>
    <row r="9" spans="2:9" x14ac:dyDescent="0.3">
      <c r="B9" s="11">
        <v>2007</v>
      </c>
      <c r="C9" s="4">
        <v>7.5249625063439831</v>
      </c>
      <c r="D9" s="4">
        <v>7.5249625063439831</v>
      </c>
      <c r="E9" s="4">
        <v>7.5249625063439831</v>
      </c>
    </row>
    <row r="10" spans="2:9" x14ac:dyDescent="0.3">
      <c r="B10" s="11">
        <v>2008</v>
      </c>
      <c r="C10" s="4">
        <v>5.4305301887291879</v>
      </c>
      <c r="D10" s="4">
        <v>5.4305301887291879</v>
      </c>
      <c r="E10" s="4">
        <v>5.4305301887291879</v>
      </c>
    </row>
    <row r="11" spans="2:9" x14ac:dyDescent="0.3">
      <c r="B11" s="11">
        <v>2009</v>
      </c>
      <c r="C11" s="4">
        <v>9.0178787783010428</v>
      </c>
      <c r="D11" s="4">
        <v>9.0178787783010428</v>
      </c>
      <c r="E11" s="4">
        <v>9.0178787783010428</v>
      </c>
    </row>
    <row r="12" spans="2:9" x14ac:dyDescent="0.3">
      <c r="B12" s="11">
        <v>2010</v>
      </c>
      <c r="C12" s="4">
        <v>13.54831190810375</v>
      </c>
      <c r="D12" s="4">
        <v>13.54831190810375</v>
      </c>
      <c r="E12" s="4">
        <v>13.54831190810375</v>
      </c>
    </row>
    <row r="13" spans="2:9" x14ac:dyDescent="0.3">
      <c r="B13" s="11">
        <v>2011</v>
      </c>
      <c r="C13" s="4">
        <v>19.470349057244611</v>
      </c>
      <c r="D13" s="4">
        <v>19.470349057244611</v>
      </c>
      <c r="E13" s="4">
        <v>19.470349057244611</v>
      </c>
    </row>
    <row r="14" spans="2:9" x14ac:dyDescent="0.3">
      <c r="B14" s="11">
        <v>2012</v>
      </c>
      <c r="C14" s="4">
        <v>23.546331965594316</v>
      </c>
      <c r="D14" s="4">
        <v>23.546331965594316</v>
      </c>
      <c r="E14" s="4">
        <v>23.546331965594316</v>
      </c>
    </row>
    <row r="15" spans="2:9" x14ac:dyDescent="0.3">
      <c r="B15" s="11">
        <v>2013</v>
      </c>
      <c r="C15" s="4">
        <v>25.474147173822789</v>
      </c>
      <c r="D15" s="4">
        <v>25.474147173822789</v>
      </c>
      <c r="E15" s="4">
        <v>25.474147173822789</v>
      </c>
    </row>
    <row r="16" spans="2:9" x14ac:dyDescent="0.3">
      <c r="B16" s="11">
        <v>2014</v>
      </c>
      <c r="C16" s="4">
        <v>25.281901362997836</v>
      </c>
      <c r="D16" s="4">
        <v>25.281901362997836</v>
      </c>
      <c r="E16" s="4">
        <v>25.281901362997836</v>
      </c>
    </row>
    <row r="17" spans="2:6" x14ac:dyDescent="0.3">
      <c r="B17" s="11">
        <v>2015</v>
      </c>
      <c r="C17" s="4">
        <v>24.659578967918268</v>
      </c>
      <c r="D17" s="4">
        <v>24.659578967918268</v>
      </c>
      <c r="E17" s="4">
        <v>24.659578967918268</v>
      </c>
    </row>
    <row r="18" spans="2:6" x14ac:dyDescent="0.3">
      <c r="B18" s="11">
        <v>2016</v>
      </c>
      <c r="C18" s="4">
        <v>23.898443202576772</v>
      </c>
      <c r="D18" s="4">
        <v>23.898443202576772</v>
      </c>
      <c r="E18" s="4">
        <v>23.898443202576772</v>
      </c>
    </row>
    <row r="19" spans="2:6" x14ac:dyDescent="0.3">
      <c r="B19" s="11">
        <v>2017</v>
      </c>
      <c r="C19" s="4">
        <v>21.560411199234441</v>
      </c>
      <c r="D19" s="4">
        <v>21.560411199234441</v>
      </c>
      <c r="E19" s="4">
        <v>21.560411199234441</v>
      </c>
    </row>
    <row r="20" spans="2:6" x14ac:dyDescent="0.3">
      <c r="B20" s="11">
        <v>2018</v>
      </c>
      <c r="C20" s="4">
        <v>19.436002663809045</v>
      </c>
      <c r="D20" s="4">
        <v>19.436002663809045</v>
      </c>
      <c r="E20" s="4">
        <v>19.436002663809045</v>
      </c>
    </row>
    <row r="21" spans="2:6" x14ac:dyDescent="0.3">
      <c r="B21" s="11">
        <v>2019</v>
      </c>
      <c r="C21" s="4">
        <v>18.593806358530429</v>
      </c>
      <c r="D21" s="4">
        <v>18.593806358530429</v>
      </c>
      <c r="E21" s="4">
        <v>18.593806358530429</v>
      </c>
    </row>
    <row r="22" spans="2:6" x14ac:dyDescent="0.3">
      <c r="B22" s="11">
        <v>2020</v>
      </c>
      <c r="C22" s="4">
        <v>26.249012218580681</v>
      </c>
      <c r="D22" s="4">
        <v>26.249012218580681</v>
      </c>
      <c r="E22" s="4">
        <v>26.249012218580681</v>
      </c>
    </row>
    <row r="23" spans="2:6" x14ac:dyDescent="0.3">
      <c r="B23" s="11">
        <v>2021</v>
      </c>
      <c r="C23" s="4">
        <v>29.726872708529303</v>
      </c>
      <c r="D23" s="4">
        <v>29.726872708529303</v>
      </c>
      <c r="E23" s="4">
        <v>29.726872708529303</v>
      </c>
    </row>
    <row r="24" spans="2:6" x14ac:dyDescent="0.3">
      <c r="B24" s="11">
        <v>2022</v>
      </c>
      <c r="C24" s="4">
        <v>35.238545756816755</v>
      </c>
      <c r="D24" s="4">
        <v>35.238545756816755</v>
      </c>
      <c r="E24" s="4">
        <v>35.238545756816755</v>
      </c>
    </row>
    <row r="25" spans="2:6" x14ac:dyDescent="0.3">
      <c r="B25" s="11">
        <v>2023</v>
      </c>
      <c r="C25" s="4">
        <v>38.668698807362532</v>
      </c>
      <c r="D25" s="4">
        <v>38.668698807362532</v>
      </c>
      <c r="E25" s="4">
        <v>38.668698807362532</v>
      </c>
    </row>
    <row r="26" spans="2:6" x14ac:dyDescent="0.3">
      <c r="B26" s="11">
        <v>2024</v>
      </c>
      <c r="C26" s="4">
        <v>41.715364388928769</v>
      </c>
      <c r="D26" s="4">
        <v>41.715364388928769</v>
      </c>
      <c r="E26" s="4">
        <v>41.715364388928769</v>
      </c>
    </row>
    <row r="27" spans="2:6" x14ac:dyDescent="0.3">
      <c r="B27" s="11">
        <v>2025</v>
      </c>
      <c r="C27" s="4">
        <v>42.662266631123217</v>
      </c>
      <c r="D27" s="4">
        <v>42.662266631123217</v>
      </c>
      <c r="E27" s="4">
        <v>42.662266631123217</v>
      </c>
    </row>
    <row r="28" spans="2:6" x14ac:dyDescent="0.3">
      <c r="B28" s="11">
        <v>2026</v>
      </c>
      <c r="C28" s="4">
        <v>43.856251533527278</v>
      </c>
      <c r="D28" s="4">
        <v>43.856251533527278</v>
      </c>
      <c r="E28" s="4">
        <v>43.856251533527278</v>
      </c>
    </row>
    <row r="29" spans="2:6" x14ac:dyDescent="0.3">
      <c r="B29" s="11">
        <v>2027</v>
      </c>
      <c r="C29" s="4">
        <v>45.720325679720375</v>
      </c>
      <c r="D29" s="4">
        <v>45.720325679720375</v>
      </c>
      <c r="E29" s="4">
        <v>45.720325679720375</v>
      </c>
    </row>
    <row r="30" spans="2:6" x14ac:dyDescent="0.3">
      <c r="B30" s="11">
        <v>2028</v>
      </c>
      <c r="C30" s="4">
        <v>45.96997999464925</v>
      </c>
      <c r="D30" s="4">
        <v>45.96997999464925</v>
      </c>
      <c r="E30" s="4">
        <v>45.96997999464925</v>
      </c>
    </row>
    <row r="31" spans="2:6" x14ac:dyDescent="0.3">
      <c r="B31" s="11">
        <v>2029</v>
      </c>
      <c r="C31" s="4">
        <v>45.507534505325083</v>
      </c>
      <c r="D31" s="4">
        <v>45.507534505325083</v>
      </c>
      <c r="E31" s="4">
        <v>45.507534505325083</v>
      </c>
      <c r="F31" s="14">
        <v>1</v>
      </c>
    </row>
    <row r="32" spans="2:6" x14ac:dyDescent="0.3">
      <c r="B32" s="11">
        <v>2030</v>
      </c>
      <c r="C32" s="4">
        <v>45.994639863852179</v>
      </c>
      <c r="D32" s="4">
        <v>46.131810846396618</v>
      </c>
      <c r="E32" s="4">
        <v>45.856943105750808</v>
      </c>
    </row>
    <row r="33" spans="2:5" x14ac:dyDescent="0.3">
      <c r="B33" s="11">
        <v>2031</v>
      </c>
      <c r="C33" s="4">
        <v>46.745755798944231</v>
      </c>
      <c r="D33" s="4">
        <v>47.158675941636623</v>
      </c>
      <c r="E33" s="4">
        <v>46.323181152787555</v>
      </c>
    </row>
    <row r="34" spans="2:5" x14ac:dyDescent="0.3">
      <c r="B34" s="11">
        <v>2032</v>
      </c>
      <c r="C34" s="4">
        <v>47.902018331619956</v>
      </c>
      <c r="D34" s="4">
        <v>48.744753023260856</v>
      </c>
      <c r="E34" s="4">
        <v>47.037457654806332</v>
      </c>
    </row>
    <row r="35" spans="2:5" x14ac:dyDescent="0.3">
      <c r="B35" s="11">
        <v>2033</v>
      </c>
      <c r="C35" s="4">
        <v>49.474451588221683</v>
      </c>
      <c r="D35" s="4">
        <v>50.954692070795026</v>
      </c>
      <c r="E35" s="4">
        <v>47.969003877533503</v>
      </c>
    </row>
    <row r="36" spans="2:5" x14ac:dyDescent="0.3">
      <c r="B36" s="11">
        <v>2034</v>
      </c>
      <c r="C36" s="4">
        <v>51.410059238652636</v>
      </c>
      <c r="D36" s="4">
        <v>53.789874197925755</v>
      </c>
      <c r="E36" s="4">
        <v>49.022576175860415</v>
      </c>
    </row>
    <row r="37" spans="2:5" x14ac:dyDescent="0.3">
      <c r="B37" s="11">
        <v>2035</v>
      </c>
      <c r="C37" s="4">
        <v>53.639633556887688</v>
      </c>
      <c r="D37" s="4">
        <v>56.97887398055115</v>
      </c>
      <c r="E37" s="4">
        <v>50.340013595308307</v>
      </c>
    </row>
    <row r="38" spans="2:5" x14ac:dyDescent="0.3">
      <c r="B38" s="11">
        <v>2036</v>
      </c>
      <c r="C38" s="4">
        <v>55.792886503026232</v>
      </c>
      <c r="D38" s="4">
        <v>60.154526650931182</v>
      </c>
      <c r="E38" s="4">
        <v>51.549549477316546</v>
      </c>
    </row>
    <row r="39" spans="2:5" x14ac:dyDescent="0.3">
      <c r="B39" s="11">
        <v>2037</v>
      </c>
      <c r="C39" s="4">
        <v>58.042324639763123</v>
      </c>
      <c r="D39" s="4">
        <v>63.491328406000001</v>
      </c>
      <c r="E39" s="4">
        <v>52.823525301880991</v>
      </c>
    </row>
    <row r="40" spans="2:5" x14ac:dyDescent="0.3">
      <c r="B40" s="11">
        <v>2038</v>
      </c>
      <c r="C40" s="4">
        <v>60.498660534783376</v>
      </c>
      <c r="D40" s="4">
        <v>67.105749749957624</v>
      </c>
      <c r="E40" s="4">
        <v>54.268780145830888</v>
      </c>
    </row>
    <row r="41" spans="2:5" x14ac:dyDescent="0.3">
      <c r="B41" s="11">
        <v>2039</v>
      </c>
      <c r="C41" s="4">
        <v>63.174159719252209</v>
      </c>
      <c r="D41" s="4">
        <v>71.015826441898227</v>
      </c>
      <c r="E41" s="4">
        <v>55.893817205969555</v>
      </c>
    </row>
    <row r="42" spans="2:5" x14ac:dyDescent="0.3">
      <c r="B42" s="11">
        <v>2040</v>
      </c>
      <c r="C42" s="4">
        <v>66.002794014467909</v>
      </c>
      <c r="D42" s="4">
        <v>75.159816520509622</v>
      </c>
      <c r="E42" s="4">
        <v>57.63044045339759</v>
      </c>
    </row>
    <row r="43" spans="2:5" x14ac:dyDescent="0.3">
      <c r="B43" s="11">
        <v>2041</v>
      </c>
      <c r="C43" s="4">
        <v>68.992727316958778</v>
      </c>
      <c r="D43" s="4">
        <v>79.551152533913026</v>
      </c>
      <c r="E43" s="4">
        <v>59.483927048176788</v>
      </c>
    </row>
    <row r="44" spans="2:5" x14ac:dyDescent="0.3">
      <c r="B44" s="11">
        <v>2042</v>
      </c>
      <c r="C44" s="4">
        <v>72.143805681006384</v>
      </c>
      <c r="D44" s="4">
        <v>84.193690603340471</v>
      </c>
      <c r="E44" s="4">
        <v>61.452499747285437</v>
      </c>
    </row>
    <row r="45" spans="2:5" x14ac:dyDescent="0.3">
      <c r="B45" s="11">
        <v>2043</v>
      </c>
      <c r="C45" s="4">
        <v>75.45883598356383</v>
      </c>
      <c r="D45" s="4">
        <v>89.09638845225254</v>
      </c>
      <c r="E45" s="4">
        <v>63.535554601289888</v>
      </c>
    </row>
    <row r="46" spans="2:5" x14ac:dyDescent="0.3">
      <c r="B46" s="11">
        <v>2044</v>
      </c>
      <c r="C46" s="4">
        <v>78.940304126756189</v>
      </c>
      <c r="D46" s="4">
        <v>94.267812351290686</v>
      </c>
      <c r="E46" s="4">
        <v>65.732429802732398</v>
      </c>
    </row>
    <row r="47" spans="2:5" x14ac:dyDescent="0.3">
      <c r="B47" s="11">
        <v>2045</v>
      </c>
      <c r="C47" s="4">
        <v>82.592221057046871</v>
      </c>
      <c r="D47" s="4">
        <v>99.71797385887642</v>
      </c>
      <c r="E47" s="4">
        <v>68.044237937616018</v>
      </c>
    </row>
    <row r="48" spans="2:5" x14ac:dyDescent="0.3">
      <c r="B48" s="11">
        <v>2046</v>
      </c>
      <c r="C48" s="4">
        <v>86.419370432243412</v>
      </c>
      <c r="D48" s="4">
        <v>105.45855276902691</v>
      </c>
      <c r="E48" s="4">
        <v>70.472281849066405</v>
      </c>
    </row>
    <row r="49" spans="2:5" x14ac:dyDescent="0.3">
      <c r="B49" s="11">
        <v>2047</v>
      </c>
      <c r="C49" s="4">
        <v>90.426369443103468</v>
      </c>
      <c r="D49" s="4">
        <v>111.50113809208068</v>
      </c>
      <c r="E49" s="4">
        <v>73.017838200069832</v>
      </c>
    </row>
    <row r="50" spans="2:5" x14ac:dyDescent="0.3">
      <c r="B50" s="11">
        <v>2048</v>
      </c>
      <c r="C50" s="4">
        <v>94.620476617891711</v>
      </c>
      <c r="D50" s="4">
        <v>117.86044762957376</v>
      </c>
      <c r="E50" s="4">
        <v>75.684617931301958</v>
      </c>
    </row>
    <row r="51" spans="2:5" x14ac:dyDescent="0.3">
      <c r="B51" s="11">
        <v>2049</v>
      </c>
      <c r="C51" s="4">
        <v>99.00777145746747</v>
      </c>
      <c r="D51" s="4">
        <v>124.55093728048617</v>
      </c>
      <c r="E51" s="4">
        <v>78.474621242426721</v>
      </c>
    </row>
    <row r="52" spans="2:5" x14ac:dyDescent="0.3">
      <c r="B52" s="11">
        <v>2050</v>
      </c>
      <c r="C52" s="4">
        <v>103.59208253345477</v>
      </c>
      <c r="D52" s="4">
        <v>131.58404081171525</v>
      </c>
      <c r="E52" s="4">
        <v>81.388444477781661</v>
      </c>
    </row>
    <row r="53" spans="2:5" x14ac:dyDescent="0.3">
      <c r="B53" s="11">
        <v>2051</v>
      </c>
      <c r="C53" s="4">
        <v>108.37763071072106</v>
      </c>
      <c r="D53" s="4">
        <v>138.97164059926595</v>
      </c>
      <c r="E53" s="4">
        <v>84.427215320745191</v>
      </c>
    </row>
    <row r="54" spans="2:5" x14ac:dyDescent="0.3">
      <c r="B54" s="11">
        <v>2052</v>
      </c>
      <c r="C54" s="4">
        <v>113.37678136034725</v>
      </c>
      <c r="D54" s="4">
        <v>146.7367692835256</v>
      </c>
      <c r="E54" s="4">
        <v>87.598062036364354</v>
      </c>
    </row>
    <row r="55" spans="2:5" x14ac:dyDescent="0.3">
      <c r="B55" s="11">
        <v>2053</v>
      </c>
      <c r="C55" s="4">
        <v>118.595341758323</v>
      </c>
      <c r="D55" s="4">
        <v>154.89359119356632</v>
      </c>
      <c r="E55" s="4">
        <v>90.903602624642815</v>
      </c>
    </row>
    <row r="56" spans="2:5" x14ac:dyDescent="0.3">
      <c r="B56" s="11">
        <v>2054</v>
      </c>
      <c r="C56" s="4">
        <v>124.03839608169436</v>
      </c>
      <c r="D56" s="4">
        <v>163.45571397963099</v>
      </c>
      <c r="E56" s="4">
        <v>94.345778452103531</v>
      </c>
    </row>
    <row r="57" spans="2:5" x14ac:dyDescent="0.3">
      <c r="B57" s="11">
        <v>2055</v>
      </c>
      <c r="C57" s="4">
        <v>129.71358707590875</v>
      </c>
      <c r="D57" s="4">
        <v>172.43998917562229</v>
      </c>
      <c r="E57" s="4">
        <v>97.928745436313491</v>
      </c>
    </row>
    <row r="58" spans="2:5" x14ac:dyDescent="0.3">
      <c r="B58" s="11">
        <v>2056</v>
      </c>
      <c r="C58" s="4">
        <v>135.63550650685855</v>
      </c>
      <c r="D58" s="4">
        <v>181.87167768081852</v>
      </c>
      <c r="E58" s="4">
        <v>101.6627069219674</v>
      </c>
    </row>
    <row r="59" spans="2:5" x14ac:dyDescent="0.3">
      <c r="B59" s="11">
        <v>2057</v>
      </c>
      <c r="C59" s="4">
        <v>141.80317962623471</v>
      </c>
      <c r="D59" s="4">
        <v>191.75686708761</v>
      </c>
      <c r="E59" s="4">
        <v>105.54512812161832</v>
      </c>
    </row>
    <row r="60" spans="2:5" x14ac:dyDescent="0.3">
      <c r="B60" s="11">
        <v>2058</v>
      </c>
      <c r="C60" s="4">
        <v>148.21684127458337</v>
      </c>
      <c r="D60" s="4">
        <v>202.10614311911962</v>
      </c>
      <c r="E60" s="4">
        <v>109.57242929283193</v>
      </c>
    </row>
    <row r="61" spans="2:5" x14ac:dyDescent="0.3">
      <c r="B61" s="11">
        <v>2059</v>
      </c>
      <c r="C61" s="4">
        <v>154.87340162203637</v>
      </c>
      <c r="D61" s="4">
        <v>212.92411923495865</v>
      </c>
      <c r="E61" s="4">
        <v>113.73980446145482</v>
      </c>
    </row>
    <row r="62" spans="2:5" x14ac:dyDescent="0.3">
      <c r="B62" s="11">
        <v>2060</v>
      </c>
      <c r="C62" s="4">
        <v>161.77874586949704</v>
      </c>
      <c r="D62" s="4">
        <v>224.22787170877538</v>
      </c>
      <c r="E62" s="4">
        <v>118.04909274798858</v>
      </c>
    </row>
    <row r="63" spans="2:5" x14ac:dyDescent="0.3">
      <c r="B63" s="11">
        <v>2061</v>
      </c>
      <c r="C63" s="4">
        <v>168.92589308825092</v>
      </c>
      <c r="D63" s="4">
        <v>236.01709806420942</v>
      </c>
      <c r="E63" s="4">
        <v>122.49261582600171</v>
      </c>
    </row>
    <row r="64" spans="2:5" x14ac:dyDescent="0.3">
      <c r="B64" s="11">
        <v>2062</v>
      </c>
      <c r="C64" s="4">
        <v>176.32532755945135</v>
      </c>
      <c r="D64" s="4">
        <v>248.31654826782082</v>
      </c>
      <c r="E64" s="4">
        <v>127.07504912998343</v>
      </c>
    </row>
    <row r="65" spans="2:5" x14ac:dyDescent="0.3">
      <c r="B65" s="11">
        <v>2063</v>
      </c>
      <c r="C65" s="4">
        <v>183.97419005984332</v>
      </c>
      <c r="D65" s="4">
        <v>261.13070462003492</v>
      </c>
      <c r="E65" s="4">
        <v>131.79271244209744</v>
      </c>
    </row>
    <row r="66" spans="2:5" x14ac:dyDescent="0.3">
      <c r="B66" s="11">
        <v>2064</v>
      </c>
      <c r="C66" s="4">
        <v>191.87530189258945</v>
      </c>
      <c r="D66" s="4">
        <v>274.4744446759002</v>
      </c>
      <c r="E66" s="4">
        <v>136.64453531654021</v>
      </c>
    </row>
    <row r="67" spans="2:5" x14ac:dyDescent="0.3">
      <c r="B67" s="11">
        <v>2065</v>
      </c>
      <c r="C67" s="4">
        <v>200.04067114934801</v>
      </c>
      <c r="D67" s="4">
        <v>288.37588354514185</v>
      </c>
      <c r="E67" s="4">
        <v>141.63619519106732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9561-6903-4D5C-8333-C33460C42B3D}">
  <sheetPr codeName="Sheet43"/>
  <dimension ref="B2:I181"/>
  <sheetViews>
    <sheetView workbookViewId="0"/>
  </sheetViews>
  <sheetFormatPr defaultColWidth="8.7109375" defaultRowHeight="16.5" x14ac:dyDescent="0.3"/>
  <cols>
    <col min="1" max="1" width="8.7109375" style="1"/>
    <col min="2" max="2" width="15.7109375" style="1" bestFit="1" customWidth="1"/>
    <col min="3" max="3" width="20.7109375" style="1" customWidth="1"/>
    <col min="4" max="4" width="20.42578125" style="1" customWidth="1"/>
    <col min="5" max="16384" width="8.7109375" style="1"/>
  </cols>
  <sheetData>
    <row r="2" spans="2:9" x14ac:dyDescent="0.3">
      <c r="B2" s="97" t="s">
        <v>290</v>
      </c>
      <c r="C2" s="50"/>
      <c r="D2" s="50"/>
      <c r="E2" s="50"/>
      <c r="F2" s="50"/>
      <c r="G2" s="50"/>
      <c r="H2" s="50"/>
      <c r="I2" s="50"/>
    </row>
    <row r="3" spans="2:9" x14ac:dyDescent="0.3">
      <c r="B3" s="50" t="s">
        <v>291</v>
      </c>
      <c r="C3" s="50"/>
      <c r="D3" s="50"/>
      <c r="E3" s="50"/>
      <c r="F3" s="50"/>
      <c r="G3" s="50"/>
      <c r="H3" s="50"/>
      <c r="I3" s="50"/>
    </row>
    <row r="5" spans="2:9" s="35" customFormat="1" ht="33" x14ac:dyDescent="0.3">
      <c r="C5" s="35" t="s">
        <v>123</v>
      </c>
      <c r="D5" s="35" t="s">
        <v>124</v>
      </c>
    </row>
    <row r="6" spans="2:9" s="35" customFormat="1" x14ac:dyDescent="0.3">
      <c r="C6" s="35" t="s">
        <v>3</v>
      </c>
      <c r="D6" s="35" t="s">
        <v>3</v>
      </c>
    </row>
    <row r="7" spans="2:9" x14ac:dyDescent="0.3">
      <c r="B7" s="45">
        <v>2025</v>
      </c>
      <c r="C7" s="4">
        <v>6.93035268827518</v>
      </c>
      <c r="D7" s="4">
        <v>7.0049960247982304</v>
      </c>
      <c r="G7" s="4"/>
      <c r="H7" s="4"/>
    </row>
    <row r="8" spans="2:9" x14ac:dyDescent="0.3">
      <c r="B8" s="45">
        <v>2026</v>
      </c>
      <c r="C8" s="4">
        <v>7.0572301364629899</v>
      </c>
      <c r="D8" s="4">
        <v>7.1296960798124296</v>
      </c>
      <c r="G8" s="4"/>
      <c r="H8" s="4"/>
    </row>
    <row r="9" spans="2:9" x14ac:dyDescent="0.3">
      <c r="B9" s="45">
        <v>2027</v>
      </c>
      <c r="C9" s="4">
        <v>7.1813314038995699</v>
      </c>
      <c r="D9" s="4">
        <v>7.2563780401848597</v>
      </c>
      <c r="G9" s="4"/>
      <c r="H9" s="4"/>
    </row>
    <row r="10" spans="2:9" x14ac:dyDescent="0.3">
      <c r="B10" s="45">
        <v>2028</v>
      </c>
      <c r="C10" s="4">
        <v>7.2890444048016203</v>
      </c>
      <c r="D10" s="4">
        <v>7.3674685314828903</v>
      </c>
      <c r="G10" s="4"/>
      <c r="H10" s="4"/>
    </row>
    <row r="11" spans="2:9" x14ac:dyDescent="0.3">
      <c r="B11" s="45">
        <v>2029</v>
      </c>
      <c r="C11" s="4">
        <v>7.3926353779531402</v>
      </c>
      <c r="D11" s="4">
        <v>7.4735791467202199</v>
      </c>
      <c r="G11" s="4"/>
      <c r="H11" s="4"/>
    </row>
    <row r="12" spans="2:9" x14ac:dyDescent="0.3">
      <c r="B12" s="45">
        <v>2030</v>
      </c>
      <c r="C12" s="4">
        <v>7.49454378468677</v>
      </c>
      <c r="D12" s="4">
        <v>7.5773736230542399</v>
      </c>
      <c r="G12" s="4"/>
      <c r="H12" s="4"/>
    </row>
    <row r="13" spans="2:9" x14ac:dyDescent="0.3">
      <c r="B13" s="45">
        <v>2031</v>
      </c>
      <c r="C13" s="4">
        <v>7.5922724850593903</v>
      </c>
      <c r="D13" s="4">
        <v>7.6767949734786596</v>
      </c>
      <c r="G13" s="4"/>
      <c r="H13" s="4"/>
    </row>
    <row r="14" spans="2:9" x14ac:dyDescent="0.3">
      <c r="B14" s="45">
        <v>2032</v>
      </c>
      <c r="C14" s="4">
        <v>7.6994295611724199</v>
      </c>
      <c r="D14" s="4">
        <v>7.7854862259257196</v>
      </c>
      <c r="G14" s="4"/>
      <c r="H14" s="4"/>
    </row>
    <row r="15" spans="2:9" x14ac:dyDescent="0.3">
      <c r="B15" s="45">
        <v>2033</v>
      </c>
      <c r="C15" s="4">
        <v>7.7992209935864896</v>
      </c>
      <c r="D15" s="4">
        <v>7.8865437732821899</v>
      </c>
      <c r="G15" s="4"/>
      <c r="H15" s="4"/>
    </row>
    <row r="16" spans="2:9" x14ac:dyDescent="0.3">
      <c r="B16" s="45">
        <v>2034</v>
      </c>
      <c r="C16" s="4">
        <v>7.89798683965323</v>
      </c>
      <c r="D16" s="4">
        <v>7.9863585651966504</v>
      </c>
      <c r="G16" s="4"/>
      <c r="H16" s="4"/>
    </row>
    <row r="17" spans="2:8" x14ac:dyDescent="0.3">
      <c r="B17" s="45">
        <v>2035</v>
      </c>
      <c r="C17" s="4">
        <v>7.9965879523866299</v>
      </c>
      <c r="D17" s="4">
        <v>8.0857842582474504</v>
      </c>
      <c r="G17" s="4"/>
      <c r="H17" s="4"/>
    </row>
    <row r="18" spans="2:8" x14ac:dyDescent="0.3">
      <c r="B18" s="45">
        <v>2036</v>
      </c>
      <c r="C18" s="4">
        <v>8.0965199731822395</v>
      </c>
      <c r="D18" s="4">
        <v>8.1865010059916496</v>
      </c>
      <c r="G18" s="4"/>
      <c r="H18" s="4"/>
    </row>
    <row r="19" spans="2:8" x14ac:dyDescent="0.3">
      <c r="B19" s="45">
        <v>2037</v>
      </c>
      <c r="C19" s="4">
        <v>8.1992935339856192</v>
      </c>
      <c r="D19" s="4">
        <v>8.2898670326448691</v>
      </c>
      <c r="G19" s="4"/>
      <c r="H19" s="4"/>
    </row>
    <row r="20" spans="2:8" x14ac:dyDescent="0.3">
      <c r="B20" s="45">
        <v>2038</v>
      </c>
      <c r="C20" s="4">
        <v>8.29326495780575</v>
      </c>
      <c r="D20" s="4">
        <v>8.3842085041683099</v>
      </c>
      <c r="G20" s="4"/>
      <c r="H20" s="4"/>
    </row>
    <row r="21" spans="2:8" x14ac:dyDescent="0.3">
      <c r="B21" s="45">
        <v>2039</v>
      </c>
      <c r="C21" s="4">
        <v>8.3832007882542001</v>
      </c>
      <c r="D21" s="4">
        <v>8.4741399609553092</v>
      </c>
      <c r="G21" s="4"/>
      <c r="H21" s="4"/>
    </row>
    <row r="22" spans="2:8" x14ac:dyDescent="0.3">
      <c r="B22" s="45">
        <v>2040</v>
      </c>
      <c r="C22" s="4">
        <v>8.4671899951226095</v>
      </c>
      <c r="D22" s="4">
        <v>8.5576670768152105</v>
      </c>
      <c r="G22" s="4"/>
      <c r="H22" s="4"/>
    </row>
    <row r="23" spans="2:8" x14ac:dyDescent="0.3">
      <c r="B23" s="45">
        <v>2041</v>
      </c>
      <c r="C23" s="4">
        <v>8.5507327031224207</v>
      </c>
      <c r="D23" s="4">
        <v>8.6398970761573803</v>
      </c>
      <c r="G23" s="4"/>
      <c r="H23" s="4"/>
    </row>
    <row r="24" spans="2:8" x14ac:dyDescent="0.3">
      <c r="B24" s="45">
        <v>2042</v>
      </c>
      <c r="C24" s="4">
        <v>8.6327976708907705</v>
      </c>
      <c r="D24" s="4">
        <v>8.7198198097910193</v>
      </c>
      <c r="G24" s="4"/>
      <c r="H24" s="4"/>
    </row>
    <row r="25" spans="2:8" x14ac:dyDescent="0.3">
      <c r="B25" s="45">
        <v>2043</v>
      </c>
      <c r="C25" s="4">
        <v>8.7129712595600601</v>
      </c>
      <c r="D25" s="4">
        <v>8.7969100245920604</v>
      </c>
      <c r="G25" s="4"/>
      <c r="H25" s="4"/>
    </row>
    <row r="26" spans="2:8" x14ac:dyDescent="0.3">
      <c r="B26" s="45">
        <v>2044</v>
      </c>
      <c r="C26" s="4">
        <v>8.8037720579040606</v>
      </c>
      <c r="D26" s="4">
        <v>8.8835047347541902</v>
      </c>
      <c r="G26" s="4"/>
      <c r="H26" s="4"/>
    </row>
    <row r="27" spans="2:8" x14ac:dyDescent="0.3">
      <c r="B27" s="45">
        <v>2045</v>
      </c>
      <c r="C27" s="4">
        <v>8.8960859002455805</v>
      </c>
      <c r="D27" s="4">
        <v>8.97160570591085</v>
      </c>
      <c r="G27" s="4"/>
      <c r="H27" s="4"/>
    </row>
    <row r="28" spans="2:8" x14ac:dyDescent="0.3">
      <c r="B28" s="45">
        <v>2046</v>
      </c>
      <c r="C28" s="4">
        <v>8.9874541059843196</v>
      </c>
      <c r="D28" s="4">
        <v>9.0586991242319002</v>
      </c>
      <c r="G28" s="4"/>
      <c r="H28" s="4"/>
    </row>
    <row r="29" spans="2:8" x14ac:dyDescent="0.3">
      <c r="B29" s="45">
        <v>2047</v>
      </c>
      <c r="C29" s="4">
        <v>9.0824819578884792</v>
      </c>
      <c r="D29" s="4">
        <v>9.1492987287127807</v>
      </c>
      <c r="G29" s="4"/>
      <c r="H29" s="4"/>
    </row>
    <row r="30" spans="2:8" x14ac:dyDescent="0.3">
      <c r="B30" s="45">
        <v>2048</v>
      </c>
      <c r="C30" s="4">
        <v>9.1806002960462703</v>
      </c>
      <c r="D30" s="4">
        <v>9.2426956362322503</v>
      </c>
      <c r="G30" s="4"/>
      <c r="H30" s="4"/>
    </row>
    <row r="31" spans="2:8" x14ac:dyDescent="0.3">
      <c r="B31" s="45">
        <v>2049</v>
      </c>
      <c r="C31" s="4">
        <v>9.2802364419226802</v>
      </c>
      <c r="D31" s="4">
        <v>9.3372191882227398</v>
      </c>
      <c r="G31" s="4"/>
      <c r="H31" s="4"/>
    </row>
    <row r="32" spans="2:8" x14ac:dyDescent="0.3">
      <c r="B32" s="45">
        <v>2050</v>
      </c>
      <c r="C32" s="4">
        <v>9.3816057922831</v>
      </c>
      <c r="D32" s="4">
        <v>9.4329726827672307</v>
      </c>
      <c r="G32" s="4"/>
      <c r="H32" s="4"/>
    </row>
    <row r="33" spans="2:8" x14ac:dyDescent="0.3">
      <c r="B33" s="45">
        <v>2051</v>
      </c>
      <c r="C33" s="4">
        <v>9.4863832502306504</v>
      </c>
      <c r="D33" s="4">
        <v>9.5318572734084501</v>
      </c>
      <c r="G33" s="4"/>
      <c r="H33" s="4"/>
    </row>
    <row r="34" spans="2:8" x14ac:dyDescent="0.3">
      <c r="B34" s="45">
        <v>2052</v>
      </c>
      <c r="C34" s="4">
        <v>9.5977588225832005</v>
      </c>
      <c r="D34" s="4">
        <v>9.6369386427440098</v>
      </c>
      <c r="G34" s="4"/>
      <c r="H34" s="4"/>
    </row>
    <row r="35" spans="2:8" x14ac:dyDescent="0.3">
      <c r="B35" s="45">
        <v>2053</v>
      </c>
      <c r="C35" s="4">
        <v>9.7148334984642695</v>
      </c>
      <c r="D35" s="4">
        <v>9.7475336405094595</v>
      </c>
      <c r="G35" s="4"/>
      <c r="H35" s="4"/>
    </row>
    <row r="36" spans="2:8" x14ac:dyDescent="0.3">
      <c r="B36" s="45">
        <v>2054</v>
      </c>
      <c r="C36" s="4">
        <v>9.8350004715770396</v>
      </c>
      <c r="D36" s="4">
        <v>9.8612882923481493</v>
      </c>
      <c r="G36" s="4"/>
      <c r="H36" s="4"/>
    </row>
    <row r="37" spans="2:8" x14ac:dyDescent="0.3">
      <c r="B37" s="45">
        <v>2055</v>
      </c>
      <c r="C37" s="4">
        <v>9.9611679596601999</v>
      </c>
      <c r="D37" s="4">
        <v>9.9812089045274206</v>
      </c>
      <c r="G37" s="4"/>
      <c r="H37" s="4"/>
    </row>
    <row r="38" spans="2:8" x14ac:dyDescent="0.3">
      <c r="B38" s="45">
        <v>2056</v>
      </c>
      <c r="C38" s="4">
        <v>10.0912383758556</v>
      </c>
      <c r="D38" s="4">
        <v>10.105024721195299</v>
      </c>
      <c r="G38" s="4"/>
      <c r="H38" s="4"/>
    </row>
    <row r="39" spans="2:8" x14ac:dyDescent="0.3">
      <c r="B39" s="45">
        <v>2057</v>
      </c>
      <c r="C39" s="4">
        <v>10.221379582268501</v>
      </c>
      <c r="D39" s="4">
        <v>10.228845068675801</v>
      </c>
      <c r="G39" s="4"/>
      <c r="H39" s="4"/>
    </row>
    <row r="40" spans="2:8" x14ac:dyDescent="0.3">
      <c r="B40" s="45">
        <v>2058</v>
      </c>
      <c r="C40" s="4">
        <v>10.3491030267204</v>
      </c>
      <c r="D40" s="4">
        <v>10.350680249075801</v>
      </c>
      <c r="G40" s="4"/>
      <c r="H40" s="4"/>
    </row>
    <row r="41" spans="2:8" x14ac:dyDescent="0.3">
      <c r="B41" s="45">
        <v>2059</v>
      </c>
      <c r="C41" s="4">
        <v>10.4722190265951</v>
      </c>
      <c r="D41" s="4">
        <v>10.468584481343299</v>
      </c>
      <c r="G41" s="4"/>
      <c r="H41" s="4"/>
    </row>
    <row r="42" spans="2:8" x14ac:dyDescent="0.3">
      <c r="B42" s="45">
        <v>2060</v>
      </c>
      <c r="C42" s="4">
        <v>10.5947083656632</v>
      </c>
      <c r="D42" s="4">
        <v>10.586350472776299</v>
      </c>
      <c r="G42" s="4"/>
      <c r="H42" s="4"/>
    </row>
    <row r="43" spans="2:8" x14ac:dyDescent="0.3">
      <c r="B43" s="45">
        <v>2061</v>
      </c>
      <c r="C43" s="4">
        <v>10.712748407020801</v>
      </c>
      <c r="D43" s="4">
        <v>10.7003131567264</v>
      </c>
      <c r="G43" s="4"/>
      <c r="H43" s="4"/>
    </row>
    <row r="44" spans="2:8" x14ac:dyDescent="0.3">
      <c r="B44" s="45">
        <v>2062</v>
      </c>
      <c r="C44" s="4">
        <v>10.829335077866</v>
      </c>
      <c r="D44" s="4">
        <v>10.8134750838905</v>
      </c>
      <c r="G44" s="4"/>
      <c r="H44" s="4"/>
    </row>
    <row r="45" spans="2:8" x14ac:dyDescent="0.3">
      <c r="B45" s="45">
        <v>2063</v>
      </c>
      <c r="C45" s="4">
        <v>10.9465882037338</v>
      </c>
      <c r="D45" s="4">
        <v>10.9277076363693</v>
      </c>
      <c r="G45" s="4"/>
      <c r="H45" s="4"/>
    </row>
    <row r="46" spans="2:8" x14ac:dyDescent="0.3">
      <c r="B46" s="45">
        <v>2064</v>
      </c>
      <c r="C46" s="4">
        <v>11.062025794014501</v>
      </c>
      <c r="D46" s="4">
        <v>11.0404976700496</v>
      </c>
      <c r="G46" s="4"/>
      <c r="H46" s="4"/>
    </row>
    <row r="47" spans="2:8" x14ac:dyDescent="0.3">
      <c r="B47" s="45">
        <v>2065</v>
      </c>
      <c r="C47" s="4">
        <v>11.186237423478801</v>
      </c>
      <c r="D47" s="4">
        <v>11.1624583257538</v>
      </c>
      <c r="G47" s="4"/>
      <c r="H47" s="4"/>
    </row>
    <row r="48" spans="2:8" x14ac:dyDescent="0.3">
      <c r="B48" s="45"/>
      <c r="C48" s="4"/>
      <c r="D48" s="4"/>
    </row>
    <row r="49" spans="2:4" x14ac:dyDescent="0.3">
      <c r="B49" s="45"/>
      <c r="C49" s="4"/>
      <c r="D49" s="4"/>
    </row>
    <row r="50" spans="2:4" x14ac:dyDescent="0.3">
      <c r="B50" s="45"/>
      <c r="C50" s="4"/>
      <c r="D50" s="4"/>
    </row>
    <row r="51" spans="2:4" x14ac:dyDescent="0.3">
      <c r="B51" s="45"/>
      <c r="C51" s="4"/>
      <c r="D51" s="4"/>
    </row>
    <row r="52" spans="2:4" x14ac:dyDescent="0.3">
      <c r="B52" s="45"/>
      <c r="C52" s="4"/>
      <c r="D52" s="4"/>
    </row>
    <row r="53" spans="2:4" x14ac:dyDescent="0.3">
      <c r="B53" s="45"/>
      <c r="C53" s="4"/>
      <c r="D53" s="4"/>
    </row>
    <row r="54" spans="2:4" x14ac:dyDescent="0.3">
      <c r="B54" s="45"/>
      <c r="C54" s="4"/>
      <c r="D54" s="4"/>
    </row>
    <row r="55" spans="2:4" x14ac:dyDescent="0.3">
      <c r="B55" s="45"/>
      <c r="C55" s="4"/>
      <c r="D55" s="4"/>
    </row>
    <row r="56" spans="2:4" x14ac:dyDescent="0.3">
      <c r="B56" s="45"/>
      <c r="C56" s="4"/>
      <c r="D56" s="4"/>
    </row>
    <row r="57" spans="2:4" x14ac:dyDescent="0.3">
      <c r="B57" s="45"/>
      <c r="C57" s="4"/>
      <c r="D57" s="4"/>
    </row>
    <row r="58" spans="2:4" x14ac:dyDescent="0.3">
      <c r="B58" s="45"/>
      <c r="C58" s="4"/>
      <c r="D58" s="4"/>
    </row>
    <row r="59" spans="2:4" x14ac:dyDescent="0.3">
      <c r="B59" s="45"/>
      <c r="C59" s="4"/>
      <c r="D59" s="4"/>
    </row>
    <row r="60" spans="2:4" x14ac:dyDescent="0.3">
      <c r="B60" s="45"/>
      <c r="C60" s="4"/>
      <c r="D60" s="4"/>
    </row>
    <row r="61" spans="2:4" x14ac:dyDescent="0.3">
      <c r="B61" s="45"/>
      <c r="C61" s="4"/>
      <c r="D61" s="4"/>
    </row>
    <row r="62" spans="2:4" x14ac:dyDescent="0.3">
      <c r="B62" s="45"/>
      <c r="C62" s="4"/>
      <c r="D62" s="4"/>
    </row>
    <row r="63" spans="2:4" x14ac:dyDescent="0.3">
      <c r="B63" s="45"/>
      <c r="C63" s="4"/>
      <c r="D63" s="4"/>
    </row>
    <row r="64" spans="2:4" x14ac:dyDescent="0.3">
      <c r="B64" s="45"/>
      <c r="C64" s="4"/>
      <c r="D64" s="4"/>
    </row>
    <row r="65" spans="2:4" x14ac:dyDescent="0.3">
      <c r="B65" s="45"/>
      <c r="C65" s="4"/>
      <c r="D65" s="4"/>
    </row>
    <row r="66" spans="2:4" x14ac:dyDescent="0.3">
      <c r="B66" s="45"/>
      <c r="C66" s="4"/>
      <c r="D66" s="4"/>
    </row>
    <row r="67" spans="2:4" x14ac:dyDescent="0.3">
      <c r="B67" s="45"/>
      <c r="C67" s="4"/>
      <c r="D67" s="4"/>
    </row>
    <row r="68" spans="2:4" x14ac:dyDescent="0.3">
      <c r="B68" s="45"/>
      <c r="C68" s="4"/>
      <c r="D68" s="4"/>
    </row>
    <row r="69" spans="2:4" x14ac:dyDescent="0.3">
      <c r="B69" s="45"/>
      <c r="C69" s="4"/>
      <c r="D69" s="4"/>
    </row>
    <row r="70" spans="2:4" x14ac:dyDescent="0.3">
      <c r="B70" s="45"/>
      <c r="C70" s="4"/>
      <c r="D70" s="4"/>
    </row>
    <row r="71" spans="2:4" x14ac:dyDescent="0.3">
      <c r="B71" s="45"/>
      <c r="C71" s="4"/>
      <c r="D71" s="4"/>
    </row>
    <row r="72" spans="2:4" x14ac:dyDescent="0.3">
      <c r="B72" s="45"/>
      <c r="C72" s="4"/>
      <c r="D72" s="4"/>
    </row>
    <row r="73" spans="2:4" x14ac:dyDescent="0.3">
      <c r="B73" s="45"/>
      <c r="C73" s="4"/>
      <c r="D73" s="4"/>
    </row>
    <row r="74" spans="2:4" x14ac:dyDescent="0.3">
      <c r="B74" s="45"/>
      <c r="C74" s="4"/>
      <c r="D74" s="4"/>
    </row>
    <row r="75" spans="2:4" x14ac:dyDescent="0.3">
      <c r="B75" s="45"/>
      <c r="C75" s="4"/>
      <c r="D75" s="4"/>
    </row>
    <row r="76" spans="2:4" x14ac:dyDescent="0.3">
      <c r="B76" s="45"/>
      <c r="C76" s="4"/>
      <c r="D76" s="4"/>
    </row>
    <row r="77" spans="2:4" x14ac:dyDescent="0.3">
      <c r="B77" s="45"/>
      <c r="C77" s="4"/>
      <c r="D77" s="4"/>
    </row>
    <row r="78" spans="2:4" x14ac:dyDescent="0.3">
      <c r="B78" s="45"/>
      <c r="C78" s="4"/>
      <c r="D78" s="4"/>
    </row>
    <row r="79" spans="2:4" x14ac:dyDescent="0.3">
      <c r="B79" s="45"/>
      <c r="C79" s="4"/>
      <c r="D79" s="4"/>
    </row>
    <row r="80" spans="2:4" x14ac:dyDescent="0.3">
      <c r="B80" s="45"/>
      <c r="C80" s="4"/>
      <c r="D80" s="4"/>
    </row>
    <row r="81" spans="2:4" x14ac:dyDescent="0.3">
      <c r="B81" s="45"/>
      <c r="C81" s="4"/>
      <c r="D81" s="4"/>
    </row>
    <row r="82" spans="2:4" x14ac:dyDescent="0.3">
      <c r="B82" s="45"/>
      <c r="C82" s="4"/>
      <c r="D82" s="4"/>
    </row>
    <row r="83" spans="2:4" x14ac:dyDescent="0.3">
      <c r="B83" s="45"/>
      <c r="C83" s="4"/>
    </row>
    <row r="84" spans="2:4" x14ac:dyDescent="0.3">
      <c r="B84" s="45"/>
      <c r="C84" s="4"/>
    </row>
    <row r="85" spans="2:4" x14ac:dyDescent="0.3">
      <c r="B85" s="45"/>
      <c r="C85" s="4"/>
    </row>
    <row r="86" spans="2:4" x14ac:dyDescent="0.3">
      <c r="B86" s="45"/>
      <c r="C86" s="4"/>
    </row>
    <row r="87" spans="2:4" x14ac:dyDescent="0.3">
      <c r="B87" s="45"/>
      <c r="C87" s="4"/>
    </row>
    <row r="88" spans="2:4" x14ac:dyDescent="0.3">
      <c r="B88" s="45"/>
      <c r="C88" s="4"/>
    </row>
    <row r="89" spans="2:4" x14ac:dyDescent="0.3">
      <c r="B89" s="45"/>
      <c r="C89" s="4"/>
    </row>
    <row r="90" spans="2:4" x14ac:dyDescent="0.3">
      <c r="B90" s="45"/>
      <c r="C90" s="4"/>
    </row>
    <row r="91" spans="2:4" x14ac:dyDescent="0.3">
      <c r="B91" s="45"/>
      <c r="C91" s="4"/>
    </row>
    <row r="92" spans="2:4" x14ac:dyDescent="0.3">
      <c r="B92" s="45"/>
      <c r="C92" s="4"/>
    </row>
    <row r="93" spans="2:4" x14ac:dyDescent="0.3">
      <c r="B93" s="45"/>
      <c r="C93" s="4"/>
    </row>
    <row r="94" spans="2:4" x14ac:dyDescent="0.3">
      <c r="B94" s="45"/>
      <c r="C94" s="4"/>
    </row>
    <row r="95" spans="2:4" x14ac:dyDescent="0.3">
      <c r="B95" s="45"/>
      <c r="C95" s="4"/>
    </row>
    <row r="96" spans="2:4" x14ac:dyDescent="0.3">
      <c r="B96" s="45"/>
      <c r="C96" s="4"/>
    </row>
    <row r="97" spans="2:3" x14ac:dyDescent="0.3">
      <c r="B97" s="45"/>
      <c r="C97" s="4"/>
    </row>
    <row r="98" spans="2:3" x14ac:dyDescent="0.3">
      <c r="B98" s="45"/>
      <c r="C98" s="4"/>
    </row>
    <row r="99" spans="2:3" x14ac:dyDescent="0.3">
      <c r="B99" s="45"/>
      <c r="C99" s="4"/>
    </row>
    <row r="100" spans="2:3" x14ac:dyDescent="0.3">
      <c r="B100" s="45"/>
      <c r="C100" s="4"/>
    </row>
    <row r="101" spans="2:3" x14ac:dyDescent="0.3">
      <c r="B101" s="45"/>
      <c r="C101" s="4"/>
    </row>
    <row r="102" spans="2:3" x14ac:dyDescent="0.3">
      <c r="B102" s="45"/>
      <c r="C102" s="4"/>
    </row>
    <row r="103" spans="2:3" x14ac:dyDescent="0.3">
      <c r="B103" s="45"/>
      <c r="C103" s="4"/>
    </row>
    <row r="104" spans="2:3" x14ac:dyDescent="0.3">
      <c r="B104" s="45"/>
      <c r="C104" s="4"/>
    </row>
    <row r="105" spans="2:3" x14ac:dyDescent="0.3">
      <c r="B105" s="45"/>
      <c r="C105" s="4"/>
    </row>
    <row r="106" spans="2:3" x14ac:dyDescent="0.3">
      <c r="B106" s="45"/>
      <c r="C106" s="4"/>
    </row>
    <row r="107" spans="2:3" x14ac:dyDescent="0.3">
      <c r="B107" s="45"/>
      <c r="C107" s="4"/>
    </row>
    <row r="108" spans="2:3" x14ac:dyDescent="0.3">
      <c r="B108" s="45"/>
      <c r="C108" s="4"/>
    </row>
    <row r="109" spans="2:3" x14ac:dyDescent="0.3">
      <c r="B109" s="45"/>
      <c r="C109" s="4"/>
    </row>
    <row r="110" spans="2:3" x14ac:dyDescent="0.3">
      <c r="B110" s="45"/>
      <c r="C110" s="4"/>
    </row>
    <row r="111" spans="2:3" x14ac:dyDescent="0.3">
      <c r="B111" s="45"/>
      <c r="C111" s="4"/>
    </row>
    <row r="112" spans="2:3" x14ac:dyDescent="0.3">
      <c r="B112" s="45"/>
      <c r="C112" s="4"/>
    </row>
    <row r="113" spans="2:3" x14ac:dyDescent="0.3">
      <c r="B113" s="45"/>
      <c r="C113" s="4"/>
    </row>
    <row r="114" spans="2:3" x14ac:dyDescent="0.3">
      <c r="B114" s="45"/>
      <c r="C114" s="4"/>
    </row>
    <row r="115" spans="2:3" x14ac:dyDescent="0.3">
      <c r="B115" s="45"/>
      <c r="C115" s="4"/>
    </row>
    <row r="116" spans="2:3" x14ac:dyDescent="0.3">
      <c r="B116" s="45"/>
      <c r="C116" s="4"/>
    </row>
    <row r="117" spans="2:3" x14ac:dyDescent="0.3">
      <c r="B117" s="45"/>
      <c r="C117" s="4"/>
    </row>
    <row r="118" spans="2:3" x14ac:dyDescent="0.3">
      <c r="B118" s="45"/>
      <c r="C118" s="4"/>
    </row>
    <row r="119" spans="2:3" x14ac:dyDescent="0.3">
      <c r="B119" s="45"/>
      <c r="C119" s="4"/>
    </row>
    <row r="120" spans="2:3" x14ac:dyDescent="0.3">
      <c r="B120" s="45"/>
      <c r="C120" s="4"/>
    </row>
    <row r="121" spans="2:3" x14ac:dyDescent="0.3">
      <c r="B121" s="45"/>
      <c r="C121" s="4"/>
    </row>
    <row r="122" spans="2:3" x14ac:dyDescent="0.3">
      <c r="B122" s="45"/>
      <c r="C122" s="4"/>
    </row>
    <row r="123" spans="2:3" x14ac:dyDescent="0.3">
      <c r="B123" s="45"/>
      <c r="C123" s="4"/>
    </row>
    <row r="124" spans="2:3" x14ac:dyDescent="0.3">
      <c r="B124" s="45"/>
      <c r="C124" s="4"/>
    </row>
    <row r="125" spans="2:3" x14ac:dyDescent="0.3">
      <c r="B125" s="45"/>
      <c r="C125" s="4"/>
    </row>
    <row r="126" spans="2:3" x14ac:dyDescent="0.3">
      <c r="B126" s="45"/>
      <c r="C126" s="4"/>
    </row>
    <row r="127" spans="2:3" x14ac:dyDescent="0.3">
      <c r="B127" s="45"/>
      <c r="C127" s="4"/>
    </row>
    <row r="128" spans="2:3" x14ac:dyDescent="0.3">
      <c r="B128" s="45"/>
      <c r="C128" s="4"/>
    </row>
    <row r="129" spans="2:3" x14ac:dyDescent="0.3">
      <c r="B129" s="45"/>
      <c r="C129" s="4"/>
    </row>
    <row r="130" spans="2:3" x14ac:dyDescent="0.3">
      <c r="B130" s="45"/>
      <c r="C130" s="4"/>
    </row>
    <row r="131" spans="2:3" x14ac:dyDescent="0.3">
      <c r="B131" s="45"/>
      <c r="C131" s="4"/>
    </row>
    <row r="132" spans="2:3" x14ac:dyDescent="0.3">
      <c r="B132" s="45"/>
      <c r="C132" s="4"/>
    </row>
    <row r="133" spans="2:3" x14ac:dyDescent="0.3">
      <c r="B133" s="45"/>
      <c r="C133" s="4"/>
    </row>
    <row r="134" spans="2:3" x14ac:dyDescent="0.3">
      <c r="B134" s="45"/>
      <c r="C134" s="4"/>
    </row>
    <row r="135" spans="2:3" x14ac:dyDescent="0.3">
      <c r="B135" s="45"/>
      <c r="C135" s="4"/>
    </row>
    <row r="136" spans="2:3" x14ac:dyDescent="0.3">
      <c r="B136" s="45"/>
      <c r="C136" s="4"/>
    </row>
    <row r="137" spans="2:3" x14ac:dyDescent="0.3">
      <c r="B137" s="45"/>
      <c r="C137" s="4"/>
    </row>
    <row r="138" spans="2:3" x14ac:dyDescent="0.3">
      <c r="B138" s="45"/>
      <c r="C138" s="4"/>
    </row>
    <row r="139" spans="2:3" x14ac:dyDescent="0.3">
      <c r="B139" s="45"/>
      <c r="C139" s="4"/>
    </row>
    <row r="140" spans="2:3" x14ac:dyDescent="0.3">
      <c r="B140" s="45"/>
      <c r="C140" s="4"/>
    </row>
    <row r="141" spans="2:3" x14ac:dyDescent="0.3">
      <c r="B141" s="45"/>
      <c r="C141" s="4"/>
    </row>
    <row r="142" spans="2:3" x14ac:dyDescent="0.3">
      <c r="B142" s="45"/>
      <c r="C142" s="4"/>
    </row>
    <row r="143" spans="2:3" x14ac:dyDescent="0.3">
      <c r="B143" s="45"/>
      <c r="C143" s="4"/>
    </row>
    <row r="144" spans="2:3" x14ac:dyDescent="0.3">
      <c r="B144" s="45"/>
      <c r="C144" s="4"/>
    </row>
    <row r="145" spans="2:3" x14ac:dyDescent="0.3">
      <c r="B145" s="45"/>
      <c r="C145" s="4"/>
    </row>
    <row r="146" spans="2:3" x14ac:dyDescent="0.3">
      <c r="B146" s="45"/>
      <c r="C146" s="4"/>
    </row>
    <row r="147" spans="2:3" x14ac:dyDescent="0.3">
      <c r="B147" s="45"/>
      <c r="C147" s="4"/>
    </row>
    <row r="148" spans="2:3" x14ac:dyDescent="0.3">
      <c r="B148" s="45"/>
      <c r="C148" s="4"/>
    </row>
    <row r="149" spans="2:3" x14ac:dyDescent="0.3">
      <c r="B149" s="45"/>
      <c r="C149" s="4"/>
    </row>
    <row r="150" spans="2:3" x14ac:dyDescent="0.3">
      <c r="B150" s="45"/>
      <c r="C150" s="4"/>
    </row>
    <row r="151" spans="2:3" x14ac:dyDescent="0.3">
      <c r="B151" s="45"/>
      <c r="C151" s="4"/>
    </row>
    <row r="152" spans="2:3" x14ac:dyDescent="0.3">
      <c r="B152" s="45"/>
      <c r="C152" s="4"/>
    </row>
    <row r="153" spans="2:3" x14ac:dyDescent="0.3">
      <c r="B153" s="45"/>
      <c r="C153" s="4"/>
    </row>
    <row r="154" spans="2:3" x14ac:dyDescent="0.3">
      <c r="B154" s="45"/>
      <c r="C154" s="4"/>
    </row>
    <row r="155" spans="2:3" x14ac:dyDescent="0.3">
      <c r="B155" s="45"/>
      <c r="C155" s="4"/>
    </row>
    <row r="156" spans="2:3" x14ac:dyDescent="0.3">
      <c r="B156" s="45"/>
      <c r="C156" s="4"/>
    </row>
    <row r="157" spans="2:3" x14ac:dyDescent="0.3">
      <c r="B157" s="45"/>
      <c r="C157" s="4"/>
    </row>
    <row r="158" spans="2:3" x14ac:dyDescent="0.3">
      <c r="B158" s="45"/>
      <c r="C158" s="4"/>
    </row>
    <row r="159" spans="2:3" x14ac:dyDescent="0.3">
      <c r="B159" s="45"/>
      <c r="C159" s="4"/>
    </row>
    <row r="160" spans="2:3" x14ac:dyDescent="0.3">
      <c r="B160" s="45"/>
      <c r="C160" s="4"/>
    </row>
    <row r="161" spans="2:3" x14ac:dyDescent="0.3">
      <c r="B161" s="45"/>
      <c r="C161" s="4"/>
    </row>
    <row r="162" spans="2:3" x14ac:dyDescent="0.3">
      <c r="B162" s="45"/>
      <c r="C162" s="4"/>
    </row>
    <row r="163" spans="2:3" x14ac:dyDescent="0.3">
      <c r="B163" s="45"/>
      <c r="C163" s="4"/>
    </row>
    <row r="164" spans="2:3" x14ac:dyDescent="0.3">
      <c r="B164" s="45"/>
      <c r="C164" s="4"/>
    </row>
    <row r="165" spans="2:3" x14ac:dyDescent="0.3">
      <c r="B165" s="45"/>
      <c r="C165" s="4"/>
    </row>
    <row r="166" spans="2:3" x14ac:dyDescent="0.3">
      <c r="B166" s="45"/>
      <c r="C166" s="4"/>
    </row>
    <row r="167" spans="2:3" x14ac:dyDescent="0.3">
      <c r="B167" s="45"/>
      <c r="C167" s="4"/>
    </row>
    <row r="168" spans="2:3" x14ac:dyDescent="0.3">
      <c r="B168" s="45"/>
      <c r="C168" s="4"/>
    </row>
    <row r="169" spans="2:3" x14ac:dyDescent="0.3">
      <c r="B169" s="45"/>
      <c r="C169" s="4"/>
    </row>
    <row r="170" spans="2:3" x14ac:dyDescent="0.3">
      <c r="B170" s="45"/>
      <c r="C170" s="4"/>
    </row>
    <row r="171" spans="2:3" x14ac:dyDescent="0.3">
      <c r="B171" s="45"/>
      <c r="C171" s="4"/>
    </row>
    <row r="172" spans="2:3" x14ac:dyDescent="0.3">
      <c r="B172" s="45"/>
      <c r="C172" s="4"/>
    </row>
    <row r="173" spans="2:3" x14ac:dyDescent="0.3">
      <c r="B173" s="45"/>
      <c r="C173" s="4"/>
    </row>
    <row r="174" spans="2:3" x14ac:dyDescent="0.3">
      <c r="B174" s="45"/>
      <c r="C174" s="4"/>
    </row>
    <row r="175" spans="2:3" x14ac:dyDescent="0.3">
      <c r="B175" s="45"/>
      <c r="C175" s="4"/>
    </row>
    <row r="176" spans="2:3" x14ac:dyDescent="0.3">
      <c r="B176" s="45"/>
      <c r="C176" s="4"/>
    </row>
    <row r="177" spans="2:3" x14ac:dyDescent="0.3">
      <c r="B177" s="45"/>
      <c r="C177" s="4"/>
    </row>
    <row r="178" spans="2:3" x14ac:dyDescent="0.3">
      <c r="B178" s="45"/>
      <c r="C178" s="4"/>
    </row>
    <row r="179" spans="2:3" x14ac:dyDescent="0.3">
      <c r="B179" s="45"/>
      <c r="C179" s="4"/>
    </row>
    <row r="180" spans="2:3" x14ac:dyDescent="0.3">
      <c r="B180" s="45"/>
      <c r="C180" s="4"/>
    </row>
    <row r="181" spans="2:3" x14ac:dyDescent="0.3">
      <c r="B181" s="45"/>
      <c r="C181" s="4"/>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ECEB2-A07E-43D8-9823-6E4E42F31647}">
  <sheetPr codeName="Sheet45"/>
  <dimension ref="B2:I47"/>
  <sheetViews>
    <sheetView workbookViewId="0"/>
  </sheetViews>
  <sheetFormatPr defaultColWidth="8.7109375" defaultRowHeight="16.5" x14ac:dyDescent="0.3"/>
  <cols>
    <col min="1" max="2" width="8.7109375" style="1"/>
    <col min="3" max="3" width="15.5703125" style="1" customWidth="1"/>
    <col min="4" max="4" width="16.28515625" style="1" customWidth="1"/>
    <col min="5" max="16384" width="8.7109375" style="1"/>
  </cols>
  <sheetData>
    <row r="2" spans="2:9" x14ac:dyDescent="0.3">
      <c r="B2" s="18" t="s">
        <v>292</v>
      </c>
      <c r="C2" s="32"/>
      <c r="D2" s="32"/>
      <c r="E2" s="32"/>
      <c r="F2" s="32"/>
      <c r="G2" s="32"/>
      <c r="H2" s="32"/>
    </row>
    <row r="3" spans="2:9" x14ac:dyDescent="0.3">
      <c r="B3" s="32" t="s">
        <v>293</v>
      </c>
      <c r="C3" s="32"/>
      <c r="D3" s="32"/>
      <c r="E3" s="32"/>
      <c r="F3" s="32"/>
      <c r="G3" s="32"/>
      <c r="H3" s="32"/>
    </row>
    <row r="5" spans="2:9" s="35" customFormat="1" ht="49.5" x14ac:dyDescent="0.3">
      <c r="C5" s="35" t="s">
        <v>126</v>
      </c>
      <c r="D5" s="35" t="s">
        <v>127</v>
      </c>
    </row>
    <row r="6" spans="2:9" s="35" customFormat="1" x14ac:dyDescent="0.3">
      <c r="C6" s="35" t="s">
        <v>3</v>
      </c>
      <c r="D6" s="35" t="s">
        <v>3</v>
      </c>
    </row>
    <row r="7" spans="2:9" x14ac:dyDescent="0.3">
      <c r="B7" s="1">
        <v>2025</v>
      </c>
      <c r="C7" s="4">
        <v>5.6196707083363799</v>
      </c>
      <c r="D7" s="4">
        <v>5.60687651029526</v>
      </c>
      <c r="G7" s="4"/>
      <c r="H7" s="4"/>
      <c r="I7" s="4"/>
    </row>
    <row r="8" spans="2:9" x14ac:dyDescent="0.3">
      <c r="B8" s="1">
        <v>2026</v>
      </c>
      <c r="C8" s="4">
        <v>5.7404282508576401</v>
      </c>
      <c r="D8" s="4">
        <v>5.7416605495058102</v>
      </c>
      <c r="G8" s="4"/>
      <c r="H8" s="4"/>
      <c r="I8" s="4"/>
    </row>
    <row r="9" spans="2:9" x14ac:dyDescent="0.3">
      <c r="B9" s="1">
        <v>2027</v>
      </c>
      <c r="C9" s="4">
        <v>5.8737923191089401</v>
      </c>
      <c r="D9" s="4">
        <v>5.8804998284097403</v>
      </c>
      <c r="G9" s="4"/>
      <c r="H9" s="4"/>
      <c r="I9" s="4"/>
    </row>
    <row r="10" spans="2:9" x14ac:dyDescent="0.3">
      <c r="B10" s="1">
        <v>2028</v>
      </c>
      <c r="C10" s="4">
        <v>5.9987272675829901</v>
      </c>
      <c r="D10" s="4">
        <v>6.0087097769494902</v>
      </c>
      <c r="G10" s="4"/>
      <c r="H10" s="4"/>
      <c r="I10" s="4"/>
    </row>
    <row r="11" spans="2:9" x14ac:dyDescent="0.3">
      <c r="B11" s="1">
        <v>2029</v>
      </c>
      <c r="C11" s="4">
        <v>6.10317953349647</v>
      </c>
      <c r="D11" s="4">
        <v>6.1160864098439003</v>
      </c>
      <c r="G11" s="4"/>
      <c r="H11" s="4"/>
      <c r="I11" s="4"/>
    </row>
    <row r="12" spans="2:9" x14ac:dyDescent="0.3">
      <c r="B12" s="1">
        <v>2030</v>
      </c>
      <c r="C12" s="4">
        <v>6.18780247703274</v>
      </c>
      <c r="D12" s="4">
        <v>6.2035892698738104</v>
      </c>
      <c r="G12" s="4"/>
      <c r="H12" s="4"/>
      <c r="I12" s="4"/>
    </row>
    <row r="13" spans="2:9" x14ac:dyDescent="0.3">
      <c r="B13" s="1">
        <v>2031</v>
      </c>
      <c r="C13" s="4">
        <v>6.2570195891705698</v>
      </c>
      <c r="D13" s="4">
        <v>6.2756289131375897</v>
      </c>
      <c r="G13" s="4"/>
      <c r="H13" s="4"/>
      <c r="I13" s="4"/>
    </row>
    <row r="14" spans="2:9" x14ac:dyDescent="0.3">
      <c r="B14" s="1">
        <v>2032</v>
      </c>
      <c r="C14" s="4">
        <v>6.3208897923174501</v>
      </c>
      <c r="D14" s="4">
        <v>6.3423517781762397</v>
      </c>
      <c r="G14" s="4"/>
      <c r="H14" s="4"/>
      <c r="I14" s="4"/>
    </row>
    <row r="15" spans="2:9" x14ac:dyDescent="0.3">
      <c r="B15" s="1">
        <v>2033</v>
      </c>
      <c r="C15" s="4">
        <v>6.3842847990056999</v>
      </c>
      <c r="D15" s="4">
        <v>6.4086199500393297</v>
      </c>
      <c r="G15" s="4"/>
      <c r="H15" s="4"/>
      <c r="I15" s="4"/>
    </row>
    <row r="16" spans="2:9" x14ac:dyDescent="0.3">
      <c r="B16" s="1">
        <v>2034</v>
      </c>
      <c r="C16" s="4">
        <v>6.4489107475698599</v>
      </c>
      <c r="D16" s="4">
        <v>6.4761447490432396</v>
      </c>
      <c r="G16" s="4"/>
      <c r="H16" s="4"/>
      <c r="I16" s="4"/>
    </row>
    <row r="17" spans="2:9" x14ac:dyDescent="0.3">
      <c r="B17" s="1">
        <v>2035</v>
      </c>
      <c r="C17" s="4">
        <v>6.5079991232846801</v>
      </c>
      <c r="D17" s="4">
        <v>6.5381082349402098</v>
      </c>
      <c r="G17" s="4"/>
      <c r="H17" s="4"/>
      <c r="I17" s="4"/>
    </row>
    <row r="18" spans="2:9" x14ac:dyDescent="0.3">
      <c r="B18" s="1">
        <v>2036</v>
      </c>
      <c r="C18" s="4">
        <v>6.5740943110448598</v>
      </c>
      <c r="D18" s="4">
        <v>6.6071064018319499</v>
      </c>
      <c r="G18" s="4"/>
      <c r="H18" s="4"/>
      <c r="I18" s="4"/>
    </row>
    <row r="19" spans="2:9" x14ac:dyDescent="0.3">
      <c r="B19" s="1">
        <v>2037</v>
      </c>
      <c r="C19" s="4">
        <v>6.6302974542821298</v>
      </c>
      <c r="D19" s="4">
        <v>6.66612063860424</v>
      </c>
      <c r="G19" s="4"/>
      <c r="H19" s="4"/>
      <c r="I19" s="4"/>
    </row>
    <row r="20" spans="2:9" x14ac:dyDescent="0.3">
      <c r="B20" s="1">
        <v>2038</v>
      </c>
      <c r="C20" s="4">
        <v>6.6717814240523801</v>
      </c>
      <c r="D20" s="4">
        <v>6.71030131648308</v>
      </c>
      <c r="G20" s="4"/>
      <c r="H20" s="4"/>
      <c r="I20" s="4"/>
    </row>
    <row r="21" spans="2:9" x14ac:dyDescent="0.3">
      <c r="B21" s="1">
        <v>2039</v>
      </c>
      <c r="C21" s="4">
        <v>6.7017543335747796</v>
      </c>
      <c r="D21" s="4">
        <v>6.7428935903278804</v>
      </c>
      <c r="G21" s="4"/>
      <c r="H21" s="4"/>
      <c r="I21" s="4"/>
    </row>
    <row r="22" spans="2:9" x14ac:dyDescent="0.3">
      <c r="B22" s="1">
        <v>2040</v>
      </c>
      <c r="C22" s="4">
        <v>6.7129598275884801</v>
      </c>
      <c r="D22" s="4">
        <v>6.7565552074245296</v>
      </c>
      <c r="G22" s="4"/>
      <c r="H22" s="4"/>
      <c r="I22" s="4"/>
    </row>
    <row r="23" spans="2:9" x14ac:dyDescent="0.3">
      <c r="B23" s="1">
        <v>2041</v>
      </c>
      <c r="C23" s="4">
        <v>6.7128141973032802</v>
      </c>
      <c r="D23" s="4">
        <v>6.7588072034793001</v>
      </c>
      <c r="G23" s="4"/>
      <c r="H23" s="4"/>
      <c r="I23" s="4"/>
    </row>
    <row r="24" spans="2:9" x14ac:dyDescent="0.3">
      <c r="B24" s="1">
        <v>2042</v>
      </c>
      <c r="C24" s="4">
        <v>6.7110574396309204</v>
      </c>
      <c r="D24" s="4">
        <v>6.75941320049842</v>
      </c>
      <c r="G24" s="4"/>
      <c r="H24" s="4"/>
      <c r="I24" s="4"/>
    </row>
    <row r="25" spans="2:9" x14ac:dyDescent="0.3">
      <c r="B25" s="1">
        <v>2043</v>
      </c>
      <c r="C25" s="4">
        <v>6.7011737293091302</v>
      </c>
      <c r="D25" s="4">
        <v>6.7517807180321396</v>
      </c>
      <c r="G25" s="4"/>
      <c r="H25" s="4"/>
      <c r="I25" s="4"/>
    </row>
    <row r="26" spans="2:9" x14ac:dyDescent="0.3">
      <c r="B26" s="1">
        <v>2044</v>
      </c>
      <c r="C26" s="4">
        <v>6.7065257444010999</v>
      </c>
      <c r="D26" s="4">
        <v>6.7595313306726696</v>
      </c>
      <c r="G26" s="4"/>
      <c r="H26" s="4"/>
      <c r="I26" s="4"/>
    </row>
    <row r="27" spans="2:9" x14ac:dyDescent="0.3">
      <c r="B27" s="1">
        <v>2045</v>
      </c>
      <c r="C27" s="4">
        <v>6.7217978067030604</v>
      </c>
      <c r="D27" s="4">
        <v>6.77642519307184</v>
      </c>
      <c r="G27" s="4"/>
      <c r="H27" s="4"/>
      <c r="I27" s="4"/>
    </row>
    <row r="28" spans="2:9" x14ac:dyDescent="0.3">
      <c r="B28" s="1">
        <v>2046</v>
      </c>
      <c r="C28" s="4">
        <v>6.7414941477366597</v>
      </c>
      <c r="D28" s="4">
        <v>6.7975424417014096</v>
      </c>
      <c r="G28" s="4"/>
      <c r="H28" s="4"/>
      <c r="I28" s="4"/>
    </row>
    <row r="29" spans="2:9" x14ac:dyDescent="0.3">
      <c r="B29" s="1">
        <v>2047</v>
      </c>
      <c r="C29" s="4">
        <v>6.7695177153328903</v>
      </c>
      <c r="D29" s="4">
        <v>6.82698327314362</v>
      </c>
      <c r="G29" s="4"/>
      <c r="H29" s="4"/>
      <c r="I29" s="4"/>
    </row>
    <row r="30" spans="2:9" x14ac:dyDescent="0.3">
      <c r="B30" s="1">
        <v>2048</v>
      </c>
      <c r="C30" s="4">
        <v>6.8066831074867604</v>
      </c>
      <c r="D30" s="4">
        <v>6.8656218126909501</v>
      </c>
      <c r="G30" s="4"/>
      <c r="H30" s="4"/>
      <c r="I30" s="4"/>
    </row>
    <row r="31" spans="2:9" x14ac:dyDescent="0.3">
      <c r="B31" s="1">
        <v>2049</v>
      </c>
      <c r="C31" s="4">
        <v>6.8497415767005601</v>
      </c>
      <c r="D31" s="4">
        <v>6.9101700262589301</v>
      </c>
      <c r="G31" s="4"/>
      <c r="H31" s="4"/>
      <c r="I31" s="4"/>
    </row>
    <row r="32" spans="2:9" x14ac:dyDescent="0.3">
      <c r="B32" s="1">
        <v>2050</v>
      </c>
      <c r="C32" s="4">
        <v>6.89889827366133</v>
      </c>
      <c r="D32" s="4">
        <v>6.9608767353408503</v>
      </c>
      <c r="G32" s="4"/>
      <c r="H32" s="4"/>
      <c r="I32" s="4"/>
    </row>
    <row r="33" spans="2:9" x14ac:dyDescent="0.3">
      <c r="B33" s="1">
        <v>2051</v>
      </c>
      <c r="C33" s="4">
        <v>6.9540617205715698</v>
      </c>
      <c r="D33" s="4">
        <v>7.0175958188409302</v>
      </c>
      <c r="G33" s="4"/>
      <c r="H33" s="4"/>
      <c r="I33" s="4"/>
    </row>
    <row r="34" spans="2:9" x14ac:dyDescent="0.3">
      <c r="B34" s="1">
        <v>2052</v>
      </c>
      <c r="C34" s="4">
        <v>7.0237525802960104</v>
      </c>
      <c r="D34" s="4">
        <v>7.0889876575665296</v>
      </c>
      <c r="G34" s="4"/>
      <c r="H34" s="4"/>
      <c r="I34" s="4"/>
    </row>
    <row r="35" spans="2:9" x14ac:dyDescent="0.3">
      <c r="B35" s="1">
        <v>2053</v>
      </c>
      <c r="C35" s="4">
        <v>7.1077869247074599</v>
      </c>
      <c r="D35" s="4">
        <v>7.1747860460002499</v>
      </c>
      <c r="G35" s="4"/>
      <c r="H35" s="4"/>
      <c r="I35" s="4"/>
    </row>
    <row r="36" spans="2:9" x14ac:dyDescent="0.3">
      <c r="B36" s="1">
        <v>2054</v>
      </c>
      <c r="C36" s="4">
        <v>7.1980731001903804</v>
      </c>
      <c r="D36" s="4">
        <v>7.2667792284023003</v>
      </c>
      <c r="G36" s="4"/>
      <c r="H36" s="4"/>
      <c r="I36" s="4"/>
    </row>
    <row r="37" spans="2:9" x14ac:dyDescent="0.3">
      <c r="B37" s="1">
        <v>2055</v>
      </c>
      <c r="C37" s="4">
        <v>7.30113136862491</v>
      </c>
      <c r="D37" s="4">
        <v>7.3715942498665203</v>
      </c>
      <c r="G37" s="4"/>
      <c r="H37" s="4"/>
      <c r="I37" s="4"/>
    </row>
    <row r="38" spans="2:9" x14ac:dyDescent="0.3">
      <c r="B38" s="1">
        <v>2056</v>
      </c>
      <c r="C38" s="4">
        <v>7.40973204414815</v>
      </c>
      <c r="D38" s="4">
        <v>7.4819410991043203</v>
      </c>
      <c r="G38" s="4"/>
      <c r="H38" s="4"/>
      <c r="I38" s="4"/>
    </row>
    <row r="39" spans="2:9" x14ac:dyDescent="0.3">
      <c r="B39" s="1">
        <v>2057</v>
      </c>
      <c r="C39" s="4">
        <v>7.5129314740019399</v>
      </c>
      <c r="D39" s="4">
        <v>7.58676708767491</v>
      </c>
      <c r="G39" s="4"/>
      <c r="H39" s="4"/>
      <c r="I39" s="4"/>
    </row>
    <row r="40" spans="2:9" x14ac:dyDescent="0.3">
      <c r="B40" s="1">
        <v>2058</v>
      </c>
      <c r="C40" s="4">
        <v>7.6068031209675002</v>
      </c>
      <c r="D40" s="4">
        <v>7.6820159089685696</v>
      </c>
      <c r="G40" s="4"/>
      <c r="H40" s="4"/>
      <c r="I40" s="4"/>
    </row>
    <row r="41" spans="2:9" x14ac:dyDescent="0.3">
      <c r="B41" s="1">
        <v>2059</v>
      </c>
      <c r="C41" s="4">
        <v>7.6870241057120401</v>
      </c>
      <c r="D41" s="4">
        <v>7.7633076887770498</v>
      </c>
      <c r="G41" s="4"/>
      <c r="H41" s="4"/>
      <c r="I41" s="4"/>
    </row>
    <row r="42" spans="2:9" x14ac:dyDescent="0.3">
      <c r="B42" s="1">
        <v>2060</v>
      </c>
      <c r="C42" s="4">
        <v>7.7613281744006501</v>
      </c>
      <c r="D42" s="4">
        <v>7.8385319556975297</v>
      </c>
      <c r="G42" s="4"/>
      <c r="H42" s="4"/>
      <c r="I42" s="4"/>
    </row>
    <row r="43" spans="2:9" x14ac:dyDescent="0.3">
      <c r="B43" s="1">
        <v>2061</v>
      </c>
      <c r="C43" s="4">
        <v>7.8262069009444302</v>
      </c>
      <c r="D43" s="4">
        <v>7.9040708835282301</v>
      </c>
      <c r="G43" s="4"/>
      <c r="H43" s="4"/>
      <c r="I43" s="4"/>
    </row>
    <row r="44" spans="2:9" x14ac:dyDescent="0.3">
      <c r="B44" s="1">
        <v>2062</v>
      </c>
      <c r="C44" s="4">
        <v>7.8799338917638</v>
      </c>
      <c r="D44" s="4">
        <v>7.9582248901855603</v>
      </c>
      <c r="G44" s="4"/>
      <c r="H44" s="4"/>
      <c r="I44" s="4"/>
    </row>
    <row r="45" spans="2:9" x14ac:dyDescent="0.3">
      <c r="B45" s="1">
        <v>2063</v>
      </c>
      <c r="C45" s="4">
        <v>7.9256463208779797</v>
      </c>
      <c r="D45" s="4">
        <v>8.0042564354580996</v>
      </c>
      <c r="G45" s="4"/>
      <c r="H45" s="4"/>
      <c r="I45" s="4"/>
    </row>
    <row r="46" spans="2:9" x14ac:dyDescent="0.3">
      <c r="B46" s="1">
        <v>2064</v>
      </c>
      <c r="C46" s="4">
        <v>7.9589175049837202</v>
      </c>
      <c r="D46" s="4">
        <v>8.0376850434263307</v>
      </c>
      <c r="G46" s="4"/>
      <c r="H46" s="4"/>
      <c r="I46" s="4"/>
    </row>
    <row r="47" spans="2:9" x14ac:dyDescent="0.3">
      <c r="B47" s="1">
        <v>2065</v>
      </c>
      <c r="C47" s="4">
        <v>7.9971588670221703</v>
      </c>
      <c r="D47" s="4">
        <v>8.07611792295606</v>
      </c>
      <c r="G47" s="4"/>
      <c r="H47" s="4"/>
      <c r="I47" s="4"/>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C9E7B-D467-4EA3-B44D-3B89EB2AE1E0}">
  <sheetPr codeName="Sheet47"/>
  <dimension ref="B2:M68"/>
  <sheetViews>
    <sheetView showGridLines="0" workbookViewId="0"/>
  </sheetViews>
  <sheetFormatPr defaultColWidth="8.7109375" defaultRowHeight="16.5" x14ac:dyDescent="0.3"/>
  <cols>
    <col min="1" max="1" width="8.7109375" style="1"/>
    <col min="2" max="2" width="8.5703125" style="1" customWidth="1"/>
    <col min="3" max="3" width="12" style="1" bestFit="1" customWidth="1"/>
    <col min="4" max="5" width="8.7109375" style="1"/>
    <col min="6" max="6" width="8.7109375" style="14"/>
    <col min="7" max="16384" width="8.7109375" style="1"/>
  </cols>
  <sheetData>
    <row r="2" spans="2:13" x14ac:dyDescent="0.3">
      <c r="B2" s="95" t="s">
        <v>344</v>
      </c>
      <c r="C2" s="8"/>
      <c r="D2" s="8"/>
      <c r="E2" s="8"/>
      <c r="F2" s="15"/>
      <c r="G2" s="8"/>
      <c r="H2" s="8"/>
      <c r="I2" s="8"/>
      <c r="J2" s="8"/>
      <c r="K2" s="8"/>
      <c r="L2" s="8"/>
      <c r="M2" s="8"/>
    </row>
    <row r="3" spans="2:13" x14ac:dyDescent="0.3">
      <c r="B3" s="8" t="s">
        <v>277</v>
      </c>
      <c r="C3" s="8"/>
      <c r="D3" s="8"/>
      <c r="E3" s="8"/>
      <c r="F3" s="15"/>
      <c r="G3" s="8"/>
      <c r="H3" s="8"/>
      <c r="I3" s="8"/>
      <c r="J3" s="8"/>
      <c r="K3" s="8"/>
      <c r="L3" s="8"/>
      <c r="M3" s="8"/>
    </row>
    <row r="6" spans="2:13" x14ac:dyDescent="0.3">
      <c r="C6" s="1" t="s">
        <v>266</v>
      </c>
      <c r="D6" s="75">
        <v>0.03</v>
      </c>
      <c r="E6" s="75">
        <v>0.01</v>
      </c>
      <c r="F6" s="14" t="s">
        <v>2</v>
      </c>
    </row>
    <row r="7" spans="2:13" x14ac:dyDescent="0.3">
      <c r="C7" s="1" t="s">
        <v>3</v>
      </c>
      <c r="D7" s="1" t="s">
        <v>3</v>
      </c>
      <c r="E7" s="1" t="s">
        <v>3</v>
      </c>
    </row>
    <row r="8" spans="2:13" x14ac:dyDescent="0.3">
      <c r="B8" s="11">
        <v>2005</v>
      </c>
      <c r="C8" s="4">
        <v>12.6771251833429</v>
      </c>
      <c r="D8" s="4">
        <v>12.6771251833429</v>
      </c>
      <c r="E8" s="4">
        <v>12.6771251833429</v>
      </c>
    </row>
    <row r="9" spans="2:13" x14ac:dyDescent="0.3">
      <c r="B9" s="11">
        <v>2006</v>
      </c>
      <c r="C9" s="4">
        <v>9.8280412020090235</v>
      </c>
      <c r="D9" s="4">
        <v>9.8280412020090235</v>
      </c>
      <c r="E9" s="4">
        <v>9.8280412020090235</v>
      </c>
    </row>
    <row r="10" spans="2:13" x14ac:dyDescent="0.3">
      <c r="B10" s="11">
        <v>2007</v>
      </c>
      <c r="C10" s="4">
        <v>7.5249625063439831</v>
      </c>
      <c r="D10" s="4">
        <v>7.5249625063439831</v>
      </c>
      <c r="E10" s="4">
        <v>7.5249625063439831</v>
      </c>
    </row>
    <row r="11" spans="2:13" x14ac:dyDescent="0.3">
      <c r="B11" s="11">
        <v>2008</v>
      </c>
      <c r="C11" s="4">
        <v>5.4305301887291879</v>
      </c>
      <c r="D11" s="4">
        <v>5.4305301887291879</v>
      </c>
      <c r="E11" s="4">
        <v>5.4305301887291879</v>
      </c>
    </row>
    <row r="12" spans="2:13" x14ac:dyDescent="0.3">
      <c r="B12" s="11">
        <v>2009</v>
      </c>
      <c r="C12" s="4">
        <v>9.0178787783010428</v>
      </c>
      <c r="D12" s="4">
        <v>9.0178787783010428</v>
      </c>
      <c r="E12" s="4">
        <v>9.0178787783010428</v>
      </c>
    </row>
    <row r="13" spans="2:13" x14ac:dyDescent="0.3">
      <c r="B13" s="11">
        <v>2010</v>
      </c>
      <c r="C13" s="4">
        <v>13.54831190810375</v>
      </c>
      <c r="D13" s="4">
        <v>13.54831190810375</v>
      </c>
      <c r="E13" s="4">
        <v>13.54831190810375</v>
      </c>
    </row>
    <row r="14" spans="2:13" x14ac:dyDescent="0.3">
      <c r="B14" s="11">
        <v>2011</v>
      </c>
      <c r="C14" s="4">
        <v>19.470349057244611</v>
      </c>
      <c r="D14" s="4">
        <v>19.470349057244611</v>
      </c>
      <c r="E14" s="4">
        <v>19.470349057244611</v>
      </c>
    </row>
    <row r="15" spans="2:13" x14ac:dyDescent="0.3">
      <c r="B15" s="11">
        <v>2012</v>
      </c>
      <c r="C15" s="4">
        <v>23.546331965594316</v>
      </c>
      <c r="D15" s="4">
        <v>23.546331965594316</v>
      </c>
      <c r="E15" s="4">
        <v>23.546331965594316</v>
      </c>
    </row>
    <row r="16" spans="2:13" x14ac:dyDescent="0.3">
      <c r="B16" s="11">
        <v>2013</v>
      </c>
      <c r="C16" s="4">
        <v>25.474147173822789</v>
      </c>
      <c r="D16" s="4">
        <v>25.474147173822789</v>
      </c>
      <c r="E16" s="4">
        <v>25.474147173822789</v>
      </c>
    </row>
    <row r="17" spans="2:6" x14ac:dyDescent="0.3">
      <c r="B17" s="11">
        <v>2014</v>
      </c>
      <c r="C17" s="4">
        <v>25.281901362997836</v>
      </c>
      <c r="D17" s="4">
        <v>25.281901362997836</v>
      </c>
      <c r="E17" s="4">
        <v>25.281901362997836</v>
      </c>
    </row>
    <row r="18" spans="2:6" x14ac:dyDescent="0.3">
      <c r="B18" s="11">
        <v>2015</v>
      </c>
      <c r="C18" s="4">
        <v>24.659578967918268</v>
      </c>
      <c r="D18" s="4">
        <v>24.659578967918268</v>
      </c>
      <c r="E18" s="4">
        <v>24.659578967918268</v>
      </c>
    </row>
    <row r="19" spans="2:6" x14ac:dyDescent="0.3">
      <c r="B19" s="11">
        <v>2016</v>
      </c>
      <c r="C19" s="4">
        <v>23.898443202576772</v>
      </c>
      <c r="D19" s="4">
        <v>23.898443202576772</v>
      </c>
      <c r="E19" s="4">
        <v>23.898443202576772</v>
      </c>
    </row>
    <row r="20" spans="2:6" x14ac:dyDescent="0.3">
      <c r="B20" s="11">
        <v>2017</v>
      </c>
      <c r="C20" s="4">
        <v>21.560411199234441</v>
      </c>
      <c r="D20" s="4">
        <v>21.560411199234441</v>
      </c>
      <c r="E20" s="4">
        <v>21.560411199234441</v>
      </c>
    </row>
    <row r="21" spans="2:6" x14ac:dyDescent="0.3">
      <c r="B21" s="11">
        <v>2018</v>
      </c>
      <c r="C21" s="4">
        <v>19.436002663809045</v>
      </c>
      <c r="D21" s="4">
        <v>19.436002663809045</v>
      </c>
      <c r="E21" s="4">
        <v>19.436002663809045</v>
      </c>
    </row>
    <row r="22" spans="2:6" x14ac:dyDescent="0.3">
      <c r="B22" s="11">
        <v>2019</v>
      </c>
      <c r="C22" s="4">
        <v>18.593806358530429</v>
      </c>
      <c r="D22" s="4">
        <v>18.593806358530429</v>
      </c>
      <c r="E22" s="4">
        <v>18.593806358530429</v>
      </c>
    </row>
    <row r="23" spans="2:6" x14ac:dyDescent="0.3">
      <c r="B23" s="11">
        <v>2020</v>
      </c>
      <c r="C23" s="4">
        <v>26.249012218580681</v>
      </c>
      <c r="D23" s="4">
        <v>26.249012218580681</v>
      </c>
      <c r="E23" s="4">
        <v>26.249012218580681</v>
      </c>
    </row>
    <row r="24" spans="2:6" x14ac:dyDescent="0.3">
      <c r="B24" s="11">
        <v>2021</v>
      </c>
      <c r="C24" s="4">
        <v>29.726872708529303</v>
      </c>
      <c r="D24" s="4">
        <v>29.726872708529303</v>
      </c>
      <c r="E24" s="4">
        <v>29.726872708529303</v>
      </c>
    </row>
    <row r="25" spans="2:6" x14ac:dyDescent="0.3">
      <c r="B25" s="11">
        <v>2022</v>
      </c>
      <c r="C25" s="4">
        <v>35.238545756816755</v>
      </c>
      <c r="D25" s="4">
        <v>35.238545756816755</v>
      </c>
      <c r="E25" s="4">
        <v>35.238545756816755</v>
      </c>
    </row>
    <row r="26" spans="2:6" x14ac:dyDescent="0.3">
      <c r="B26" s="11">
        <v>2023</v>
      </c>
      <c r="C26" s="4">
        <v>38.668698807362532</v>
      </c>
      <c r="D26" s="4">
        <v>38.668698807362532</v>
      </c>
      <c r="E26" s="4">
        <v>38.668698807362532</v>
      </c>
    </row>
    <row r="27" spans="2:6" x14ac:dyDescent="0.3">
      <c r="B27" s="11">
        <v>2024</v>
      </c>
      <c r="C27" s="4">
        <v>41.715364388928769</v>
      </c>
      <c r="D27" s="4">
        <v>41.715364388928769</v>
      </c>
      <c r="E27" s="4">
        <v>41.715364388928769</v>
      </c>
    </row>
    <row r="28" spans="2:6" x14ac:dyDescent="0.3">
      <c r="B28" s="11">
        <v>2025</v>
      </c>
      <c r="C28" s="4">
        <v>42.662266631123217</v>
      </c>
      <c r="D28" s="4">
        <v>42.662266631123217</v>
      </c>
      <c r="E28" s="4">
        <v>42.662266631123217</v>
      </c>
    </row>
    <row r="29" spans="2:6" x14ac:dyDescent="0.3">
      <c r="B29" s="11">
        <v>2026</v>
      </c>
      <c r="C29" s="4">
        <v>43.856251533527278</v>
      </c>
      <c r="D29" s="4">
        <v>43.856251533527278</v>
      </c>
      <c r="E29" s="4">
        <v>43.856251533527278</v>
      </c>
    </row>
    <row r="30" spans="2:6" x14ac:dyDescent="0.3">
      <c r="B30" s="11">
        <v>2027</v>
      </c>
      <c r="C30" s="4">
        <v>45.720325679720375</v>
      </c>
      <c r="D30" s="4">
        <v>45.720325679720375</v>
      </c>
      <c r="E30" s="4">
        <v>45.720325679720375</v>
      </c>
    </row>
    <row r="31" spans="2:6" x14ac:dyDescent="0.3">
      <c r="B31" s="11">
        <v>2028</v>
      </c>
      <c r="C31" s="4">
        <v>45.96997999464925</v>
      </c>
      <c r="D31" s="4">
        <v>45.96997999464925</v>
      </c>
      <c r="E31" s="4">
        <v>45.96997999464925</v>
      </c>
    </row>
    <row r="32" spans="2:6" x14ac:dyDescent="0.3">
      <c r="B32" s="11">
        <v>2029</v>
      </c>
      <c r="C32" s="4">
        <v>45.507534505325083</v>
      </c>
      <c r="D32" s="4">
        <v>45.507534505325083</v>
      </c>
      <c r="E32" s="4">
        <v>45.507534505325083</v>
      </c>
      <c r="F32" s="14">
        <v>1</v>
      </c>
    </row>
    <row r="33" spans="2:5" x14ac:dyDescent="0.3">
      <c r="B33" s="11">
        <v>2030</v>
      </c>
      <c r="C33" s="4">
        <v>45.994639863852179</v>
      </c>
      <c r="D33" s="4">
        <v>45.994639863852179</v>
      </c>
      <c r="E33" s="4">
        <v>45.933174386311386</v>
      </c>
    </row>
    <row r="34" spans="2:5" x14ac:dyDescent="0.3">
      <c r="B34" s="11">
        <v>2031</v>
      </c>
      <c r="C34" s="4">
        <v>46.745755798944231</v>
      </c>
      <c r="D34" s="4">
        <v>46.745755798944231</v>
      </c>
      <c r="E34" s="4">
        <v>46.418514740218889</v>
      </c>
    </row>
    <row r="35" spans="2:5" x14ac:dyDescent="0.3">
      <c r="B35" s="11">
        <v>2032</v>
      </c>
      <c r="C35" s="4">
        <v>47.902018331619956</v>
      </c>
      <c r="D35" s="4">
        <v>47.902018331619956</v>
      </c>
      <c r="E35" s="4">
        <v>47.104209442556346</v>
      </c>
    </row>
    <row r="36" spans="2:5" x14ac:dyDescent="0.3">
      <c r="B36" s="11">
        <v>2033</v>
      </c>
      <c r="C36" s="4">
        <v>49.474451588221683</v>
      </c>
      <c r="D36" s="4">
        <v>49.474451588221683</v>
      </c>
      <c r="E36" s="4">
        <v>47.999684097433367</v>
      </c>
    </row>
    <row r="37" spans="2:5" x14ac:dyDescent="0.3">
      <c r="B37" s="11">
        <v>2034</v>
      </c>
      <c r="C37" s="4">
        <v>51.410059238652636</v>
      </c>
      <c r="D37" s="4">
        <v>51.410059238652636</v>
      </c>
      <c r="E37" s="4">
        <v>49.051191262519097</v>
      </c>
    </row>
    <row r="38" spans="2:5" x14ac:dyDescent="0.3">
      <c r="B38" s="11">
        <v>2035</v>
      </c>
      <c r="C38" s="4">
        <v>53.639633556887688</v>
      </c>
      <c r="D38" s="4">
        <v>53.701117796660959</v>
      </c>
      <c r="E38" s="4">
        <v>50.249860423354633</v>
      </c>
    </row>
    <row r="39" spans="2:5" x14ac:dyDescent="0.3">
      <c r="B39" s="11">
        <v>2036</v>
      </c>
      <c r="C39" s="4">
        <v>55.792886503026232</v>
      </c>
      <c r="D39" s="4">
        <v>56.120496874882129</v>
      </c>
      <c r="E39" s="4">
        <v>51.367500605000295</v>
      </c>
    </row>
    <row r="40" spans="2:5" x14ac:dyDescent="0.3">
      <c r="B40" s="11">
        <v>2037</v>
      </c>
      <c r="C40" s="4">
        <v>58.042324639763123</v>
      </c>
      <c r="D40" s="4">
        <v>58.841610647960806</v>
      </c>
      <c r="E40" s="4">
        <v>52.576022151270948</v>
      </c>
    </row>
    <row r="41" spans="2:5" x14ac:dyDescent="0.3">
      <c r="B41" s="11">
        <v>2038</v>
      </c>
      <c r="C41" s="4">
        <v>60.498660534783376</v>
      </c>
      <c r="D41" s="4">
        <v>61.976415696927958</v>
      </c>
      <c r="E41" s="4">
        <v>53.984387454416094</v>
      </c>
    </row>
    <row r="42" spans="2:5" x14ac:dyDescent="0.3">
      <c r="B42" s="11">
        <v>2039</v>
      </c>
      <c r="C42" s="4">
        <v>63.174159719252209</v>
      </c>
      <c r="D42" s="4">
        <v>65.538623455755371</v>
      </c>
      <c r="E42" s="4">
        <v>55.604207161564709</v>
      </c>
    </row>
    <row r="43" spans="2:5" x14ac:dyDescent="0.3">
      <c r="B43" s="11">
        <v>2040</v>
      </c>
      <c r="C43" s="4">
        <v>66.002794014467909</v>
      </c>
      <c r="D43" s="4">
        <v>69.402024245112983</v>
      </c>
      <c r="E43" s="4">
        <v>57.36990811960613</v>
      </c>
    </row>
    <row r="44" spans="2:5" x14ac:dyDescent="0.3">
      <c r="B44" s="11">
        <v>2041</v>
      </c>
      <c r="C44" s="4">
        <v>68.992727316958778</v>
      </c>
      <c r="D44" s="4">
        <v>73.433192899114474</v>
      </c>
      <c r="E44" s="4">
        <v>59.288947702914477</v>
      </c>
    </row>
    <row r="45" spans="2:5" x14ac:dyDescent="0.3">
      <c r="B45" s="11">
        <v>2042</v>
      </c>
      <c r="C45" s="4">
        <v>72.143805681006384</v>
      </c>
      <c r="D45" s="4">
        <v>77.631997930105612</v>
      </c>
      <c r="E45" s="4">
        <v>61.361772700379511</v>
      </c>
    </row>
    <row r="46" spans="2:5" x14ac:dyDescent="0.3">
      <c r="B46" s="11">
        <v>2043</v>
      </c>
      <c r="C46" s="4">
        <v>75.45883598356383</v>
      </c>
      <c r="D46" s="4">
        <v>82.001960376603847</v>
      </c>
      <c r="E46" s="4">
        <v>63.590078313956241</v>
      </c>
    </row>
    <row r="47" spans="2:5" x14ac:dyDescent="0.3">
      <c r="B47" s="11">
        <v>2044</v>
      </c>
      <c r="C47" s="4">
        <v>78.940304126756189</v>
      </c>
      <c r="D47" s="4">
        <v>86.546222650746401</v>
      </c>
      <c r="E47" s="4">
        <v>65.975526374837159</v>
      </c>
    </row>
    <row r="48" spans="2:5" x14ac:dyDescent="0.3">
      <c r="B48" s="11">
        <v>2045</v>
      </c>
      <c r="C48" s="4">
        <v>82.592221057046871</v>
      </c>
      <c r="D48" s="4">
        <v>91.269323471123343</v>
      </c>
      <c r="E48" s="4">
        <v>68.52158675705931</v>
      </c>
    </row>
    <row r="49" spans="2:5" x14ac:dyDescent="0.3">
      <c r="B49" s="11">
        <v>2046</v>
      </c>
      <c r="C49" s="4">
        <v>86.419370432243412</v>
      </c>
      <c r="D49" s="4">
        <v>96.176872900599307</v>
      </c>
      <c r="E49" s="4">
        <v>71.232018495797817</v>
      </c>
    </row>
    <row r="50" spans="2:5" x14ac:dyDescent="0.3">
      <c r="B50" s="11">
        <v>2047</v>
      </c>
      <c r="C50" s="4">
        <v>90.426369443103468</v>
      </c>
      <c r="D50" s="4">
        <v>101.27421815986915</v>
      </c>
      <c r="E50" s="4">
        <v>74.110622621417249</v>
      </c>
    </row>
    <row r="51" spans="2:5" x14ac:dyDescent="0.3">
      <c r="B51" s="11">
        <v>2048</v>
      </c>
      <c r="C51" s="4">
        <v>94.620476617891711</v>
      </c>
      <c r="D51" s="4">
        <v>106.56942213887524</v>
      </c>
      <c r="E51" s="4">
        <v>77.163750047978127</v>
      </c>
    </row>
    <row r="52" spans="2:5" x14ac:dyDescent="0.3">
      <c r="B52" s="11">
        <v>2049</v>
      </c>
      <c r="C52" s="4">
        <v>99.00777145746747</v>
      </c>
      <c r="D52" s="4">
        <v>112.06963703816788</v>
      </c>
      <c r="E52" s="4">
        <v>80.396203157125271</v>
      </c>
    </row>
    <row r="53" spans="2:5" x14ac:dyDescent="0.3">
      <c r="B53" s="11">
        <v>2050</v>
      </c>
      <c r="C53" s="4">
        <v>103.59208253345477</v>
      </c>
      <c r="D53" s="4">
        <v>117.77920292395542</v>
      </c>
      <c r="E53" s="4">
        <v>83.811376975618685</v>
      </c>
    </row>
    <row r="54" spans="2:5" x14ac:dyDescent="0.3">
      <c r="B54" s="11">
        <v>2051</v>
      </c>
      <c r="C54" s="4">
        <v>108.37763071072106</v>
      </c>
      <c r="D54" s="4">
        <v>123.7027074331759</v>
      </c>
      <c r="E54" s="4">
        <v>87.413239599930208</v>
      </c>
    </row>
    <row r="55" spans="2:5" x14ac:dyDescent="0.3">
      <c r="B55" s="11">
        <v>2052</v>
      </c>
      <c r="C55" s="4">
        <v>113.37678136034725</v>
      </c>
      <c r="D55" s="4">
        <v>129.85412033152468</v>
      </c>
      <c r="E55" s="4">
        <v>91.212184007219591</v>
      </c>
    </row>
    <row r="56" spans="2:5" x14ac:dyDescent="0.3">
      <c r="B56" s="11">
        <v>2053</v>
      </c>
      <c r="C56" s="4">
        <v>118.595341758323</v>
      </c>
      <c r="D56" s="4">
        <v>136.23949269816563</v>
      </c>
      <c r="E56" s="4">
        <v>95.213940140200648</v>
      </c>
    </row>
    <row r="57" spans="2:5" x14ac:dyDescent="0.3">
      <c r="B57" s="11">
        <v>2054</v>
      </c>
      <c r="C57" s="4">
        <v>124.03839608169436</v>
      </c>
      <c r="D57" s="4">
        <v>142.86405139993445</v>
      </c>
      <c r="E57" s="4">
        <v>99.423615958973173</v>
      </c>
    </row>
    <row r="58" spans="2:5" x14ac:dyDescent="0.3">
      <c r="B58" s="11">
        <v>2055</v>
      </c>
      <c r="C58" s="4">
        <v>129.71358707590875</v>
      </c>
      <c r="D58" s="4">
        <v>149.73571625933079</v>
      </c>
      <c r="E58" s="4">
        <v>103.84867170387957</v>
      </c>
    </row>
    <row r="59" spans="2:5" x14ac:dyDescent="0.3">
      <c r="B59" s="11">
        <v>2056</v>
      </c>
      <c r="C59" s="4">
        <v>135.63550650685855</v>
      </c>
      <c r="D59" s="4">
        <v>156.8697917109192</v>
      </c>
      <c r="E59" s="4">
        <v>108.5029364116115</v>
      </c>
    </row>
    <row r="60" spans="2:5" x14ac:dyDescent="0.3">
      <c r="B60" s="11">
        <v>2057</v>
      </c>
      <c r="C60" s="4">
        <v>141.80317962623471</v>
      </c>
      <c r="D60" s="4">
        <v>164.26420432313864</v>
      </c>
      <c r="E60" s="4">
        <v>113.38699152311365</v>
      </c>
    </row>
    <row r="61" spans="2:5" x14ac:dyDescent="0.3">
      <c r="B61" s="11">
        <v>2058</v>
      </c>
      <c r="C61" s="4">
        <v>148.21684127458337</v>
      </c>
      <c r="D61" s="4">
        <v>171.91947323523286</v>
      </c>
      <c r="E61" s="4">
        <v>118.50081341472993</v>
      </c>
    </row>
    <row r="62" spans="2:5" x14ac:dyDescent="0.3">
      <c r="B62" s="11">
        <v>2059</v>
      </c>
      <c r="C62" s="4">
        <v>154.87340162203637</v>
      </c>
      <c r="D62" s="4">
        <v>179.83154510700231</v>
      </c>
      <c r="E62" s="4">
        <v>123.84261298764643</v>
      </c>
    </row>
    <row r="63" spans="2:5" x14ac:dyDescent="0.3">
      <c r="B63" s="11">
        <v>2060</v>
      </c>
      <c r="C63" s="4">
        <v>161.77874586949704</v>
      </c>
      <c r="D63" s="4">
        <v>188.006734395743</v>
      </c>
      <c r="E63" s="4">
        <v>129.41780151596402</v>
      </c>
    </row>
    <row r="64" spans="2:5" x14ac:dyDescent="0.3">
      <c r="B64" s="11">
        <v>2061</v>
      </c>
      <c r="C64" s="4">
        <v>168.92589308825092</v>
      </c>
      <c r="D64" s="4">
        <v>196.43652410466228</v>
      </c>
      <c r="E64" s="4">
        <v>135.22135311025053</v>
      </c>
    </row>
    <row r="65" spans="2:5" x14ac:dyDescent="0.3">
      <c r="B65" s="11">
        <v>2062</v>
      </c>
      <c r="C65" s="4">
        <v>176.32532755945135</v>
      </c>
      <c r="D65" s="4">
        <v>205.1328643441411</v>
      </c>
      <c r="E65" s="4">
        <v>141.26198166225171</v>
      </c>
    </row>
    <row r="66" spans="2:5" x14ac:dyDescent="0.3">
      <c r="B66" s="11">
        <v>2063</v>
      </c>
      <c r="C66" s="4">
        <v>183.97419005984332</v>
      </c>
      <c r="D66" s="4">
        <v>214.09143608044502</v>
      </c>
      <c r="E66" s="4">
        <v>147.53865035224837</v>
      </c>
    </row>
    <row r="67" spans="2:5" x14ac:dyDescent="0.3">
      <c r="B67" s="11">
        <v>2064</v>
      </c>
      <c r="C67" s="4">
        <v>191.87530189258945</v>
      </c>
      <c r="D67" s="4">
        <v>223.31539295065008</v>
      </c>
      <c r="E67" s="4">
        <v>154.05379711186117</v>
      </c>
    </row>
    <row r="68" spans="2:5" x14ac:dyDescent="0.3">
      <c r="B68" s="11">
        <v>2065</v>
      </c>
      <c r="C68" s="4">
        <v>200.04067114934801</v>
      </c>
      <c r="D68" s="4">
        <v>232.81838155023468</v>
      </c>
      <c r="E68" s="4">
        <v>160.81747998204051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2AC8-D0E2-4565-A28D-3A391545872C}">
  <sheetPr codeName="Sheet49"/>
  <dimension ref="B2:L68"/>
  <sheetViews>
    <sheetView showGridLines="0" workbookViewId="0"/>
  </sheetViews>
  <sheetFormatPr defaultColWidth="8.7109375" defaultRowHeight="16.5" x14ac:dyDescent="0.3"/>
  <cols>
    <col min="1" max="16384" width="8.7109375" style="1"/>
  </cols>
  <sheetData>
    <row r="2" spans="2:12" x14ac:dyDescent="0.3">
      <c r="B2" s="9" t="s">
        <v>294</v>
      </c>
      <c r="C2" s="8"/>
      <c r="D2" s="8"/>
      <c r="E2" s="8"/>
      <c r="F2" s="8"/>
      <c r="G2" s="8"/>
      <c r="H2" s="8"/>
      <c r="I2" s="8"/>
      <c r="J2" s="8"/>
      <c r="K2" s="8"/>
      <c r="L2" s="8"/>
    </row>
    <row r="3" spans="2:12" x14ac:dyDescent="0.3">
      <c r="B3" s="8" t="s">
        <v>277</v>
      </c>
      <c r="C3" s="8"/>
      <c r="D3" s="8"/>
      <c r="E3" s="8"/>
      <c r="F3" s="8"/>
      <c r="G3" s="8"/>
      <c r="H3" s="8"/>
      <c r="I3" s="8"/>
      <c r="J3" s="8"/>
      <c r="K3" s="8"/>
      <c r="L3" s="8"/>
    </row>
    <row r="6" spans="2:12" x14ac:dyDescent="0.3">
      <c r="C6" s="1" t="s">
        <v>5</v>
      </c>
      <c r="D6" s="1" t="s">
        <v>59</v>
      </c>
      <c r="E6" s="1" t="s">
        <v>60</v>
      </c>
      <c r="F6" s="14" t="s">
        <v>15</v>
      </c>
    </row>
    <row r="7" spans="2:12" x14ac:dyDescent="0.3">
      <c r="C7" s="1" t="s">
        <v>3</v>
      </c>
      <c r="D7" s="1" t="s">
        <v>3</v>
      </c>
      <c r="E7" s="1" t="s">
        <v>3</v>
      </c>
      <c r="F7" s="14"/>
    </row>
    <row r="8" spans="2:12" x14ac:dyDescent="0.3">
      <c r="B8" s="11">
        <v>2005</v>
      </c>
      <c r="C8" s="4">
        <v>12.6771251833429</v>
      </c>
      <c r="D8" s="4">
        <v>12.6771251833429</v>
      </c>
      <c r="E8" s="4">
        <v>12.6771251833429</v>
      </c>
    </row>
    <row r="9" spans="2:12" x14ac:dyDescent="0.3">
      <c r="B9" s="11">
        <v>2006</v>
      </c>
      <c r="C9" s="4">
        <v>9.8280412020090235</v>
      </c>
      <c r="D9" s="4">
        <v>9.8280412020090235</v>
      </c>
      <c r="E9" s="4">
        <v>9.8280412020090235</v>
      </c>
    </row>
    <row r="10" spans="2:12" x14ac:dyDescent="0.3">
      <c r="B10" s="11">
        <v>2007</v>
      </c>
      <c r="C10" s="4">
        <v>7.5249625063439831</v>
      </c>
      <c r="D10" s="4">
        <v>7.5249625063439831</v>
      </c>
      <c r="E10" s="4">
        <v>7.5249625063439831</v>
      </c>
    </row>
    <row r="11" spans="2:12" x14ac:dyDescent="0.3">
      <c r="B11" s="11">
        <v>2008</v>
      </c>
      <c r="C11" s="4">
        <v>5.4305301887291879</v>
      </c>
      <c r="D11" s="4">
        <v>5.4305301887291879</v>
      </c>
      <c r="E11" s="4">
        <v>5.4305301887291879</v>
      </c>
    </row>
    <row r="12" spans="2:12" x14ac:dyDescent="0.3">
      <c r="B12" s="11">
        <v>2009</v>
      </c>
      <c r="C12" s="4">
        <v>9.0178787783010428</v>
      </c>
      <c r="D12" s="4">
        <v>9.0178787783010428</v>
      </c>
      <c r="E12" s="4">
        <v>9.0178787783010428</v>
      </c>
    </row>
    <row r="13" spans="2:12" x14ac:dyDescent="0.3">
      <c r="B13" s="11">
        <v>2010</v>
      </c>
      <c r="C13" s="4">
        <v>13.54831190810375</v>
      </c>
      <c r="D13" s="4">
        <v>13.54831190810375</v>
      </c>
      <c r="E13" s="4">
        <v>13.54831190810375</v>
      </c>
    </row>
    <row r="14" spans="2:12" x14ac:dyDescent="0.3">
      <c r="B14" s="11">
        <v>2011</v>
      </c>
      <c r="C14" s="4">
        <v>19.470349057244611</v>
      </c>
      <c r="D14" s="4">
        <v>19.470349057244611</v>
      </c>
      <c r="E14" s="4">
        <v>19.470349057244611</v>
      </c>
    </row>
    <row r="15" spans="2:12" x14ac:dyDescent="0.3">
      <c r="B15" s="11">
        <v>2012</v>
      </c>
      <c r="C15" s="4">
        <v>23.546331965594316</v>
      </c>
      <c r="D15" s="4">
        <v>23.546331965594316</v>
      </c>
      <c r="E15" s="4">
        <v>23.546331965594316</v>
      </c>
    </row>
    <row r="16" spans="2:12" x14ac:dyDescent="0.3">
      <c r="B16" s="11">
        <v>2013</v>
      </c>
      <c r="C16" s="4">
        <v>25.474147173822789</v>
      </c>
      <c r="D16" s="4">
        <v>25.474147173822789</v>
      </c>
      <c r="E16" s="4">
        <v>25.474147173822789</v>
      </c>
    </row>
    <row r="17" spans="2:6" x14ac:dyDescent="0.3">
      <c r="B17" s="11">
        <v>2014</v>
      </c>
      <c r="C17" s="4">
        <v>25.281901362997836</v>
      </c>
      <c r="D17" s="4">
        <v>25.281901362997836</v>
      </c>
      <c r="E17" s="4">
        <v>25.281901362997836</v>
      </c>
    </row>
    <row r="18" spans="2:6" x14ac:dyDescent="0.3">
      <c r="B18" s="11">
        <v>2015</v>
      </c>
      <c r="C18" s="4">
        <v>24.659578967918268</v>
      </c>
      <c r="D18" s="4">
        <v>24.659578967918268</v>
      </c>
      <c r="E18" s="4">
        <v>24.659578967918268</v>
      </c>
    </row>
    <row r="19" spans="2:6" x14ac:dyDescent="0.3">
      <c r="B19" s="11">
        <v>2016</v>
      </c>
      <c r="C19" s="4">
        <v>23.898443202576772</v>
      </c>
      <c r="D19" s="4">
        <v>23.898443202576772</v>
      </c>
      <c r="E19" s="4">
        <v>23.898443202576772</v>
      </c>
    </row>
    <row r="20" spans="2:6" x14ac:dyDescent="0.3">
      <c r="B20" s="11">
        <v>2017</v>
      </c>
      <c r="C20" s="4">
        <v>21.560411199234441</v>
      </c>
      <c r="D20" s="4">
        <v>21.560411199234441</v>
      </c>
      <c r="E20" s="4">
        <v>21.560411199234441</v>
      </c>
    </row>
    <row r="21" spans="2:6" x14ac:dyDescent="0.3">
      <c r="B21" s="11">
        <v>2018</v>
      </c>
      <c r="C21" s="4">
        <v>19.436002663809045</v>
      </c>
      <c r="D21" s="4">
        <v>19.436002663809045</v>
      </c>
      <c r="E21" s="4">
        <v>19.436002663809045</v>
      </c>
    </row>
    <row r="22" spans="2:6" x14ac:dyDescent="0.3">
      <c r="B22" s="11">
        <v>2019</v>
      </c>
      <c r="C22" s="4">
        <v>18.593806358530429</v>
      </c>
      <c r="D22" s="4">
        <v>18.593806358530429</v>
      </c>
      <c r="E22" s="4">
        <v>18.593806358530429</v>
      </c>
    </row>
    <row r="23" spans="2:6" x14ac:dyDescent="0.3">
      <c r="B23" s="11">
        <v>2020</v>
      </c>
      <c r="C23" s="4">
        <v>26.249012218580681</v>
      </c>
      <c r="D23" s="4">
        <v>26.249012218580681</v>
      </c>
      <c r="E23" s="4">
        <v>26.249012218580681</v>
      </c>
    </row>
    <row r="24" spans="2:6" x14ac:dyDescent="0.3">
      <c r="B24" s="11">
        <v>2021</v>
      </c>
      <c r="C24" s="4">
        <v>29.726872708529303</v>
      </c>
      <c r="D24" s="4">
        <v>29.726872708529303</v>
      </c>
      <c r="E24" s="4">
        <v>29.726872708529303</v>
      </c>
    </row>
    <row r="25" spans="2:6" x14ac:dyDescent="0.3">
      <c r="B25" s="11">
        <v>2022</v>
      </c>
      <c r="C25" s="4">
        <v>35.238545756816755</v>
      </c>
      <c r="D25" s="4">
        <v>35.238545756816755</v>
      </c>
      <c r="E25" s="4">
        <v>35.238545756816755</v>
      </c>
    </row>
    <row r="26" spans="2:6" x14ac:dyDescent="0.3">
      <c r="B26" s="11">
        <v>2023</v>
      </c>
      <c r="C26" s="4">
        <v>38.668698807362532</v>
      </c>
      <c r="D26" s="4">
        <v>38.668698807362532</v>
      </c>
      <c r="E26" s="4">
        <v>38.668698807362532</v>
      </c>
    </row>
    <row r="27" spans="2:6" x14ac:dyDescent="0.3">
      <c r="B27" s="11">
        <v>2024</v>
      </c>
      <c r="C27" s="4">
        <v>41.715364388928769</v>
      </c>
      <c r="D27" s="4">
        <v>41.715364388928769</v>
      </c>
      <c r="E27" s="4">
        <v>41.715364388928769</v>
      </c>
    </row>
    <row r="28" spans="2:6" x14ac:dyDescent="0.3">
      <c r="B28" s="11">
        <v>2025</v>
      </c>
      <c r="C28" s="4">
        <v>42.662266631123217</v>
      </c>
      <c r="D28" s="4">
        <v>42.662266631123217</v>
      </c>
      <c r="E28" s="4">
        <v>42.662266631123217</v>
      </c>
    </row>
    <row r="29" spans="2:6" x14ac:dyDescent="0.3">
      <c r="B29" s="11">
        <v>2026</v>
      </c>
      <c r="C29" s="4">
        <v>43.856251533527278</v>
      </c>
      <c r="D29" s="4">
        <v>43.856251533527278</v>
      </c>
      <c r="E29" s="4">
        <v>43.856251533527278</v>
      </c>
    </row>
    <row r="30" spans="2:6" x14ac:dyDescent="0.3">
      <c r="B30" s="11">
        <v>2027</v>
      </c>
      <c r="C30" s="4">
        <v>45.720325679720375</v>
      </c>
      <c r="D30" s="4">
        <v>45.720325679720375</v>
      </c>
      <c r="E30" s="4">
        <v>45.720325679720375</v>
      </c>
    </row>
    <row r="31" spans="2:6" x14ac:dyDescent="0.3">
      <c r="B31" s="11">
        <v>2028</v>
      </c>
      <c r="C31" s="4">
        <v>45.96997999464925</v>
      </c>
      <c r="D31" s="4">
        <v>45.96997999464925</v>
      </c>
      <c r="E31" s="4">
        <v>45.96997999464925</v>
      </c>
    </row>
    <row r="32" spans="2:6" x14ac:dyDescent="0.3">
      <c r="B32" s="11">
        <v>2029</v>
      </c>
      <c r="C32" s="4">
        <v>45.507534505325083</v>
      </c>
      <c r="D32" s="4">
        <v>45.507534505325083</v>
      </c>
      <c r="E32" s="4">
        <v>45.507534505325083</v>
      </c>
      <c r="F32" s="51">
        <v>1</v>
      </c>
    </row>
    <row r="33" spans="2:5" x14ac:dyDescent="0.3">
      <c r="B33" s="11">
        <v>2030</v>
      </c>
      <c r="C33" s="4">
        <v>45.994639863852179</v>
      </c>
      <c r="D33" s="4">
        <v>46.563893645725138</v>
      </c>
      <c r="E33" s="4">
        <v>45.423415013653781</v>
      </c>
    </row>
    <row r="34" spans="2:5" x14ac:dyDescent="0.3">
      <c r="B34" s="11">
        <v>2031</v>
      </c>
      <c r="C34" s="4">
        <v>46.745755798944231</v>
      </c>
      <c r="D34" s="4">
        <v>47.938317576430009</v>
      </c>
      <c r="E34" s="4">
        <v>45.673563321401382</v>
      </c>
    </row>
    <row r="35" spans="2:5" x14ac:dyDescent="0.3">
      <c r="B35" s="11">
        <v>2032</v>
      </c>
      <c r="C35" s="4">
        <v>47.902018331619956</v>
      </c>
      <c r="D35" s="4">
        <v>49.749523864663132</v>
      </c>
      <c r="E35" s="4">
        <v>46.370542259306617</v>
      </c>
    </row>
    <row r="36" spans="2:5" x14ac:dyDescent="0.3">
      <c r="B36" s="11">
        <v>2033</v>
      </c>
      <c r="C36" s="4">
        <v>49.474451588221683</v>
      </c>
      <c r="D36" s="4">
        <v>52.015499131142384</v>
      </c>
      <c r="E36" s="4">
        <v>47.526286118167612</v>
      </c>
    </row>
    <row r="37" spans="2:5" x14ac:dyDescent="0.3">
      <c r="B37" s="11">
        <v>2034</v>
      </c>
      <c r="C37" s="4">
        <v>51.410059238652636</v>
      </c>
      <c r="D37" s="4">
        <v>54.633485646867705</v>
      </c>
      <c r="E37" s="4">
        <v>49.039531111762493</v>
      </c>
    </row>
    <row r="38" spans="2:5" x14ac:dyDescent="0.3">
      <c r="B38" s="11">
        <v>2035</v>
      </c>
      <c r="C38" s="4">
        <v>53.639633556887688</v>
      </c>
      <c r="D38" s="4">
        <v>57.537986952988405</v>
      </c>
      <c r="E38" s="4">
        <v>50.843925697739593</v>
      </c>
    </row>
    <row r="39" spans="2:5" x14ac:dyDescent="0.3">
      <c r="B39" s="11">
        <v>2036</v>
      </c>
      <c r="C39" s="4">
        <v>55.792886503026232</v>
      </c>
      <c r="D39" s="4">
        <v>60.557531931970388</v>
      </c>
      <c r="E39" s="4">
        <v>52.767739348832976</v>
      </c>
    </row>
    <row r="40" spans="2:5" x14ac:dyDescent="0.3">
      <c r="B40" s="11">
        <v>2037</v>
      </c>
      <c r="C40" s="4">
        <v>58.042324639763123</v>
      </c>
      <c r="D40" s="4">
        <v>63.671619863510124</v>
      </c>
      <c r="E40" s="4">
        <v>54.789448723064993</v>
      </c>
    </row>
    <row r="41" spans="2:5" x14ac:dyDescent="0.3">
      <c r="B41" s="11">
        <v>2038</v>
      </c>
      <c r="C41" s="4">
        <v>60.498660534783376</v>
      </c>
      <c r="D41" s="4">
        <v>66.899894049429804</v>
      </c>
      <c r="E41" s="4">
        <v>56.925623326498595</v>
      </c>
    </row>
    <row r="42" spans="2:5" x14ac:dyDescent="0.3">
      <c r="B42" s="11">
        <v>2039</v>
      </c>
      <c r="C42" s="4">
        <v>63.174159719252209</v>
      </c>
      <c r="D42" s="4">
        <v>70.249547000628027</v>
      </c>
      <c r="E42" s="4">
        <v>59.182474773313132</v>
      </c>
    </row>
    <row r="43" spans="2:5" x14ac:dyDescent="0.3">
      <c r="B43" s="11">
        <v>2040</v>
      </c>
      <c r="C43" s="4">
        <v>66.002794014467909</v>
      </c>
      <c r="D43" s="4">
        <v>73.745885815045185</v>
      </c>
      <c r="E43" s="4">
        <v>61.5860879685345</v>
      </c>
    </row>
    <row r="44" spans="2:5" x14ac:dyDescent="0.3">
      <c r="B44" s="11">
        <v>2041</v>
      </c>
      <c r="C44" s="4">
        <v>68.992727316958778</v>
      </c>
      <c r="D44" s="4">
        <v>77.399036183084348</v>
      </c>
      <c r="E44" s="4">
        <v>64.145510432808948</v>
      </c>
    </row>
    <row r="45" spans="2:5" x14ac:dyDescent="0.3">
      <c r="B45" s="11">
        <v>2042</v>
      </c>
      <c r="C45" s="4">
        <v>72.143805681006384</v>
      </c>
      <c r="D45" s="4">
        <v>81.204130173611048</v>
      </c>
      <c r="E45" s="4">
        <v>66.856740086103272</v>
      </c>
    </row>
    <row r="46" spans="2:5" x14ac:dyDescent="0.3">
      <c r="B46" s="11">
        <v>2043</v>
      </c>
      <c r="C46" s="4">
        <v>75.45883598356383</v>
      </c>
      <c r="D46" s="4">
        <v>85.168123236985153</v>
      </c>
      <c r="E46" s="4">
        <v>69.725132426349973</v>
      </c>
    </row>
    <row r="47" spans="2:5" x14ac:dyDescent="0.3">
      <c r="B47" s="11">
        <v>2044</v>
      </c>
      <c r="C47" s="4">
        <v>78.940304126756189</v>
      </c>
      <c r="D47" s="4">
        <v>89.295746602426277</v>
      </c>
      <c r="E47" s="4">
        <v>72.754242733853275</v>
      </c>
    </row>
    <row r="48" spans="2:5" x14ac:dyDescent="0.3">
      <c r="B48" s="11">
        <v>2045</v>
      </c>
      <c r="C48" s="4">
        <v>82.592221057046871</v>
      </c>
      <c r="D48" s="4">
        <v>93.591894439479177</v>
      </c>
      <c r="E48" s="4">
        <v>75.948187442121522</v>
      </c>
    </row>
    <row r="49" spans="2:5" x14ac:dyDescent="0.3">
      <c r="B49" s="11">
        <v>2046</v>
      </c>
      <c r="C49" s="4">
        <v>86.419370432243412</v>
      </c>
      <c r="D49" s="4">
        <v>98.063916789585164</v>
      </c>
      <c r="E49" s="4">
        <v>79.312909938371462</v>
      </c>
    </row>
    <row r="50" spans="2:5" x14ac:dyDescent="0.3">
      <c r="B50" s="11">
        <v>2047</v>
      </c>
      <c r="C50" s="4">
        <v>90.426369443103468</v>
      </c>
      <c r="D50" s="4">
        <v>102.71802023313532</v>
      </c>
      <c r="E50" s="4">
        <v>82.853494048034648</v>
      </c>
    </row>
    <row r="51" spans="2:5" x14ac:dyDescent="0.3">
      <c r="B51" s="11">
        <v>2048</v>
      </c>
      <c r="C51" s="4">
        <v>94.620476617891711</v>
      </c>
      <c r="D51" s="4">
        <v>107.56321809931559</v>
      </c>
      <c r="E51" s="4">
        <v>86.577725583831921</v>
      </c>
    </row>
    <row r="52" spans="2:5" x14ac:dyDescent="0.3">
      <c r="B52" s="11">
        <v>2049</v>
      </c>
      <c r="C52" s="4">
        <v>99.00777145746747</v>
      </c>
      <c r="D52" s="4">
        <v>112.6083092146563</v>
      </c>
      <c r="E52" s="4">
        <v>90.492722761461778</v>
      </c>
    </row>
    <row r="53" spans="2:5" x14ac:dyDescent="0.3">
      <c r="B53" s="11">
        <v>2050</v>
      </c>
      <c r="C53" s="4">
        <v>103.59208253345477</v>
      </c>
      <c r="D53" s="4">
        <v>117.85722883744596</v>
      </c>
      <c r="E53" s="4">
        <v>94.60179633977252</v>
      </c>
    </row>
    <row r="54" spans="2:5" x14ac:dyDescent="0.3">
      <c r="B54" s="11">
        <v>2051</v>
      </c>
      <c r="C54" s="4">
        <v>108.37763071072106</v>
      </c>
      <c r="D54" s="4">
        <v>123.31388490223496</v>
      </c>
      <c r="E54" s="4">
        <v>98.90846437772376</v>
      </c>
    </row>
    <row r="55" spans="2:5" x14ac:dyDescent="0.3">
      <c r="B55" s="11">
        <v>2052</v>
      </c>
      <c r="C55" s="4">
        <v>113.37678136034725</v>
      </c>
      <c r="D55" s="4">
        <v>128.99484019253845</v>
      </c>
      <c r="E55" s="4">
        <v>103.4268333230609</v>
      </c>
    </row>
    <row r="56" spans="2:5" x14ac:dyDescent="0.3">
      <c r="B56" s="11">
        <v>2053</v>
      </c>
      <c r="C56" s="4">
        <v>118.595341758323</v>
      </c>
      <c r="D56" s="4">
        <v>134.90510760268526</v>
      </c>
      <c r="E56" s="4">
        <v>108.16172899445202</v>
      </c>
    </row>
    <row r="57" spans="2:5" x14ac:dyDescent="0.3">
      <c r="B57" s="11">
        <v>2054</v>
      </c>
      <c r="C57" s="4">
        <v>124.03839608169436</v>
      </c>
      <c r="D57" s="4">
        <v>141.04886742186929</v>
      </c>
      <c r="E57" s="4">
        <v>113.1172796773634</v>
      </c>
    </row>
    <row r="58" spans="2:5" x14ac:dyDescent="0.3">
      <c r="B58" s="11">
        <v>2055</v>
      </c>
      <c r="C58" s="4">
        <v>129.71358707590875</v>
      </c>
      <c r="D58" s="4">
        <v>147.43344937521076</v>
      </c>
      <c r="E58" s="4">
        <v>118.30053541647823</v>
      </c>
    </row>
    <row r="59" spans="2:5" x14ac:dyDescent="0.3">
      <c r="B59" s="11">
        <v>2056</v>
      </c>
      <c r="C59" s="4">
        <v>135.63550650685855</v>
      </c>
      <c r="D59" s="4">
        <v>154.07446463086606</v>
      </c>
      <c r="E59" s="4">
        <v>123.72616446696247</v>
      </c>
    </row>
    <row r="60" spans="2:5" x14ac:dyDescent="0.3">
      <c r="B60" s="11">
        <v>2057</v>
      </c>
      <c r="C60" s="4">
        <v>141.80317962623471</v>
      </c>
      <c r="D60" s="4">
        <v>160.96702425826115</v>
      </c>
      <c r="E60" s="4">
        <v>129.39101386924332</v>
      </c>
    </row>
    <row r="61" spans="2:5" x14ac:dyDescent="0.3">
      <c r="B61" s="11">
        <v>2058</v>
      </c>
      <c r="C61" s="4">
        <v>148.21684127458337</v>
      </c>
      <c r="D61" s="4">
        <v>168.11144915437933</v>
      </c>
      <c r="E61" s="4">
        <v>135.29508752574736</v>
      </c>
    </row>
    <row r="62" spans="2:5" x14ac:dyDescent="0.3">
      <c r="B62" s="11">
        <v>2059</v>
      </c>
      <c r="C62" s="4">
        <v>154.87340162203637</v>
      </c>
      <c r="D62" s="4">
        <v>175.50166892289286</v>
      </c>
      <c r="E62" s="4">
        <v>141.43377386442091</v>
      </c>
    </row>
    <row r="63" spans="2:5" x14ac:dyDescent="0.3">
      <c r="B63" s="11">
        <v>2060</v>
      </c>
      <c r="C63" s="4">
        <v>161.77874586949704</v>
      </c>
      <c r="D63" s="4">
        <v>183.14418491273761</v>
      </c>
      <c r="E63" s="4">
        <v>147.81304896134594</v>
      </c>
    </row>
    <row r="64" spans="2:5" x14ac:dyDescent="0.3">
      <c r="B64" s="11">
        <v>2061</v>
      </c>
      <c r="C64" s="4">
        <v>168.92589308825092</v>
      </c>
      <c r="D64" s="4">
        <v>191.02809029012295</v>
      </c>
      <c r="E64" s="4">
        <v>154.42420222248722</v>
      </c>
    </row>
    <row r="65" spans="2:5" x14ac:dyDescent="0.3">
      <c r="B65" s="11">
        <v>2062</v>
      </c>
      <c r="C65" s="4">
        <v>176.32532755945135</v>
      </c>
      <c r="D65" s="4">
        <v>199.16689757580028</v>
      </c>
      <c r="E65" s="4">
        <v>161.27881486658785</v>
      </c>
    </row>
    <row r="66" spans="2:5" x14ac:dyDescent="0.3">
      <c r="B66" s="11">
        <v>2063</v>
      </c>
      <c r="C66" s="4">
        <v>183.97419005984332</v>
      </c>
      <c r="D66" s="4">
        <v>207.5543044856706</v>
      </c>
      <c r="E66" s="4">
        <v>168.37261741229605</v>
      </c>
    </row>
    <row r="67" spans="2:5" x14ac:dyDescent="0.3">
      <c r="B67" s="11">
        <v>2064</v>
      </c>
      <c r="C67" s="4">
        <v>191.87530189258945</v>
      </c>
      <c r="D67" s="4">
        <v>216.1936411495725</v>
      </c>
      <c r="E67" s="4">
        <v>175.70856268316325</v>
      </c>
    </row>
    <row r="68" spans="2:5" x14ac:dyDescent="0.3">
      <c r="B68" s="11">
        <v>2065</v>
      </c>
      <c r="C68" s="4">
        <v>200.04067114934801</v>
      </c>
      <c r="D68" s="4">
        <v>225.10001247804135</v>
      </c>
      <c r="E68" s="4">
        <v>183.29966250061474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E922F-B3DA-4FE8-AC31-F92CC3137093}">
  <sheetPr codeName="Sheet51"/>
  <dimension ref="B2:K47"/>
  <sheetViews>
    <sheetView workbookViewId="0"/>
  </sheetViews>
  <sheetFormatPr defaultColWidth="8.7109375" defaultRowHeight="16.5" x14ac:dyDescent="0.3"/>
  <cols>
    <col min="1" max="2" width="8.7109375" style="1"/>
    <col min="3" max="3" width="14.7109375" style="1" customWidth="1"/>
    <col min="4" max="4" width="15.85546875" style="1" customWidth="1"/>
    <col min="5" max="5" width="17.5703125" style="1" customWidth="1"/>
    <col min="6" max="16384" width="8.7109375" style="1"/>
  </cols>
  <sheetData>
    <row r="2" spans="2:11" x14ac:dyDescent="0.3">
      <c r="B2" s="18" t="s">
        <v>295</v>
      </c>
      <c r="C2" s="32"/>
      <c r="D2" s="32"/>
      <c r="E2" s="32"/>
      <c r="F2" s="32"/>
      <c r="G2" s="32"/>
    </row>
    <row r="3" spans="2:11" x14ac:dyDescent="0.3">
      <c r="B3" s="32" t="s">
        <v>293</v>
      </c>
      <c r="C3" s="32"/>
      <c r="D3" s="32"/>
      <c r="E3" s="32"/>
      <c r="F3" s="32"/>
      <c r="G3" s="32"/>
    </row>
    <row r="5" spans="2:11" s="35" customFormat="1" ht="33" x14ac:dyDescent="0.3">
      <c r="C5" s="35" t="s">
        <v>5</v>
      </c>
      <c r="D5" s="35" t="s">
        <v>267</v>
      </c>
      <c r="E5" s="35" t="s">
        <v>268</v>
      </c>
    </row>
    <row r="6" spans="2:11" s="35" customFormat="1" x14ac:dyDescent="0.3">
      <c r="C6" s="35" t="s">
        <v>3</v>
      </c>
      <c r="D6" s="35" t="s">
        <v>3</v>
      </c>
      <c r="E6" s="35" t="s">
        <v>3</v>
      </c>
    </row>
    <row r="7" spans="2:11" x14ac:dyDescent="0.3">
      <c r="B7" s="1">
        <v>2025</v>
      </c>
      <c r="C7" s="4">
        <v>29.676416944380101</v>
      </c>
      <c r="D7" s="4">
        <v>29.665555109882799</v>
      </c>
      <c r="E7" s="4">
        <v>29.731920536568101</v>
      </c>
      <c r="H7" s="4"/>
      <c r="I7" s="4"/>
      <c r="J7" s="4"/>
      <c r="K7" s="4"/>
    </row>
    <row r="8" spans="2:11" x14ac:dyDescent="0.3">
      <c r="B8" s="1">
        <v>2026</v>
      </c>
      <c r="C8" s="4">
        <v>29.928874046000601</v>
      </c>
      <c r="D8" s="4">
        <v>29.916152790780799</v>
      </c>
      <c r="E8" s="4">
        <v>29.9718453480927</v>
      </c>
      <c r="H8" s="4"/>
      <c r="I8" s="4"/>
      <c r="J8" s="4"/>
      <c r="K8" s="4"/>
    </row>
    <row r="9" spans="2:11" x14ac:dyDescent="0.3">
      <c r="B9" s="1">
        <v>2027</v>
      </c>
      <c r="C9" s="4">
        <v>30.189998400743999</v>
      </c>
      <c r="D9" s="4">
        <v>30.210827510820401</v>
      </c>
      <c r="E9" s="4">
        <v>30.213883016094599</v>
      </c>
      <c r="H9" s="4"/>
      <c r="I9" s="4"/>
      <c r="J9" s="4"/>
      <c r="K9" s="4"/>
    </row>
    <row r="10" spans="2:11" x14ac:dyDescent="0.3">
      <c r="B10" s="1">
        <v>2028</v>
      </c>
      <c r="C10" s="4">
        <v>30.4281416226092</v>
      </c>
      <c r="D10" s="4">
        <v>30.481266307141301</v>
      </c>
      <c r="E10" s="4">
        <v>30.4289219455443</v>
      </c>
      <c r="H10" s="4"/>
      <c r="I10" s="4"/>
      <c r="J10" s="4"/>
      <c r="K10" s="4"/>
    </row>
    <row r="11" spans="2:11" x14ac:dyDescent="0.3">
      <c r="B11" s="1">
        <v>2029</v>
      </c>
      <c r="C11" s="4">
        <v>30.6427259021557</v>
      </c>
      <c r="D11" s="4">
        <v>30.726374107976401</v>
      </c>
      <c r="E11" s="4">
        <v>30.616408835000001</v>
      </c>
      <c r="H11" s="4"/>
      <c r="I11" s="4"/>
      <c r="J11" s="4"/>
      <c r="K11" s="4"/>
    </row>
    <row r="12" spans="2:11" x14ac:dyDescent="0.3">
      <c r="B12" s="1">
        <v>2030</v>
      </c>
      <c r="C12" s="4">
        <v>30.835036097865501</v>
      </c>
      <c r="D12" s="4">
        <v>30.948290368561398</v>
      </c>
      <c r="E12" s="4">
        <v>30.7785998124568</v>
      </c>
      <c r="H12" s="4"/>
      <c r="I12" s="4"/>
      <c r="J12" s="4"/>
      <c r="K12" s="4"/>
    </row>
    <row r="13" spans="2:11" x14ac:dyDescent="0.3">
      <c r="B13" s="1">
        <v>2031</v>
      </c>
      <c r="C13" s="4">
        <v>31.007685578400402</v>
      </c>
      <c r="D13" s="4">
        <v>31.149541316795201</v>
      </c>
      <c r="E13" s="4">
        <v>30.919365166104001</v>
      </c>
      <c r="H13" s="4"/>
      <c r="I13" s="4"/>
      <c r="J13" s="4"/>
      <c r="K13" s="4"/>
    </row>
    <row r="14" spans="2:11" x14ac:dyDescent="0.3">
      <c r="B14" s="1">
        <v>2032</v>
      </c>
      <c r="C14" s="4">
        <v>31.184813352474201</v>
      </c>
      <c r="D14" s="4">
        <v>31.3455104825963</v>
      </c>
      <c r="E14" s="4">
        <v>31.063455832552901</v>
      </c>
      <c r="H14" s="4"/>
      <c r="I14" s="4"/>
      <c r="J14" s="4"/>
      <c r="K14" s="4"/>
    </row>
    <row r="15" spans="2:11" x14ac:dyDescent="0.3">
      <c r="B15" s="1">
        <v>2033</v>
      </c>
      <c r="C15" s="4">
        <v>31.354120603122901</v>
      </c>
      <c r="D15" s="4">
        <v>31.532798916610599</v>
      </c>
      <c r="E15" s="4">
        <v>31.1990265035801</v>
      </c>
      <c r="H15" s="4"/>
      <c r="I15" s="4"/>
      <c r="J15" s="4"/>
      <c r="K15" s="4"/>
    </row>
    <row r="16" spans="2:11" x14ac:dyDescent="0.3">
      <c r="B16" s="1">
        <v>2034</v>
      </c>
      <c r="C16" s="4">
        <v>31.523842885270501</v>
      </c>
      <c r="D16" s="4">
        <v>31.719498993065098</v>
      </c>
      <c r="E16" s="4">
        <v>31.3345309037446</v>
      </c>
      <c r="H16" s="4"/>
      <c r="I16" s="4"/>
      <c r="J16" s="4"/>
      <c r="K16" s="4"/>
    </row>
    <row r="17" spans="2:11" x14ac:dyDescent="0.3">
      <c r="B17" s="1">
        <v>2035</v>
      </c>
      <c r="C17" s="4">
        <v>31.6869981832678</v>
      </c>
      <c r="D17" s="4">
        <v>31.8990562461317</v>
      </c>
      <c r="E17" s="4">
        <v>31.463030744744799</v>
      </c>
      <c r="H17" s="4"/>
      <c r="I17" s="4"/>
      <c r="J17" s="4"/>
      <c r="K17" s="4"/>
    </row>
    <row r="18" spans="2:11" x14ac:dyDescent="0.3">
      <c r="B18" s="1">
        <v>2036</v>
      </c>
      <c r="C18" s="4">
        <v>31.8590914660899</v>
      </c>
      <c r="D18" s="4">
        <v>32.0871086107108</v>
      </c>
      <c r="E18" s="4">
        <v>31.6003349035425</v>
      </c>
      <c r="H18" s="4"/>
      <c r="I18" s="4"/>
      <c r="J18" s="4"/>
      <c r="K18" s="4"/>
    </row>
    <row r="19" spans="2:11" x14ac:dyDescent="0.3">
      <c r="B19" s="1">
        <v>2037</v>
      </c>
      <c r="C19" s="4">
        <v>32.023098996903997</v>
      </c>
      <c r="D19" s="4">
        <v>32.270899890312698</v>
      </c>
      <c r="E19" s="4">
        <v>31.729326847705501</v>
      </c>
      <c r="H19" s="4"/>
      <c r="I19" s="4"/>
      <c r="J19" s="4"/>
      <c r="K19" s="4"/>
    </row>
    <row r="20" spans="2:11" x14ac:dyDescent="0.3">
      <c r="B20" s="1">
        <v>2038</v>
      </c>
      <c r="C20" s="4">
        <v>32.162156665916299</v>
      </c>
      <c r="D20" s="4">
        <v>32.4289321713254</v>
      </c>
      <c r="E20" s="4">
        <v>31.833866034911399</v>
      </c>
      <c r="H20" s="4"/>
      <c r="I20" s="4"/>
      <c r="J20" s="4"/>
      <c r="K20" s="4"/>
    </row>
    <row r="21" spans="2:11" x14ac:dyDescent="0.3">
      <c r="B21" s="1">
        <v>2039</v>
      </c>
      <c r="C21" s="4">
        <v>32.284610051144298</v>
      </c>
      <c r="D21" s="4">
        <v>32.569411387626097</v>
      </c>
      <c r="E21" s="4">
        <v>31.922265083749</v>
      </c>
      <c r="H21" s="4"/>
      <c r="I21" s="4"/>
      <c r="J21" s="4"/>
      <c r="K21" s="4"/>
    </row>
    <row r="22" spans="2:11" x14ac:dyDescent="0.3">
      <c r="B22" s="1">
        <v>2040</v>
      </c>
      <c r="C22" s="4">
        <v>32.380436692449202</v>
      </c>
      <c r="D22" s="4">
        <v>32.682605695313796</v>
      </c>
      <c r="E22" s="4">
        <v>31.9848638495777</v>
      </c>
      <c r="H22" s="4"/>
      <c r="I22" s="4"/>
      <c r="J22" s="4"/>
      <c r="K22" s="4"/>
    </row>
    <row r="23" spans="2:11" x14ac:dyDescent="0.3">
      <c r="B23" s="1">
        <v>2041</v>
      </c>
      <c r="C23" s="4">
        <v>32.463091351956201</v>
      </c>
      <c r="D23" s="4">
        <v>32.781936813958502</v>
      </c>
      <c r="E23" s="4">
        <v>32.034564893659798</v>
      </c>
      <c r="H23" s="4"/>
      <c r="I23" s="4"/>
      <c r="J23" s="4"/>
      <c r="K23" s="4"/>
    </row>
    <row r="24" spans="2:11" x14ac:dyDescent="0.3">
      <c r="B24" s="1">
        <v>2042</v>
      </c>
      <c r="C24" s="4">
        <v>32.542591258502299</v>
      </c>
      <c r="D24" s="4">
        <v>32.886305443717298</v>
      </c>
      <c r="E24" s="4">
        <v>32.081761932754503</v>
      </c>
      <c r="H24" s="4"/>
      <c r="I24" s="4"/>
      <c r="J24" s="4"/>
      <c r="K24" s="4"/>
    </row>
    <row r="25" spans="2:11" x14ac:dyDescent="0.3">
      <c r="B25" s="1">
        <v>2043</v>
      </c>
      <c r="C25" s="4">
        <v>32.610737655057299</v>
      </c>
      <c r="D25" s="4">
        <v>32.978494052305599</v>
      </c>
      <c r="E25" s="4">
        <v>32.1183900150913</v>
      </c>
      <c r="H25" s="4"/>
      <c r="I25" s="4"/>
      <c r="J25" s="4"/>
      <c r="K25" s="4"/>
    </row>
    <row r="26" spans="2:11" x14ac:dyDescent="0.3">
      <c r="B26" s="1">
        <v>2044</v>
      </c>
      <c r="C26" s="4">
        <v>32.7050422790224</v>
      </c>
      <c r="D26" s="4">
        <v>33.096130783468801</v>
      </c>
      <c r="E26" s="4">
        <v>32.180991146722597</v>
      </c>
      <c r="H26" s="4"/>
      <c r="I26" s="4"/>
      <c r="J26" s="4"/>
      <c r="K26" s="4"/>
    </row>
    <row r="27" spans="2:11" x14ac:dyDescent="0.3">
      <c r="B27" s="1">
        <v>2045</v>
      </c>
      <c r="C27" s="4">
        <v>32.811507913238103</v>
      </c>
      <c r="D27" s="4">
        <v>33.225474469782398</v>
      </c>
      <c r="E27" s="4">
        <v>32.256344885080701</v>
      </c>
      <c r="H27" s="4"/>
      <c r="I27" s="4"/>
      <c r="J27" s="4"/>
      <c r="K27" s="4"/>
    </row>
    <row r="28" spans="2:11" x14ac:dyDescent="0.3">
      <c r="B28" s="1">
        <v>2046</v>
      </c>
      <c r="C28" s="4">
        <v>32.922527784016303</v>
      </c>
      <c r="D28" s="4">
        <v>33.359235242205699</v>
      </c>
      <c r="E28" s="4">
        <v>32.337370177557197</v>
      </c>
      <c r="H28" s="4"/>
      <c r="I28" s="4"/>
      <c r="J28" s="4"/>
      <c r="K28" s="4"/>
    </row>
    <row r="29" spans="2:11" x14ac:dyDescent="0.3">
      <c r="B29" s="1">
        <v>2047</v>
      </c>
      <c r="C29" s="4">
        <v>33.046957514219599</v>
      </c>
      <c r="D29" s="4">
        <v>33.514338876689699</v>
      </c>
      <c r="E29" s="4">
        <v>32.432399501142697</v>
      </c>
      <c r="H29" s="4"/>
      <c r="I29" s="4"/>
      <c r="J29" s="4"/>
      <c r="K29" s="4"/>
    </row>
    <row r="30" spans="2:11" x14ac:dyDescent="0.3">
      <c r="B30" s="1">
        <v>2048</v>
      </c>
      <c r="C30" s="4">
        <v>33.184922171926502</v>
      </c>
      <c r="D30" s="4">
        <v>33.608195275901103</v>
      </c>
      <c r="E30" s="4">
        <v>32.5415464205172</v>
      </c>
      <c r="H30" s="4"/>
      <c r="I30" s="4"/>
      <c r="J30" s="4"/>
      <c r="K30" s="4"/>
    </row>
    <row r="31" spans="2:11" x14ac:dyDescent="0.3">
      <c r="B31" s="1">
        <v>2049</v>
      </c>
      <c r="C31" s="4">
        <v>33.331339768809002</v>
      </c>
      <c r="D31" s="4">
        <v>33.706102953731097</v>
      </c>
      <c r="E31" s="4">
        <v>32.659940989692998</v>
      </c>
      <c r="H31" s="4"/>
      <c r="I31" s="4"/>
      <c r="J31" s="4"/>
      <c r="K31" s="4"/>
    </row>
    <row r="32" spans="2:11" x14ac:dyDescent="0.3">
      <c r="B32" s="1">
        <v>2050</v>
      </c>
      <c r="C32" s="4">
        <v>33.486651659364497</v>
      </c>
      <c r="D32" s="4">
        <v>33.809269751811797</v>
      </c>
      <c r="E32" s="4">
        <v>32.787482007838904</v>
      </c>
      <c r="H32" s="4"/>
      <c r="I32" s="4"/>
      <c r="J32" s="4"/>
      <c r="K32" s="4"/>
    </row>
    <row r="33" spans="2:11" x14ac:dyDescent="0.3">
      <c r="B33" s="1">
        <v>2051</v>
      </c>
      <c r="C33" s="4">
        <v>33.652530297584001</v>
      </c>
      <c r="D33" s="4">
        <v>33.919696570754702</v>
      </c>
      <c r="E33" s="4">
        <v>32.926141671222098</v>
      </c>
      <c r="H33" s="4"/>
      <c r="I33" s="4"/>
      <c r="J33" s="4"/>
      <c r="K33" s="4"/>
    </row>
    <row r="34" spans="2:11" x14ac:dyDescent="0.3">
      <c r="B34" s="1">
        <v>2052</v>
      </c>
      <c r="C34" s="4">
        <v>33.841671989104903</v>
      </c>
      <c r="D34" s="4">
        <v>34.055159300621902</v>
      </c>
      <c r="E34" s="4">
        <v>33.087407471603399</v>
      </c>
      <c r="H34" s="4"/>
      <c r="I34" s="4"/>
      <c r="J34" s="4"/>
      <c r="K34" s="4"/>
    </row>
    <row r="35" spans="2:11" x14ac:dyDescent="0.3">
      <c r="B35" s="1">
        <v>2053</v>
      </c>
      <c r="C35" s="4">
        <v>34.0529544570567</v>
      </c>
      <c r="D35" s="4">
        <v>34.2077684041098</v>
      </c>
      <c r="E35" s="4">
        <v>33.270606852085898</v>
      </c>
      <c r="H35" s="4"/>
      <c r="I35" s="4"/>
      <c r="J35" s="4"/>
      <c r="K35" s="4"/>
    </row>
    <row r="36" spans="2:11" x14ac:dyDescent="0.3">
      <c r="B36" s="1">
        <v>2054</v>
      </c>
      <c r="C36" s="4">
        <v>34.274829623806603</v>
      </c>
      <c r="D36" s="4">
        <v>34.366160407910598</v>
      </c>
      <c r="E36" s="4">
        <v>33.464406316193902</v>
      </c>
      <c r="H36" s="4"/>
      <c r="I36" s="4"/>
      <c r="J36" s="4"/>
      <c r="K36" s="4"/>
    </row>
    <row r="37" spans="2:11" x14ac:dyDescent="0.3">
      <c r="B37" s="1">
        <v>2055</v>
      </c>
      <c r="C37" s="4">
        <v>34.517453148028402</v>
      </c>
      <c r="D37" s="4">
        <v>34.539989693419002</v>
      </c>
      <c r="E37" s="4">
        <v>33.679398644466801</v>
      </c>
      <c r="H37" s="4"/>
      <c r="I37" s="4"/>
      <c r="J37" s="4"/>
      <c r="K37" s="4"/>
    </row>
    <row r="38" spans="2:11" x14ac:dyDescent="0.3">
      <c r="B38" s="1">
        <v>2056</v>
      </c>
      <c r="C38" s="4">
        <v>34.770975021068402</v>
      </c>
      <c r="D38" s="4">
        <v>34.719429475127697</v>
      </c>
      <c r="E38" s="4">
        <v>33.905937805722303</v>
      </c>
      <c r="H38" s="4"/>
      <c r="I38" s="4"/>
      <c r="J38" s="4"/>
      <c r="K38" s="4"/>
    </row>
    <row r="39" spans="2:11" x14ac:dyDescent="0.3">
      <c r="B39" s="1">
        <v>2057</v>
      </c>
      <c r="C39" s="4">
        <v>35.019370878839297</v>
      </c>
      <c r="D39" s="4">
        <v>34.895646031268903</v>
      </c>
      <c r="E39" s="4">
        <v>34.128129625895099</v>
      </c>
      <c r="H39" s="4"/>
      <c r="I39" s="4"/>
      <c r="J39" s="4"/>
      <c r="K39" s="4"/>
    </row>
    <row r="40" spans="2:11" x14ac:dyDescent="0.3">
      <c r="B40" s="1">
        <v>2058</v>
      </c>
      <c r="C40" s="4">
        <v>35.2558693562044</v>
      </c>
      <c r="D40" s="4">
        <v>35.055921960056402</v>
      </c>
      <c r="E40" s="4">
        <v>34.339308671476303</v>
      </c>
      <c r="H40" s="4"/>
      <c r="I40" s="4"/>
      <c r="J40" s="4"/>
      <c r="K40" s="4"/>
    </row>
    <row r="41" spans="2:11" x14ac:dyDescent="0.3">
      <c r="B41" s="1">
        <v>2059</v>
      </c>
      <c r="C41" s="4">
        <v>35.473547181345701</v>
      </c>
      <c r="D41" s="4">
        <v>35.194190263384698</v>
      </c>
      <c r="E41" s="4">
        <v>34.532796794105998</v>
      </c>
      <c r="H41" s="4"/>
      <c r="I41" s="4"/>
      <c r="J41" s="4"/>
      <c r="K41" s="4"/>
    </row>
    <row r="42" spans="2:11" x14ac:dyDescent="0.3">
      <c r="B42" s="1">
        <v>2060</v>
      </c>
      <c r="C42" s="4">
        <v>35.685030474086503</v>
      </c>
      <c r="D42" s="4">
        <v>35.322856186280802</v>
      </c>
      <c r="E42" s="4">
        <v>34.721017238645999</v>
      </c>
      <c r="H42" s="4"/>
      <c r="I42" s="4"/>
      <c r="J42" s="4"/>
      <c r="K42" s="4"/>
    </row>
    <row r="43" spans="2:11" x14ac:dyDescent="0.3">
      <c r="B43" s="1">
        <v>2061</v>
      </c>
      <c r="C43" s="4">
        <v>35.882418251360399</v>
      </c>
      <c r="D43" s="4">
        <v>35.434851113152803</v>
      </c>
      <c r="E43" s="4">
        <v>34.896133898223503</v>
      </c>
      <c r="H43" s="4"/>
      <c r="I43" s="4"/>
      <c r="J43" s="4"/>
      <c r="K43" s="4"/>
    </row>
    <row r="44" spans="2:11" x14ac:dyDescent="0.3">
      <c r="B44" s="1">
        <v>2062</v>
      </c>
      <c r="C44" s="4">
        <v>36.066672098440797</v>
      </c>
      <c r="D44" s="4">
        <v>35.535341071964197</v>
      </c>
      <c r="E44" s="4">
        <v>35.059336275182702</v>
      </c>
      <c r="H44" s="4"/>
      <c r="I44" s="4"/>
      <c r="J44" s="4"/>
      <c r="K44" s="4"/>
    </row>
    <row r="45" spans="2:11" x14ac:dyDescent="0.3">
      <c r="B45" s="1">
        <v>2063</v>
      </c>
      <c r="C45" s="4">
        <v>36.243258564924297</v>
      </c>
      <c r="D45" s="4">
        <v>35.625614994666797</v>
      </c>
      <c r="E45" s="4">
        <v>35.2159685802282</v>
      </c>
      <c r="H45" s="4"/>
      <c r="I45" s="4"/>
      <c r="J45" s="4"/>
      <c r="K45" s="4"/>
    </row>
    <row r="46" spans="2:11" x14ac:dyDescent="0.3">
      <c r="B46" s="1">
        <v>2064</v>
      </c>
      <c r="C46" s="4">
        <v>36.404628059099799</v>
      </c>
      <c r="D46" s="4">
        <v>35.698745868538197</v>
      </c>
      <c r="E46" s="4">
        <v>35.3584625702293</v>
      </c>
      <c r="H46" s="4"/>
      <c r="I46" s="4"/>
      <c r="J46" s="4"/>
      <c r="K46" s="4"/>
    </row>
    <row r="47" spans="2:11" x14ac:dyDescent="0.3">
      <c r="B47" s="1">
        <v>2065</v>
      </c>
      <c r="C47" s="4">
        <v>36.580829173014401</v>
      </c>
      <c r="D47" s="4">
        <v>35.782985205773301</v>
      </c>
      <c r="E47" s="4">
        <v>35.516041596220703</v>
      </c>
      <c r="H47" s="4"/>
      <c r="I47" s="4"/>
      <c r="J47" s="4"/>
      <c r="K47" s="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85CB4-DEFB-498B-B0B9-EEE6E755904D}">
  <sheetPr codeName="Sheet53"/>
  <dimension ref="B2:O181"/>
  <sheetViews>
    <sheetView workbookViewId="0"/>
  </sheetViews>
  <sheetFormatPr defaultColWidth="8.7109375" defaultRowHeight="16.5" x14ac:dyDescent="0.3"/>
  <cols>
    <col min="1" max="1" width="8.7109375" style="1"/>
    <col min="2" max="2" width="15.7109375" style="1" bestFit="1" customWidth="1"/>
    <col min="3" max="4" width="14.28515625" style="1" customWidth="1"/>
    <col min="5" max="5" width="15.140625" style="1" customWidth="1"/>
    <col min="6" max="16384" width="8.7109375" style="1"/>
  </cols>
  <sheetData>
    <row r="2" spans="2:15" x14ac:dyDescent="0.3">
      <c r="B2" s="18" t="s">
        <v>172</v>
      </c>
      <c r="C2" s="32"/>
      <c r="D2" s="32"/>
      <c r="E2" s="32"/>
      <c r="F2" s="32"/>
    </row>
    <row r="3" spans="2:15" x14ac:dyDescent="0.3">
      <c r="B3" s="32" t="s">
        <v>293</v>
      </c>
      <c r="C3" s="32"/>
      <c r="D3" s="32"/>
      <c r="E3" s="32"/>
      <c r="F3" s="32"/>
    </row>
    <row r="5" spans="2:15" s="35" customFormat="1" ht="33" x14ac:dyDescent="0.3">
      <c r="C5" s="35" t="s">
        <v>5</v>
      </c>
      <c r="D5" s="35" t="s">
        <v>267</v>
      </c>
      <c r="E5" s="35" t="s">
        <v>268</v>
      </c>
    </row>
    <row r="6" spans="2:15" s="35" customFormat="1" x14ac:dyDescent="0.3">
      <c r="C6" s="35" t="s">
        <v>3</v>
      </c>
      <c r="D6" s="35" t="s">
        <v>3</v>
      </c>
      <c r="E6" s="35" t="s">
        <v>3</v>
      </c>
    </row>
    <row r="7" spans="2:15" x14ac:dyDescent="0.3">
      <c r="B7" s="45">
        <v>2025</v>
      </c>
      <c r="C7" s="4">
        <v>6.93035268827518</v>
      </c>
      <c r="D7" s="4">
        <v>6.9219387489030302</v>
      </c>
      <c r="E7" s="4">
        <v>6.9704419729206801</v>
      </c>
      <c r="G7" s="4"/>
      <c r="H7" s="4"/>
      <c r="I7" s="4"/>
      <c r="J7" s="4"/>
    </row>
    <row r="8" spans="2:15" x14ac:dyDescent="0.3">
      <c r="B8" s="45">
        <v>2026</v>
      </c>
      <c r="C8" s="4">
        <v>7.0572301364629899</v>
      </c>
      <c r="D8" s="4">
        <v>7.0494511047325403</v>
      </c>
      <c r="E8" s="4">
        <v>7.0802192744330501</v>
      </c>
      <c r="G8" s="4"/>
      <c r="H8" s="4"/>
      <c r="I8" s="4"/>
      <c r="J8" s="4"/>
    </row>
    <row r="9" spans="2:15" x14ac:dyDescent="0.3">
      <c r="B9" s="45">
        <v>2027</v>
      </c>
      <c r="C9" s="4">
        <v>7.1813314038995699</v>
      </c>
      <c r="D9" s="4">
        <v>7.2112746561410797</v>
      </c>
      <c r="E9" s="4">
        <v>7.1853341827947697</v>
      </c>
      <c r="G9" s="4"/>
      <c r="H9" s="4"/>
      <c r="I9" s="4"/>
      <c r="J9" s="4"/>
    </row>
    <row r="10" spans="2:15" x14ac:dyDescent="0.3">
      <c r="B10" s="45">
        <v>2028</v>
      </c>
      <c r="C10" s="4">
        <v>7.2890444048016203</v>
      </c>
      <c r="D10" s="4">
        <v>7.3549360099857202</v>
      </c>
      <c r="E10" s="4">
        <v>7.2720101058511402</v>
      </c>
      <c r="G10" s="4"/>
      <c r="H10" s="4"/>
      <c r="I10" s="4"/>
      <c r="J10" s="4"/>
    </row>
    <row r="11" spans="2:15" x14ac:dyDescent="0.3">
      <c r="B11" s="45">
        <v>2029</v>
      </c>
      <c r="C11" s="4">
        <v>7.3926353779531402</v>
      </c>
      <c r="D11" s="4">
        <v>7.4923639806691602</v>
      </c>
      <c r="E11" s="4">
        <v>7.3518694214257296</v>
      </c>
      <c r="G11" s="4"/>
      <c r="H11" s="4"/>
      <c r="I11" s="4"/>
      <c r="J11" s="4"/>
      <c r="N11" s="4"/>
      <c r="O11" s="4"/>
    </row>
    <row r="12" spans="2:15" x14ac:dyDescent="0.3">
      <c r="B12" s="45">
        <v>2030</v>
      </c>
      <c r="C12" s="4">
        <v>7.49454378468677</v>
      </c>
      <c r="D12" s="4">
        <v>7.6269513600170704</v>
      </c>
      <c r="E12" s="4">
        <v>7.4279832816120601</v>
      </c>
      <c r="G12" s="4"/>
      <c r="H12" s="4"/>
      <c r="I12" s="4"/>
      <c r="J12" s="4"/>
      <c r="N12" s="4"/>
      <c r="O12" s="4"/>
    </row>
    <row r="13" spans="2:15" x14ac:dyDescent="0.3">
      <c r="B13" s="45">
        <v>2031</v>
      </c>
      <c r="C13" s="4">
        <v>7.5922724850593903</v>
      </c>
      <c r="D13" s="4">
        <v>7.7561083809311597</v>
      </c>
      <c r="E13" s="4">
        <v>7.4988420192807901</v>
      </c>
      <c r="G13" s="4"/>
      <c r="H13" s="4"/>
      <c r="I13" s="4"/>
      <c r="J13" s="4"/>
      <c r="N13" s="4"/>
      <c r="O13" s="4"/>
    </row>
    <row r="14" spans="2:15" x14ac:dyDescent="0.3">
      <c r="B14" s="45">
        <v>2032</v>
      </c>
      <c r="C14" s="4">
        <v>7.6994295611724199</v>
      </c>
      <c r="D14" s="4">
        <v>7.8839514271295599</v>
      </c>
      <c r="E14" s="4">
        <v>7.5783539568434897</v>
      </c>
      <c r="G14" s="4"/>
      <c r="H14" s="4"/>
      <c r="I14" s="4"/>
      <c r="J14" s="4"/>
      <c r="N14" s="4"/>
      <c r="O14" s="4"/>
    </row>
    <row r="15" spans="2:15" x14ac:dyDescent="0.3">
      <c r="B15" s="45">
        <v>2033</v>
      </c>
      <c r="C15" s="4">
        <v>7.7992209935864896</v>
      </c>
      <c r="D15" s="4">
        <v>8.0034275465306504</v>
      </c>
      <c r="E15" s="4">
        <v>7.6501236307787002</v>
      </c>
      <c r="G15" s="4"/>
      <c r="H15" s="4"/>
      <c r="I15" s="4"/>
      <c r="J15" s="4"/>
      <c r="N15" s="4"/>
      <c r="O15" s="4"/>
    </row>
    <row r="16" spans="2:15" x14ac:dyDescent="0.3">
      <c r="B16" s="45">
        <v>2034</v>
      </c>
      <c r="C16" s="4">
        <v>7.89798683965323</v>
      </c>
      <c r="D16" s="4">
        <v>8.1207378029009796</v>
      </c>
      <c r="E16" s="4">
        <v>7.7206047102823199</v>
      </c>
      <c r="G16" s="4"/>
      <c r="H16" s="4"/>
      <c r="I16" s="4"/>
      <c r="J16" s="4"/>
    </row>
    <row r="17" spans="2:10" x14ac:dyDescent="0.3">
      <c r="B17" s="45">
        <v>2035</v>
      </c>
      <c r="C17" s="4">
        <v>7.9965879523866299</v>
      </c>
      <c r="D17" s="4">
        <v>8.2371889562702396</v>
      </c>
      <c r="E17" s="4">
        <v>7.7906941731440398</v>
      </c>
      <c r="G17" s="4"/>
      <c r="H17" s="4"/>
      <c r="I17" s="4"/>
      <c r="J17" s="4"/>
    </row>
    <row r="18" spans="2:10" x14ac:dyDescent="0.3">
      <c r="B18" s="45">
        <v>2036</v>
      </c>
      <c r="C18" s="4">
        <v>8.0965199731822395</v>
      </c>
      <c r="D18" s="4">
        <v>8.3544606159649</v>
      </c>
      <c r="E18" s="4">
        <v>7.8620043530212698</v>
      </c>
      <c r="G18" s="4"/>
      <c r="H18" s="4"/>
      <c r="I18" s="4"/>
      <c r="J18" s="4"/>
    </row>
    <row r="19" spans="2:10" x14ac:dyDescent="0.3">
      <c r="B19" s="45">
        <v>2037</v>
      </c>
      <c r="C19" s="4">
        <v>8.1992935339856192</v>
      </c>
      <c r="D19" s="4">
        <v>8.4786821723654704</v>
      </c>
      <c r="E19" s="4">
        <v>7.93611631268947</v>
      </c>
      <c r="G19" s="4"/>
      <c r="H19" s="4"/>
      <c r="I19" s="4"/>
      <c r="J19" s="4"/>
    </row>
    <row r="20" spans="2:10" x14ac:dyDescent="0.3">
      <c r="B20" s="45">
        <v>2038</v>
      </c>
      <c r="C20" s="4">
        <v>8.29326495780575</v>
      </c>
      <c r="D20" s="4">
        <v>8.5930406298932507</v>
      </c>
      <c r="E20" s="4">
        <v>8.0021110967696796</v>
      </c>
      <c r="G20" s="4"/>
      <c r="H20" s="4"/>
      <c r="I20" s="4"/>
      <c r="J20" s="4"/>
    </row>
    <row r="21" spans="2:10" x14ac:dyDescent="0.3">
      <c r="B21" s="45">
        <v>2039</v>
      </c>
      <c r="C21" s="4">
        <v>8.3832007882542001</v>
      </c>
      <c r="D21" s="4">
        <v>8.7021862415497893</v>
      </c>
      <c r="E21" s="4">
        <v>8.0646123417709994</v>
      </c>
      <c r="G21" s="4"/>
      <c r="H21" s="4"/>
      <c r="I21" s="4"/>
      <c r="J21" s="4"/>
    </row>
    <row r="22" spans="2:10" x14ac:dyDescent="0.3">
      <c r="B22" s="45">
        <v>2040</v>
      </c>
      <c r="C22" s="4">
        <v>8.4671899951226095</v>
      </c>
      <c r="D22" s="4">
        <v>8.8044851345292692</v>
      </c>
      <c r="E22" s="4">
        <v>8.1221418430867001</v>
      </c>
      <c r="G22" s="4"/>
      <c r="H22" s="4"/>
      <c r="I22" s="4"/>
      <c r="J22" s="4"/>
    </row>
    <row r="23" spans="2:10" x14ac:dyDescent="0.3">
      <c r="B23" s="45">
        <v>2041</v>
      </c>
      <c r="C23" s="4">
        <v>8.5507327031224207</v>
      </c>
      <c r="D23" s="4">
        <v>8.9055016740398596</v>
      </c>
      <c r="E23" s="4">
        <v>8.1795390648554207</v>
      </c>
      <c r="G23" s="4"/>
      <c r="H23" s="4"/>
      <c r="I23" s="4"/>
      <c r="J23" s="4"/>
    </row>
    <row r="24" spans="2:10" x14ac:dyDescent="0.3">
      <c r="B24" s="45">
        <v>2042</v>
      </c>
      <c r="C24" s="4">
        <v>8.6327976708907705</v>
      </c>
      <c r="D24" s="4">
        <v>9.0139121391682302</v>
      </c>
      <c r="E24" s="4">
        <v>8.2360943287796893</v>
      </c>
      <c r="G24" s="4"/>
      <c r="H24" s="4"/>
      <c r="I24" s="4"/>
      <c r="J24" s="4"/>
    </row>
    <row r="25" spans="2:10" x14ac:dyDescent="0.3">
      <c r="B25" s="45">
        <v>2043</v>
      </c>
      <c r="C25" s="4">
        <v>8.7129712595600601</v>
      </c>
      <c r="D25" s="4">
        <v>9.1193221395252895</v>
      </c>
      <c r="E25" s="4">
        <v>8.2915562005538703</v>
      </c>
      <c r="G25" s="4"/>
      <c r="H25" s="4"/>
      <c r="I25" s="4"/>
      <c r="J25" s="4"/>
    </row>
    <row r="26" spans="2:10" x14ac:dyDescent="0.3">
      <c r="B26" s="45">
        <v>2044</v>
      </c>
      <c r="C26" s="4">
        <v>8.8037720579040606</v>
      </c>
      <c r="D26" s="4">
        <v>9.2346162966913301</v>
      </c>
      <c r="E26" s="4">
        <v>8.3570316199714707</v>
      </c>
      <c r="G26" s="4"/>
      <c r="H26" s="4"/>
      <c r="I26" s="4"/>
      <c r="J26" s="4"/>
    </row>
    <row r="27" spans="2:10" x14ac:dyDescent="0.3">
      <c r="B27" s="45">
        <v>2045</v>
      </c>
      <c r="C27" s="4">
        <v>8.8960859002455805</v>
      </c>
      <c r="D27" s="4">
        <v>9.3508969295360291</v>
      </c>
      <c r="E27" s="4">
        <v>8.4246062301182398</v>
      </c>
      <c r="G27" s="4"/>
      <c r="H27" s="4"/>
      <c r="I27" s="4"/>
      <c r="J27" s="4"/>
    </row>
    <row r="28" spans="2:10" x14ac:dyDescent="0.3">
      <c r="B28" s="45">
        <v>2046</v>
      </c>
      <c r="C28" s="4">
        <v>8.9874541059843196</v>
      </c>
      <c r="D28" s="4">
        <v>9.4659411847543797</v>
      </c>
      <c r="E28" s="4">
        <v>8.49228163324333</v>
      </c>
      <c r="G28" s="4"/>
      <c r="H28" s="4"/>
      <c r="I28" s="4"/>
      <c r="J28" s="4"/>
    </row>
    <row r="29" spans="2:10" x14ac:dyDescent="0.3">
      <c r="B29" s="45">
        <v>2047</v>
      </c>
      <c r="C29" s="4">
        <v>9.0824819578884792</v>
      </c>
      <c r="D29" s="4">
        <v>9.5933171754850601</v>
      </c>
      <c r="E29" s="4">
        <v>8.5639311164301404</v>
      </c>
      <c r="G29" s="4"/>
      <c r="H29" s="4"/>
      <c r="I29" s="4"/>
      <c r="J29" s="4"/>
    </row>
    <row r="30" spans="2:10" x14ac:dyDescent="0.3">
      <c r="B30" s="45">
        <v>2048</v>
      </c>
      <c r="C30" s="4">
        <v>9.1806002960462703</v>
      </c>
      <c r="D30" s="4">
        <v>9.6691984635137</v>
      </c>
      <c r="E30" s="4">
        <v>8.6390188983243199</v>
      </c>
      <c r="G30" s="4"/>
      <c r="H30" s="4"/>
      <c r="I30" s="4"/>
      <c r="J30" s="4"/>
    </row>
    <row r="31" spans="2:10" x14ac:dyDescent="0.3">
      <c r="B31" s="45">
        <v>2049</v>
      </c>
      <c r="C31" s="4">
        <v>9.2802364419226802</v>
      </c>
      <c r="D31" s="4">
        <v>9.7496799988178307</v>
      </c>
      <c r="E31" s="4">
        <v>8.7162744861000601</v>
      </c>
      <c r="G31" s="4"/>
      <c r="H31" s="4"/>
      <c r="I31" s="4"/>
      <c r="J31" s="4"/>
    </row>
    <row r="32" spans="2:10" x14ac:dyDescent="0.3">
      <c r="B32" s="45">
        <v>2050</v>
      </c>
      <c r="C32" s="4">
        <v>9.3816057922831</v>
      </c>
      <c r="D32" s="4">
        <v>9.8301052656814392</v>
      </c>
      <c r="E32" s="4">
        <v>8.7953501554443392</v>
      </c>
      <c r="G32" s="4"/>
      <c r="H32" s="4"/>
      <c r="I32" s="4"/>
      <c r="J32" s="4"/>
    </row>
    <row r="33" spans="2:10" x14ac:dyDescent="0.3">
      <c r="B33" s="45">
        <v>2051</v>
      </c>
      <c r="C33" s="4">
        <v>9.4863832502306504</v>
      </c>
      <c r="D33" s="4">
        <v>9.91154110567253</v>
      </c>
      <c r="E33" s="4">
        <v>8.8782107095091796</v>
      </c>
      <c r="G33" s="4"/>
      <c r="H33" s="4"/>
      <c r="I33" s="4"/>
      <c r="J33" s="4"/>
    </row>
    <row r="34" spans="2:10" x14ac:dyDescent="0.3">
      <c r="B34" s="45">
        <v>2052</v>
      </c>
      <c r="C34" s="4">
        <v>9.5977588225832005</v>
      </c>
      <c r="D34" s="4">
        <v>10.003275607424101</v>
      </c>
      <c r="E34" s="4">
        <v>8.9667206286036407</v>
      </c>
      <c r="G34" s="4"/>
      <c r="H34" s="4"/>
      <c r="I34" s="4"/>
      <c r="J34" s="4"/>
    </row>
    <row r="35" spans="2:10" x14ac:dyDescent="0.3">
      <c r="B35" s="45">
        <v>2053</v>
      </c>
      <c r="C35" s="4">
        <v>9.7148334984642695</v>
      </c>
      <c r="D35" s="4">
        <v>10.0972431168573</v>
      </c>
      <c r="E35" s="4">
        <v>9.0605075838100007</v>
      </c>
      <c r="G35" s="4"/>
      <c r="H35" s="4"/>
      <c r="I35" s="4"/>
      <c r="J35" s="4"/>
    </row>
    <row r="36" spans="2:10" x14ac:dyDescent="0.3">
      <c r="B36" s="45">
        <v>2054</v>
      </c>
      <c r="C36" s="4">
        <v>9.8350004715770396</v>
      </c>
      <c r="D36" s="4">
        <v>10.190863984633699</v>
      </c>
      <c r="E36" s="4">
        <v>9.1573386659320501</v>
      </c>
      <c r="G36" s="4"/>
      <c r="H36" s="4"/>
      <c r="I36" s="4"/>
      <c r="J36" s="4"/>
    </row>
    <row r="37" spans="2:10" x14ac:dyDescent="0.3">
      <c r="B37" s="45">
        <v>2055</v>
      </c>
      <c r="C37" s="4">
        <v>9.9611679596601999</v>
      </c>
      <c r="D37" s="4">
        <v>10.2871680124899</v>
      </c>
      <c r="E37" s="4">
        <v>9.2601855234055304</v>
      </c>
      <c r="G37" s="4"/>
      <c r="H37" s="4"/>
      <c r="I37" s="4"/>
      <c r="J37" s="4"/>
    </row>
    <row r="38" spans="2:10" x14ac:dyDescent="0.3">
      <c r="B38" s="45">
        <v>2056</v>
      </c>
      <c r="C38" s="4">
        <v>10.0912383758556</v>
      </c>
      <c r="D38" s="4">
        <v>10.383970200240899</v>
      </c>
      <c r="E38" s="4">
        <v>9.3674233971358891</v>
      </c>
      <c r="G38" s="4"/>
      <c r="H38" s="4"/>
      <c r="I38" s="4"/>
      <c r="J38" s="4"/>
    </row>
    <row r="39" spans="2:10" x14ac:dyDescent="0.3">
      <c r="B39" s="45">
        <v>2057</v>
      </c>
      <c r="C39" s="4">
        <v>10.221379582268501</v>
      </c>
      <c r="D39" s="4">
        <v>10.484842273166599</v>
      </c>
      <c r="E39" s="4">
        <v>9.4755314616543505</v>
      </c>
      <c r="G39" s="4"/>
      <c r="H39" s="4"/>
      <c r="I39" s="4"/>
      <c r="J39" s="4"/>
    </row>
    <row r="40" spans="2:10" x14ac:dyDescent="0.3">
      <c r="B40" s="45">
        <v>2058</v>
      </c>
      <c r="C40" s="4">
        <v>10.3491030267204</v>
      </c>
      <c r="D40" s="4">
        <v>10.5801497686499</v>
      </c>
      <c r="E40" s="4">
        <v>9.5821108444676195</v>
      </c>
      <c r="G40" s="4"/>
      <c r="H40" s="4"/>
      <c r="I40" s="4"/>
      <c r="J40" s="4"/>
    </row>
    <row r="41" spans="2:10" x14ac:dyDescent="0.3">
      <c r="B41" s="45">
        <v>2059</v>
      </c>
      <c r="C41" s="4">
        <v>10.4722190265951</v>
      </c>
      <c r="D41" s="4">
        <v>10.667963758104101</v>
      </c>
      <c r="E41" s="4">
        <v>9.6853283287634699</v>
      </c>
      <c r="G41" s="4"/>
      <c r="H41" s="4"/>
      <c r="I41" s="4"/>
      <c r="J41" s="4"/>
    </row>
    <row r="42" spans="2:10" x14ac:dyDescent="0.3">
      <c r="B42" s="45">
        <v>2060</v>
      </c>
      <c r="C42" s="4">
        <v>10.5947083656632</v>
      </c>
      <c r="D42" s="4">
        <v>10.752467251298</v>
      </c>
      <c r="E42" s="4">
        <v>9.7886689402391394</v>
      </c>
      <c r="G42" s="4"/>
      <c r="H42" s="4"/>
      <c r="I42" s="4"/>
      <c r="J42" s="4"/>
    </row>
    <row r="43" spans="2:10" x14ac:dyDescent="0.3">
      <c r="B43" s="45">
        <v>2061</v>
      </c>
      <c r="C43" s="4">
        <v>10.712748407020801</v>
      </c>
      <c r="D43" s="4">
        <v>10.830245790782801</v>
      </c>
      <c r="E43" s="4">
        <v>9.8885924820265902</v>
      </c>
      <c r="G43" s="4"/>
      <c r="H43" s="4"/>
      <c r="I43" s="4"/>
      <c r="J43" s="4"/>
    </row>
    <row r="44" spans="2:10" x14ac:dyDescent="0.3">
      <c r="B44" s="45">
        <v>2062</v>
      </c>
      <c r="C44" s="4">
        <v>10.829335077866</v>
      </c>
      <c r="D44" s="4">
        <v>10.908494558868499</v>
      </c>
      <c r="E44" s="4">
        <v>9.9881902165674497</v>
      </c>
      <c r="G44" s="4"/>
      <c r="H44" s="4"/>
      <c r="I44" s="4"/>
      <c r="J44" s="4"/>
    </row>
    <row r="45" spans="2:10" x14ac:dyDescent="0.3">
      <c r="B45" s="45">
        <v>2063</v>
      </c>
      <c r="C45" s="4">
        <v>10.9465882037338</v>
      </c>
      <c r="D45" s="4">
        <v>10.984727511376599</v>
      </c>
      <c r="E45" s="4">
        <v>10.0892422904203</v>
      </c>
      <c r="G45" s="4"/>
      <c r="H45" s="4"/>
      <c r="I45" s="4"/>
      <c r="J45" s="4"/>
    </row>
    <row r="46" spans="2:10" x14ac:dyDescent="0.3">
      <c r="B46" s="45">
        <v>2064</v>
      </c>
      <c r="C46" s="4">
        <v>11.062025794014501</v>
      </c>
      <c r="D46" s="4">
        <v>11.0563951269593</v>
      </c>
      <c r="E46" s="4">
        <v>10.1894355453245</v>
      </c>
      <c r="G46" s="4"/>
      <c r="H46" s="4"/>
      <c r="I46" s="4"/>
      <c r="J46" s="4"/>
    </row>
    <row r="47" spans="2:10" x14ac:dyDescent="0.3">
      <c r="B47" s="45">
        <v>2065</v>
      </c>
      <c r="C47" s="4">
        <v>11.186237423478801</v>
      </c>
      <c r="D47" s="4">
        <v>11.133929790125899</v>
      </c>
      <c r="E47" s="4">
        <v>10.297872175447401</v>
      </c>
      <c r="G47" s="4"/>
      <c r="H47" s="4"/>
      <c r="I47" s="4"/>
      <c r="J47" s="4"/>
    </row>
    <row r="48" spans="2:10" x14ac:dyDescent="0.3">
      <c r="B48" s="45"/>
      <c r="C48" s="4"/>
      <c r="D48" s="4"/>
      <c r="E48" s="4"/>
    </row>
    <row r="49" spans="2:5" x14ac:dyDescent="0.3">
      <c r="B49" s="45"/>
      <c r="C49" s="4"/>
      <c r="D49" s="4"/>
      <c r="E49" s="4"/>
    </row>
    <row r="50" spans="2:5" x14ac:dyDescent="0.3">
      <c r="B50" s="45"/>
      <c r="C50" s="4"/>
      <c r="D50" s="4"/>
      <c r="E50" s="4"/>
    </row>
    <row r="51" spans="2:5" x14ac:dyDescent="0.3">
      <c r="B51" s="45"/>
      <c r="C51" s="4"/>
      <c r="D51" s="4"/>
      <c r="E51" s="4"/>
    </row>
    <row r="52" spans="2:5" x14ac:dyDescent="0.3">
      <c r="B52" s="45"/>
      <c r="C52" s="4"/>
      <c r="D52" s="4"/>
      <c r="E52" s="4"/>
    </row>
    <row r="53" spans="2:5" x14ac:dyDescent="0.3">
      <c r="B53" s="45"/>
      <c r="C53" s="4"/>
      <c r="D53" s="4"/>
      <c r="E53" s="4"/>
    </row>
    <row r="54" spans="2:5" x14ac:dyDescent="0.3">
      <c r="B54" s="45"/>
      <c r="C54" s="4"/>
      <c r="D54" s="4"/>
      <c r="E54" s="4"/>
    </row>
    <row r="55" spans="2:5" x14ac:dyDescent="0.3">
      <c r="B55" s="45"/>
      <c r="C55" s="4"/>
      <c r="D55" s="4"/>
      <c r="E55" s="4"/>
    </row>
    <row r="56" spans="2:5" x14ac:dyDescent="0.3">
      <c r="B56" s="45"/>
      <c r="C56" s="4"/>
      <c r="D56" s="4"/>
      <c r="E56" s="4"/>
    </row>
    <row r="57" spans="2:5" x14ac:dyDescent="0.3">
      <c r="B57" s="45"/>
      <c r="C57" s="4"/>
      <c r="D57" s="4"/>
      <c r="E57" s="4"/>
    </row>
    <row r="58" spans="2:5" x14ac:dyDescent="0.3">
      <c r="B58" s="45"/>
      <c r="C58" s="4"/>
      <c r="D58" s="4"/>
      <c r="E58" s="4"/>
    </row>
    <row r="59" spans="2:5" x14ac:dyDescent="0.3">
      <c r="B59" s="45"/>
      <c r="C59" s="4"/>
      <c r="D59" s="4"/>
      <c r="E59" s="4"/>
    </row>
    <row r="60" spans="2:5" x14ac:dyDescent="0.3">
      <c r="B60" s="45"/>
      <c r="C60" s="4"/>
      <c r="D60" s="4"/>
      <c r="E60" s="4"/>
    </row>
    <row r="61" spans="2:5" x14ac:dyDescent="0.3">
      <c r="B61" s="45"/>
      <c r="C61" s="4"/>
      <c r="D61" s="4"/>
      <c r="E61" s="4"/>
    </row>
    <row r="62" spans="2:5" x14ac:dyDescent="0.3">
      <c r="B62" s="45"/>
      <c r="C62" s="4"/>
      <c r="D62" s="4"/>
      <c r="E62" s="4"/>
    </row>
    <row r="63" spans="2:5" x14ac:dyDescent="0.3">
      <c r="B63" s="45"/>
      <c r="C63" s="4"/>
      <c r="D63" s="4"/>
      <c r="E63" s="4"/>
    </row>
    <row r="64" spans="2:5" x14ac:dyDescent="0.3">
      <c r="B64" s="45"/>
      <c r="C64" s="4"/>
      <c r="D64" s="4"/>
      <c r="E64" s="4"/>
    </row>
    <row r="65" spans="2:5" x14ac:dyDescent="0.3">
      <c r="B65" s="45"/>
      <c r="C65" s="4"/>
      <c r="D65" s="4"/>
      <c r="E65" s="4"/>
    </row>
    <row r="66" spans="2:5" x14ac:dyDescent="0.3">
      <c r="B66" s="45"/>
      <c r="C66" s="4"/>
      <c r="D66" s="4"/>
      <c r="E66" s="4"/>
    </row>
    <row r="67" spans="2:5" x14ac:dyDescent="0.3">
      <c r="B67" s="45"/>
      <c r="C67" s="4"/>
      <c r="D67" s="4"/>
      <c r="E67" s="4"/>
    </row>
    <row r="68" spans="2:5" x14ac:dyDescent="0.3">
      <c r="B68" s="45"/>
      <c r="C68" s="4"/>
      <c r="D68" s="4"/>
      <c r="E68" s="4"/>
    </row>
    <row r="69" spans="2:5" x14ac:dyDescent="0.3">
      <c r="B69" s="45"/>
      <c r="C69" s="4"/>
      <c r="D69" s="4"/>
      <c r="E69" s="4"/>
    </row>
    <row r="70" spans="2:5" x14ac:dyDescent="0.3">
      <c r="B70" s="45"/>
      <c r="C70" s="4"/>
      <c r="D70" s="4"/>
      <c r="E70" s="4"/>
    </row>
    <row r="71" spans="2:5" x14ac:dyDescent="0.3">
      <c r="B71" s="45"/>
      <c r="C71" s="4"/>
      <c r="D71" s="4"/>
      <c r="E71" s="4"/>
    </row>
    <row r="72" spans="2:5" x14ac:dyDescent="0.3">
      <c r="B72" s="45"/>
      <c r="C72" s="4"/>
      <c r="D72" s="4"/>
      <c r="E72" s="4"/>
    </row>
    <row r="73" spans="2:5" x14ac:dyDescent="0.3">
      <c r="B73" s="45"/>
      <c r="C73" s="4"/>
      <c r="D73" s="4"/>
      <c r="E73" s="4"/>
    </row>
    <row r="74" spans="2:5" x14ac:dyDescent="0.3">
      <c r="B74" s="45"/>
      <c r="C74" s="4"/>
      <c r="D74" s="4"/>
      <c r="E74" s="4"/>
    </row>
    <row r="75" spans="2:5" x14ac:dyDescent="0.3">
      <c r="B75" s="45"/>
      <c r="C75" s="4"/>
      <c r="D75" s="4"/>
      <c r="E75" s="4"/>
    </row>
    <row r="76" spans="2:5" x14ac:dyDescent="0.3">
      <c r="B76" s="45"/>
      <c r="C76" s="4"/>
      <c r="D76" s="4"/>
      <c r="E76" s="4"/>
    </row>
    <row r="77" spans="2:5" x14ac:dyDescent="0.3">
      <c r="B77" s="45"/>
      <c r="C77" s="4"/>
      <c r="D77" s="4"/>
      <c r="E77" s="4"/>
    </row>
    <row r="78" spans="2:5" x14ac:dyDescent="0.3">
      <c r="B78" s="45"/>
      <c r="C78" s="4"/>
      <c r="D78" s="4"/>
      <c r="E78" s="4"/>
    </row>
    <row r="79" spans="2:5" x14ac:dyDescent="0.3">
      <c r="B79" s="45"/>
      <c r="C79" s="4"/>
      <c r="D79" s="4"/>
      <c r="E79" s="4"/>
    </row>
    <row r="80" spans="2:5" x14ac:dyDescent="0.3">
      <c r="B80" s="45"/>
      <c r="C80" s="4"/>
      <c r="D80" s="4"/>
      <c r="E80" s="4"/>
    </row>
    <row r="81" spans="2:5" x14ac:dyDescent="0.3">
      <c r="B81" s="45"/>
      <c r="C81" s="4"/>
      <c r="D81" s="4"/>
      <c r="E81" s="4"/>
    </row>
    <row r="82" spans="2:5" x14ac:dyDescent="0.3">
      <c r="B82" s="45"/>
      <c r="C82" s="4"/>
      <c r="D82" s="4"/>
      <c r="E82" s="4"/>
    </row>
    <row r="83" spans="2:5" x14ac:dyDescent="0.3">
      <c r="B83" s="45"/>
      <c r="C83" s="4"/>
      <c r="D83" s="4"/>
      <c r="E83" s="4"/>
    </row>
    <row r="84" spans="2:5" x14ac:dyDescent="0.3">
      <c r="B84" s="45"/>
      <c r="C84" s="4"/>
      <c r="D84" s="4"/>
      <c r="E84" s="4"/>
    </row>
    <row r="85" spans="2:5" x14ac:dyDescent="0.3">
      <c r="B85" s="45"/>
      <c r="C85" s="4"/>
      <c r="D85" s="4"/>
      <c r="E85" s="4"/>
    </row>
    <row r="86" spans="2:5" x14ac:dyDescent="0.3">
      <c r="B86" s="45"/>
      <c r="C86" s="4"/>
      <c r="D86" s="4"/>
      <c r="E86" s="4"/>
    </row>
    <row r="87" spans="2:5" x14ac:dyDescent="0.3">
      <c r="B87" s="45"/>
      <c r="C87" s="4"/>
      <c r="D87" s="4"/>
      <c r="E87" s="4"/>
    </row>
    <row r="88" spans="2:5" x14ac:dyDescent="0.3">
      <c r="B88" s="45"/>
      <c r="C88" s="4"/>
      <c r="D88" s="4"/>
      <c r="E88" s="4"/>
    </row>
    <row r="89" spans="2:5" x14ac:dyDescent="0.3">
      <c r="B89" s="45"/>
      <c r="C89" s="4"/>
      <c r="D89" s="4"/>
      <c r="E89" s="4"/>
    </row>
    <row r="90" spans="2:5" x14ac:dyDescent="0.3">
      <c r="B90" s="45"/>
      <c r="C90" s="4"/>
      <c r="D90" s="4"/>
      <c r="E90" s="4"/>
    </row>
    <row r="91" spans="2:5" x14ac:dyDescent="0.3">
      <c r="B91" s="45"/>
      <c r="C91" s="4"/>
      <c r="D91" s="4"/>
      <c r="E91" s="4"/>
    </row>
    <row r="92" spans="2:5" x14ac:dyDescent="0.3">
      <c r="B92" s="45"/>
      <c r="C92" s="4"/>
      <c r="D92" s="4"/>
      <c r="E92" s="4"/>
    </row>
    <row r="93" spans="2:5" x14ac:dyDescent="0.3">
      <c r="B93" s="45"/>
      <c r="C93" s="4"/>
      <c r="D93" s="4"/>
      <c r="E93" s="4"/>
    </row>
    <row r="94" spans="2:5" x14ac:dyDescent="0.3">
      <c r="B94" s="45"/>
      <c r="C94" s="4"/>
      <c r="D94" s="4"/>
      <c r="E94" s="4"/>
    </row>
    <row r="95" spans="2:5" x14ac:dyDescent="0.3">
      <c r="B95" s="45"/>
      <c r="C95" s="4"/>
      <c r="D95" s="4"/>
      <c r="E95" s="4"/>
    </row>
    <row r="96" spans="2:5" x14ac:dyDescent="0.3">
      <c r="B96" s="45"/>
      <c r="C96" s="4"/>
      <c r="D96" s="4"/>
      <c r="E96" s="4"/>
    </row>
    <row r="97" spans="2:5" x14ac:dyDescent="0.3">
      <c r="B97" s="45"/>
      <c r="C97" s="4"/>
      <c r="D97" s="4"/>
      <c r="E97" s="4"/>
    </row>
    <row r="98" spans="2:5" x14ac:dyDescent="0.3">
      <c r="B98" s="45"/>
      <c r="C98" s="4"/>
      <c r="D98" s="4"/>
      <c r="E98" s="4"/>
    </row>
    <row r="99" spans="2:5" x14ac:dyDescent="0.3">
      <c r="B99" s="45"/>
      <c r="C99" s="4"/>
      <c r="D99" s="4"/>
      <c r="E99" s="4"/>
    </row>
    <row r="100" spans="2:5" x14ac:dyDescent="0.3">
      <c r="B100" s="45"/>
      <c r="C100" s="4"/>
      <c r="D100" s="4"/>
      <c r="E100" s="4"/>
    </row>
    <row r="101" spans="2:5" x14ac:dyDescent="0.3">
      <c r="B101" s="45"/>
      <c r="C101" s="4"/>
      <c r="D101" s="4"/>
      <c r="E101" s="4"/>
    </row>
    <row r="102" spans="2:5" x14ac:dyDescent="0.3">
      <c r="B102" s="45"/>
      <c r="C102" s="4"/>
      <c r="D102" s="4"/>
      <c r="E102" s="4"/>
    </row>
    <row r="103" spans="2:5" x14ac:dyDescent="0.3">
      <c r="B103" s="45"/>
      <c r="C103" s="4"/>
      <c r="D103" s="4"/>
      <c r="E103" s="4"/>
    </row>
    <row r="104" spans="2:5" x14ac:dyDescent="0.3">
      <c r="B104" s="45"/>
      <c r="C104" s="4"/>
      <c r="D104" s="4"/>
      <c r="E104" s="4"/>
    </row>
    <row r="105" spans="2:5" x14ac:dyDescent="0.3">
      <c r="B105" s="45"/>
      <c r="C105" s="4"/>
      <c r="D105" s="4"/>
      <c r="E105" s="4"/>
    </row>
    <row r="106" spans="2:5" x14ac:dyDescent="0.3">
      <c r="B106" s="45"/>
      <c r="C106" s="4"/>
      <c r="D106" s="4"/>
      <c r="E106" s="4"/>
    </row>
    <row r="107" spans="2:5" x14ac:dyDescent="0.3">
      <c r="B107" s="45"/>
      <c r="C107" s="4"/>
      <c r="D107" s="4"/>
      <c r="E107" s="4"/>
    </row>
    <row r="108" spans="2:5" x14ac:dyDescent="0.3">
      <c r="B108" s="45"/>
      <c r="C108" s="4"/>
      <c r="D108" s="4"/>
      <c r="E108" s="4"/>
    </row>
    <row r="109" spans="2:5" x14ac:dyDescent="0.3">
      <c r="B109" s="45"/>
      <c r="C109" s="4"/>
      <c r="D109" s="4"/>
      <c r="E109" s="4"/>
    </row>
    <row r="110" spans="2:5" x14ac:dyDescent="0.3">
      <c r="B110" s="45"/>
      <c r="C110" s="4"/>
      <c r="D110" s="4"/>
      <c r="E110" s="4"/>
    </row>
    <row r="111" spans="2:5" x14ac:dyDescent="0.3">
      <c r="B111" s="45"/>
      <c r="C111" s="4"/>
      <c r="D111" s="4"/>
      <c r="E111" s="4"/>
    </row>
    <row r="112" spans="2:5" x14ac:dyDescent="0.3">
      <c r="B112" s="45"/>
      <c r="C112" s="4"/>
      <c r="D112" s="4"/>
      <c r="E112" s="4"/>
    </row>
    <row r="113" spans="2:5" x14ac:dyDescent="0.3">
      <c r="B113" s="45"/>
      <c r="C113" s="4"/>
      <c r="D113" s="4"/>
      <c r="E113" s="4"/>
    </row>
    <row r="114" spans="2:5" x14ac:dyDescent="0.3">
      <c r="B114" s="45"/>
      <c r="C114" s="4"/>
      <c r="D114" s="4"/>
      <c r="E114" s="4"/>
    </row>
    <row r="115" spans="2:5" x14ac:dyDescent="0.3">
      <c r="B115" s="45"/>
      <c r="C115" s="4"/>
      <c r="D115" s="4"/>
      <c r="E115" s="4"/>
    </row>
    <row r="116" spans="2:5" x14ac:dyDescent="0.3">
      <c r="B116" s="45"/>
      <c r="C116" s="4"/>
      <c r="D116" s="4"/>
      <c r="E116" s="4"/>
    </row>
    <row r="117" spans="2:5" x14ac:dyDescent="0.3">
      <c r="B117" s="45"/>
      <c r="C117" s="4"/>
      <c r="D117" s="4"/>
      <c r="E117" s="4"/>
    </row>
    <row r="118" spans="2:5" x14ac:dyDescent="0.3">
      <c r="B118" s="45"/>
      <c r="C118" s="4"/>
      <c r="D118" s="4"/>
      <c r="E118" s="4"/>
    </row>
    <row r="119" spans="2:5" x14ac:dyDescent="0.3">
      <c r="B119" s="45"/>
      <c r="C119" s="4"/>
      <c r="D119" s="4"/>
      <c r="E119" s="4"/>
    </row>
    <row r="120" spans="2:5" x14ac:dyDescent="0.3">
      <c r="B120" s="45"/>
      <c r="C120" s="4"/>
      <c r="D120" s="4"/>
      <c r="E120" s="4"/>
    </row>
    <row r="121" spans="2:5" x14ac:dyDescent="0.3">
      <c r="B121" s="45"/>
      <c r="C121" s="4"/>
      <c r="D121" s="4"/>
      <c r="E121" s="4"/>
    </row>
    <row r="122" spans="2:5" x14ac:dyDescent="0.3">
      <c r="B122" s="45"/>
      <c r="C122" s="4"/>
      <c r="D122" s="4"/>
      <c r="E122" s="4"/>
    </row>
    <row r="123" spans="2:5" x14ac:dyDescent="0.3">
      <c r="B123" s="45"/>
      <c r="C123" s="4"/>
      <c r="D123" s="4"/>
      <c r="E123" s="4"/>
    </row>
    <row r="124" spans="2:5" x14ac:dyDescent="0.3">
      <c r="B124" s="45"/>
      <c r="C124" s="4"/>
      <c r="D124" s="4"/>
      <c r="E124" s="4"/>
    </row>
    <row r="125" spans="2:5" x14ac:dyDescent="0.3">
      <c r="B125" s="45"/>
      <c r="C125" s="4"/>
      <c r="D125" s="4"/>
      <c r="E125" s="4"/>
    </row>
    <row r="126" spans="2:5" x14ac:dyDescent="0.3">
      <c r="B126" s="45"/>
      <c r="C126" s="4"/>
      <c r="D126" s="4"/>
      <c r="E126" s="4"/>
    </row>
    <row r="127" spans="2:5" x14ac:dyDescent="0.3">
      <c r="B127" s="45"/>
      <c r="C127" s="4"/>
      <c r="D127" s="4"/>
      <c r="E127" s="4"/>
    </row>
    <row r="128" spans="2:5" x14ac:dyDescent="0.3">
      <c r="B128" s="45"/>
      <c r="C128" s="4"/>
      <c r="D128" s="4"/>
      <c r="E128" s="4"/>
    </row>
    <row r="129" spans="2:5" x14ac:dyDescent="0.3">
      <c r="B129" s="45"/>
      <c r="C129" s="4"/>
      <c r="D129" s="4"/>
      <c r="E129" s="4"/>
    </row>
    <row r="130" spans="2:5" x14ac:dyDescent="0.3">
      <c r="B130" s="45"/>
      <c r="C130" s="4"/>
      <c r="D130" s="4"/>
      <c r="E130" s="4"/>
    </row>
    <row r="131" spans="2:5" x14ac:dyDescent="0.3">
      <c r="B131" s="45"/>
      <c r="C131" s="4"/>
      <c r="D131" s="4"/>
      <c r="E131" s="4"/>
    </row>
    <row r="132" spans="2:5" x14ac:dyDescent="0.3">
      <c r="B132" s="45"/>
      <c r="C132" s="4"/>
      <c r="D132" s="4"/>
      <c r="E132" s="4"/>
    </row>
    <row r="133" spans="2:5" x14ac:dyDescent="0.3">
      <c r="B133" s="45"/>
      <c r="C133" s="4"/>
      <c r="D133" s="4"/>
      <c r="E133" s="4"/>
    </row>
    <row r="134" spans="2:5" x14ac:dyDescent="0.3">
      <c r="B134" s="45"/>
      <c r="C134" s="4"/>
      <c r="D134" s="4"/>
      <c r="E134" s="4"/>
    </row>
    <row r="135" spans="2:5" x14ac:dyDescent="0.3">
      <c r="B135" s="45"/>
      <c r="C135" s="4"/>
      <c r="D135" s="4"/>
      <c r="E135" s="4"/>
    </row>
    <row r="136" spans="2:5" x14ac:dyDescent="0.3">
      <c r="B136" s="45"/>
      <c r="C136" s="4"/>
      <c r="D136" s="4"/>
      <c r="E136" s="4"/>
    </row>
    <row r="137" spans="2:5" x14ac:dyDescent="0.3">
      <c r="B137" s="45"/>
      <c r="C137" s="4"/>
      <c r="D137" s="4"/>
      <c r="E137" s="4"/>
    </row>
    <row r="138" spans="2:5" x14ac:dyDescent="0.3">
      <c r="B138" s="45"/>
      <c r="C138" s="4"/>
      <c r="D138" s="4"/>
      <c r="E138" s="4"/>
    </row>
    <row r="139" spans="2:5" x14ac:dyDescent="0.3">
      <c r="B139" s="45"/>
      <c r="C139" s="4"/>
      <c r="D139" s="4"/>
      <c r="E139" s="4"/>
    </row>
    <row r="140" spans="2:5" x14ac:dyDescent="0.3">
      <c r="B140" s="45"/>
      <c r="C140" s="4"/>
      <c r="D140" s="4"/>
      <c r="E140" s="4"/>
    </row>
    <row r="141" spans="2:5" x14ac:dyDescent="0.3">
      <c r="B141" s="45"/>
      <c r="C141" s="4"/>
      <c r="D141" s="4"/>
      <c r="E141" s="4"/>
    </row>
    <row r="142" spans="2:5" x14ac:dyDescent="0.3">
      <c r="B142" s="45"/>
      <c r="C142" s="4"/>
      <c r="D142" s="4"/>
      <c r="E142" s="4"/>
    </row>
    <row r="143" spans="2:5" x14ac:dyDescent="0.3">
      <c r="B143" s="45"/>
      <c r="C143" s="4"/>
      <c r="D143" s="4"/>
      <c r="E143" s="4"/>
    </row>
    <row r="144" spans="2:5" x14ac:dyDescent="0.3">
      <c r="B144" s="45"/>
      <c r="C144" s="4"/>
      <c r="D144" s="4"/>
      <c r="E144" s="4"/>
    </row>
    <row r="145" spans="2:5" x14ac:dyDescent="0.3">
      <c r="B145" s="45"/>
      <c r="C145" s="4"/>
      <c r="D145" s="4"/>
      <c r="E145" s="4"/>
    </row>
    <row r="146" spans="2:5" x14ac:dyDescent="0.3">
      <c r="B146" s="45"/>
      <c r="C146" s="4"/>
      <c r="D146" s="4"/>
      <c r="E146" s="4"/>
    </row>
    <row r="147" spans="2:5" x14ac:dyDescent="0.3">
      <c r="B147" s="45"/>
      <c r="C147" s="4"/>
      <c r="D147" s="4"/>
      <c r="E147" s="4"/>
    </row>
    <row r="148" spans="2:5" x14ac:dyDescent="0.3">
      <c r="B148" s="45"/>
      <c r="C148" s="4"/>
      <c r="D148" s="4"/>
      <c r="E148" s="4"/>
    </row>
    <row r="149" spans="2:5" x14ac:dyDescent="0.3">
      <c r="B149" s="45"/>
      <c r="C149" s="4"/>
      <c r="D149" s="4"/>
      <c r="E149" s="4"/>
    </row>
    <row r="150" spans="2:5" x14ac:dyDescent="0.3">
      <c r="B150" s="45"/>
      <c r="C150" s="4"/>
      <c r="D150" s="4"/>
      <c r="E150" s="4"/>
    </row>
    <row r="151" spans="2:5" x14ac:dyDescent="0.3">
      <c r="B151" s="45"/>
      <c r="C151" s="4"/>
      <c r="D151" s="4"/>
      <c r="E151" s="4"/>
    </row>
    <row r="152" spans="2:5" x14ac:dyDescent="0.3">
      <c r="B152" s="45"/>
      <c r="C152" s="4"/>
      <c r="D152" s="4"/>
      <c r="E152" s="4"/>
    </row>
    <row r="153" spans="2:5" x14ac:dyDescent="0.3">
      <c r="B153" s="45"/>
      <c r="C153" s="4"/>
      <c r="D153" s="4"/>
      <c r="E153" s="4"/>
    </row>
    <row r="154" spans="2:5" x14ac:dyDescent="0.3">
      <c r="B154" s="45"/>
      <c r="C154" s="4"/>
      <c r="D154" s="4"/>
      <c r="E154" s="4"/>
    </row>
    <row r="155" spans="2:5" x14ac:dyDescent="0.3">
      <c r="B155" s="45"/>
      <c r="C155" s="4"/>
      <c r="D155" s="4"/>
      <c r="E155" s="4"/>
    </row>
    <row r="156" spans="2:5" x14ac:dyDescent="0.3">
      <c r="B156" s="45"/>
      <c r="C156" s="4"/>
      <c r="D156" s="4"/>
      <c r="E156" s="4"/>
    </row>
    <row r="157" spans="2:5" x14ac:dyDescent="0.3">
      <c r="B157" s="45"/>
      <c r="C157" s="4"/>
      <c r="D157" s="4"/>
      <c r="E157" s="4"/>
    </row>
    <row r="158" spans="2:5" x14ac:dyDescent="0.3">
      <c r="B158" s="45"/>
      <c r="C158" s="4"/>
      <c r="D158" s="4"/>
      <c r="E158" s="4"/>
    </row>
    <row r="159" spans="2:5" x14ac:dyDescent="0.3">
      <c r="B159" s="45"/>
      <c r="C159" s="4"/>
      <c r="D159" s="4"/>
      <c r="E159" s="4"/>
    </row>
    <row r="160" spans="2:5" x14ac:dyDescent="0.3">
      <c r="B160" s="45"/>
      <c r="C160" s="4"/>
      <c r="D160" s="4"/>
      <c r="E160" s="4"/>
    </row>
    <row r="161" spans="2:5" x14ac:dyDescent="0.3">
      <c r="B161" s="45"/>
      <c r="C161" s="4"/>
      <c r="D161" s="4"/>
      <c r="E161" s="4"/>
    </row>
    <row r="162" spans="2:5" x14ac:dyDescent="0.3">
      <c r="B162" s="45"/>
      <c r="C162" s="4"/>
      <c r="D162" s="4"/>
      <c r="E162" s="4"/>
    </row>
    <row r="163" spans="2:5" x14ac:dyDescent="0.3">
      <c r="B163" s="45"/>
      <c r="C163" s="4"/>
      <c r="D163" s="4"/>
      <c r="E163" s="4"/>
    </row>
    <row r="164" spans="2:5" x14ac:dyDescent="0.3">
      <c r="B164" s="45"/>
      <c r="C164" s="4"/>
      <c r="D164" s="4"/>
      <c r="E164" s="4"/>
    </row>
    <row r="165" spans="2:5" x14ac:dyDescent="0.3">
      <c r="B165" s="45"/>
      <c r="C165" s="4"/>
      <c r="D165" s="4"/>
      <c r="E165" s="4"/>
    </row>
    <row r="166" spans="2:5" x14ac:dyDescent="0.3">
      <c r="B166" s="45"/>
      <c r="C166" s="4"/>
      <c r="D166" s="4"/>
      <c r="E166" s="4"/>
    </row>
    <row r="167" spans="2:5" x14ac:dyDescent="0.3">
      <c r="B167" s="45"/>
      <c r="C167" s="4"/>
      <c r="D167" s="4"/>
      <c r="E167" s="4"/>
    </row>
    <row r="168" spans="2:5" x14ac:dyDescent="0.3">
      <c r="B168" s="45"/>
      <c r="C168" s="4"/>
      <c r="D168" s="4"/>
      <c r="E168" s="4"/>
    </row>
    <row r="169" spans="2:5" x14ac:dyDescent="0.3">
      <c r="B169" s="45"/>
      <c r="C169" s="4"/>
      <c r="D169" s="4"/>
      <c r="E169" s="4"/>
    </row>
    <row r="170" spans="2:5" x14ac:dyDescent="0.3">
      <c r="B170" s="45"/>
      <c r="C170" s="4"/>
      <c r="D170" s="4"/>
      <c r="E170" s="4"/>
    </row>
    <row r="171" spans="2:5" x14ac:dyDescent="0.3">
      <c r="B171" s="45"/>
      <c r="C171" s="4"/>
      <c r="D171" s="4"/>
      <c r="E171" s="4"/>
    </row>
    <row r="172" spans="2:5" x14ac:dyDescent="0.3">
      <c r="B172" s="45"/>
      <c r="C172" s="4"/>
      <c r="D172" s="4"/>
      <c r="E172" s="4"/>
    </row>
    <row r="173" spans="2:5" x14ac:dyDescent="0.3">
      <c r="B173" s="45"/>
      <c r="C173" s="4"/>
      <c r="D173" s="4"/>
      <c r="E173" s="4"/>
    </row>
    <row r="174" spans="2:5" x14ac:dyDescent="0.3">
      <c r="B174" s="45"/>
      <c r="C174" s="4"/>
      <c r="D174" s="4"/>
      <c r="E174" s="4"/>
    </row>
    <row r="175" spans="2:5" x14ac:dyDescent="0.3">
      <c r="B175" s="45"/>
      <c r="C175" s="4"/>
      <c r="D175" s="4"/>
      <c r="E175" s="4"/>
    </row>
    <row r="176" spans="2:5" x14ac:dyDescent="0.3">
      <c r="B176" s="45"/>
      <c r="C176" s="4"/>
      <c r="D176" s="4"/>
      <c r="E176" s="4"/>
    </row>
    <row r="177" spans="2:5" x14ac:dyDescent="0.3">
      <c r="B177" s="45"/>
      <c r="C177" s="4"/>
      <c r="D177" s="4"/>
      <c r="E177" s="4"/>
    </row>
    <row r="178" spans="2:5" x14ac:dyDescent="0.3">
      <c r="B178" s="45"/>
      <c r="C178" s="4"/>
      <c r="D178" s="4"/>
      <c r="E178" s="4"/>
    </row>
    <row r="179" spans="2:5" x14ac:dyDescent="0.3">
      <c r="B179" s="45"/>
      <c r="C179" s="4"/>
      <c r="D179" s="4"/>
      <c r="E179" s="4"/>
    </row>
    <row r="180" spans="2:5" x14ac:dyDescent="0.3">
      <c r="B180" s="45"/>
      <c r="C180" s="4"/>
      <c r="D180" s="4"/>
      <c r="E180" s="4"/>
    </row>
    <row r="181" spans="2:5" x14ac:dyDescent="0.3">
      <c r="B181" s="45"/>
      <c r="C181" s="4"/>
      <c r="D181" s="4"/>
      <c r="E181" s="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BBC1-7E64-4BF3-81D9-1FEC58BCEA65}">
  <sheetPr codeName="Sheet55"/>
  <dimension ref="B2:J67"/>
  <sheetViews>
    <sheetView showGridLines="0" workbookViewId="0"/>
  </sheetViews>
  <sheetFormatPr defaultColWidth="8.7109375" defaultRowHeight="16.5" x14ac:dyDescent="0.3"/>
  <cols>
    <col min="1" max="3" width="8.7109375" style="1"/>
    <col min="4" max="4" width="10.85546875" style="1" bestFit="1" customWidth="1"/>
    <col min="5" max="5" width="8.7109375" style="1"/>
    <col min="6" max="6" width="8.7109375" style="14"/>
    <col min="7" max="16384" width="8.7109375" style="1"/>
  </cols>
  <sheetData>
    <row r="2" spans="2:10" x14ac:dyDescent="0.3">
      <c r="B2" s="23" t="s">
        <v>296</v>
      </c>
      <c r="C2" s="24"/>
      <c r="D2" s="24"/>
      <c r="E2" s="24"/>
      <c r="F2" s="15"/>
      <c r="G2" s="24"/>
      <c r="H2" s="24"/>
      <c r="I2" s="24"/>
      <c r="J2" s="8"/>
    </row>
    <row r="3" spans="2:10" x14ac:dyDescent="0.3">
      <c r="B3" s="24" t="s">
        <v>277</v>
      </c>
      <c r="C3" s="24"/>
      <c r="D3" s="24"/>
      <c r="E3" s="24"/>
      <c r="F3" s="15"/>
      <c r="G3" s="24"/>
      <c r="H3" s="24"/>
      <c r="I3" s="24"/>
      <c r="J3" s="8"/>
    </row>
    <row r="5" spans="2:10" x14ac:dyDescent="0.3">
      <c r="C5" s="1" t="s">
        <v>5</v>
      </c>
      <c r="D5" s="1" t="s">
        <v>6</v>
      </c>
      <c r="E5" s="1" t="s">
        <v>7</v>
      </c>
      <c r="F5" s="14" t="s">
        <v>2</v>
      </c>
    </row>
    <row r="6" spans="2:10" x14ac:dyDescent="0.3">
      <c r="C6" s="1" t="s">
        <v>3</v>
      </c>
      <c r="D6" s="1" t="s">
        <v>3</v>
      </c>
      <c r="E6" s="1" t="s">
        <v>3</v>
      </c>
    </row>
    <row r="7" spans="2:10" x14ac:dyDescent="0.3">
      <c r="B7" s="1">
        <v>2005</v>
      </c>
      <c r="C7" s="4">
        <v>12.6771251833429</v>
      </c>
      <c r="D7" s="4">
        <v>12.6771251833429</v>
      </c>
      <c r="E7" s="4">
        <v>12.6771251833429</v>
      </c>
    </row>
    <row r="8" spans="2:10" x14ac:dyDescent="0.3">
      <c r="B8" s="1">
        <v>2006</v>
      </c>
      <c r="C8" s="4">
        <v>9.8280412020090235</v>
      </c>
      <c r="D8" s="4">
        <v>9.8280412020090235</v>
      </c>
      <c r="E8" s="4">
        <v>9.8280412020090235</v>
      </c>
    </row>
    <row r="9" spans="2:10" x14ac:dyDescent="0.3">
      <c r="B9" s="1">
        <v>2007</v>
      </c>
      <c r="C9" s="4">
        <v>7.5249625063439831</v>
      </c>
      <c r="D9" s="4">
        <v>7.5249625063439831</v>
      </c>
      <c r="E9" s="4">
        <v>7.5249625063439831</v>
      </c>
    </row>
    <row r="10" spans="2:10" x14ac:dyDescent="0.3">
      <c r="B10" s="1">
        <v>2008</v>
      </c>
      <c r="C10" s="4">
        <v>5.4305301887291879</v>
      </c>
      <c r="D10" s="4">
        <v>5.4305301887291879</v>
      </c>
      <c r="E10" s="4">
        <v>5.4305301887291879</v>
      </c>
    </row>
    <row r="11" spans="2:10" x14ac:dyDescent="0.3">
      <c r="B11" s="1">
        <v>2009</v>
      </c>
      <c r="C11" s="4">
        <v>9.0178787783010428</v>
      </c>
      <c r="D11" s="4">
        <v>9.0178787783010428</v>
      </c>
      <c r="E11" s="4">
        <v>9.0178787783010428</v>
      </c>
    </row>
    <row r="12" spans="2:10" x14ac:dyDescent="0.3">
      <c r="B12" s="1">
        <v>2010</v>
      </c>
      <c r="C12" s="4">
        <v>13.54831190810375</v>
      </c>
      <c r="D12" s="4">
        <v>13.54831190810375</v>
      </c>
      <c r="E12" s="4">
        <v>13.54831190810375</v>
      </c>
    </row>
    <row r="13" spans="2:10" x14ac:dyDescent="0.3">
      <c r="B13" s="1">
        <v>2011</v>
      </c>
      <c r="C13" s="4">
        <v>19.470349057244611</v>
      </c>
      <c r="D13" s="4">
        <v>19.470349057244611</v>
      </c>
      <c r="E13" s="4">
        <v>19.470349057244611</v>
      </c>
    </row>
    <row r="14" spans="2:10" x14ac:dyDescent="0.3">
      <c r="B14" s="1">
        <v>2012</v>
      </c>
      <c r="C14" s="4">
        <v>23.546331965594316</v>
      </c>
      <c r="D14" s="4">
        <v>23.546331965594316</v>
      </c>
      <c r="E14" s="4">
        <v>23.546331965594316</v>
      </c>
    </row>
    <row r="15" spans="2:10" x14ac:dyDescent="0.3">
      <c r="B15" s="1">
        <v>2013</v>
      </c>
      <c r="C15" s="4">
        <v>25.474147173822789</v>
      </c>
      <c r="D15" s="4">
        <v>25.474147173822789</v>
      </c>
      <c r="E15" s="4">
        <v>25.474147173822789</v>
      </c>
    </row>
    <row r="16" spans="2:10" x14ac:dyDescent="0.3">
      <c r="B16" s="1">
        <v>2014</v>
      </c>
      <c r="C16" s="4">
        <v>25.281901362997836</v>
      </c>
      <c r="D16" s="4">
        <v>25.281901362997836</v>
      </c>
      <c r="E16" s="4">
        <v>25.281901362997836</v>
      </c>
    </row>
    <row r="17" spans="2:6" x14ac:dyDescent="0.3">
      <c r="B17" s="1">
        <v>2015</v>
      </c>
      <c r="C17" s="4">
        <v>24.659578967918268</v>
      </c>
      <c r="D17" s="4">
        <v>24.659578967918268</v>
      </c>
      <c r="E17" s="4">
        <v>24.659578967918268</v>
      </c>
    </row>
    <row r="18" spans="2:6" x14ac:dyDescent="0.3">
      <c r="B18" s="1">
        <v>2016</v>
      </c>
      <c r="C18" s="4">
        <v>23.898443202576772</v>
      </c>
      <c r="D18" s="4">
        <v>23.898443202576772</v>
      </c>
      <c r="E18" s="4">
        <v>23.898443202576772</v>
      </c>
    </row>
    <row r="19" spans="2:6" x14ac:dyDescent="0.3">
      <c r="B19" s="1">
        <v>2017</v>
      </c>
      <c r="C19" s="4">
        <v>21.560411199234441</v>
      </c>
      <c r="D19" s="4">
        <v>21.560411199234441</v>
      </c>
      <c r="E19" s="4">
        <v>21.560411199234441</v>
      </c>
    </row>
    <row r="20" spans="2:6" x14ac:dyDescent="0.3">
      <c r="B20" s="1">
        <v>2018</v>
      </c>
      <c r="C20" s="4">
        <v>19.436002663809045</v>
      </c>
      <c r="D20" s="4">
        <v>19.436002663809045</v>
      </c>
      <c r="E20" s="4">
        <v>19.436002663809045</v>
      </c>
    </row>
    <row r="21" spans="2:6" x14ac:dyDescent="0.3">
      <c r="B21" s="1">
        <v>2019</v>
      </c>
      <c r="C21" s="4">
        <v>18.593806358530429</v>
      </c>
      <c r="D21" s="4">
        <v>18.593806358530429</v>
      </c>
      <c r="E21" s="4">
        <v>18.593806358530429</v>
      </c>
    </row>
    <row r="22" spans="2:6" x14ac:dyDescent="0.3">
      <c r="B22" s="1">
        <v>2020</v>
      </c>
      <c r="C22" s="4">
        <v>26.249012218580681</v>
      </c>
      <c r="D22" s="4">
        <v>26.249012218580681</v>
      </c>
      <c r="E22" s="4">
        <v>26.249012218580681</v>
      </c>
    </row>
    <row r="23" spans="2:6" x14ac:dyDescent="0.3">
      <c r="B23" s="1">
        <v>2021</v>
      </c>
      <c r="C23" s="4">
        <v>29.726872708529303</v>
      </c>
      <c r="D23" s="4">
        <v>29.726872708529303</v>
      </c>
      <c r="E23" s="4">
        <v>29.726872708529303</v>
      </c>
    </row>
    <row r="24" spans="2:6" x14ac:dyDescent="0.3">
      <c r="B24" s="1">
        <v>2022</v>
      </c>
      <c r="C24" s="4">
        <v>35.238545756816755</v>
      </c>
      <c r="D24" s="4">
        <v>35.238545756816755</v>
      </c>
      <c r="E24" s="4">
        <v>35.238545756816755</v>
      </c>
    </row>
    <row r="25" spans="2:6" x14ac:dyDescent="0.3">
      <c r="B25" s="1">
        <v>2023</v>
      </c>
      <c r="C25" s="4">
        <v>38.668698807362532</v>
      </c>
      <c r="D25" s="4">
        <v>38.668698807362532</v>
      </c>
      <c r="E25" s="4">
        <v>38.668698807362532</v>
      </c>
    </row>
    <row r="26" spans="2:6" x14ac:dyDescent="0.3">
      <c r="B26" s="1">
        <v>2024</v>
      </c>
      <c r="C26" s="4">
        <v>41.715364388928769</v>
      </c>
      <c r="D26" s="4">
        <v>41.715364388928769</v>
      </c>
      <c r="E26" s="4">
        <v>41.715364388928769</v>
      </c>
    </row>
    <row r="27" spans="2:6" x14ac:dyDescent="0.3">
      <c r="B27" s="1">
        <v>2025</v>
      </c>
      <c r="C27" s="4">
        <v>42.662266631123217</v>
      </c>
      <c r="D27" s="4">
        <v>42.662266631123217</v>
      </c>
      <c r="E27" s="4">
        <v>42.662266631123217</v>
      </c>
    </row>
    <row r="28" spans="2:6" x14ac:dyDescent="0.3">
      <c r="B28" s="1">
        <v>2026</v>
      </c>
      <c r="C28" s="4">
        <v>43.856251533527278</v>
      </c>
      <c r="D28" s="4">
        <v>43.856251533527278</v>
      </c>
      <c r="E28" s="4">
        <v>43.856251533527278</v>
      </c>
    </row>
    <row r="29" spans="2:6" x14ac:dyDescent="0.3">
      <c r="B29" s="1">
        <v>2027</v>
      </c>
      <c r="C29" s="4">
        <v>45.720325679720375</v>
      </c>
      <c r="D29" s="4">
        <v>45.720325679720375</v>
      </c>
      <c r="E29" s="4">
        <v>45.720325679720375</v>
      </c>
    </row>
    <row r="30" spans="2:6" x14ac:dyDescent="0.3">
      <c r="B30" s="1">
        <v>2028</v>
      </c>
      <c r="C30" s="4">
        <v>45.96997999464925</v>
      </c>
      <c r="D30" s="4">
        <v>45.96997999464925</v>
      </c>
      <c r="E30" s="4">
        <v>45.96997999464925</v>
      </c>
    </row>
    <row r="31" spans="2:6" x14ac:dyDescent="0.3">
      <c r="B31" s="1">
        <v>2029</v>
      </c>
      <c r="C31" s="4">
        <v>45.507534505325083</v>
      </c>
      <c r="D31" s="4">
        <v>45.507534505325083</v>
      </c>
      <c r="E31" s="4">
        <v>45.507534505325083</v>
      </c>
      <c r="F31" s="14">
        <v>1</v>
      </c>
    </row>
    <row r="32" spans="2:6" x14ac:dyDescent="0.3">
      <c r="B32" s="1">
        <v>2030</v>
      </c>
      <c r="C32" s="4">
        <v>45.994639863852179</v>
      </c>
      <c r="D32" s="4">
        <v>44.90808167025704</v>
      </c>
      <c r="E32" s="4">
        <v>45.804992337329885</v>
      </c>
    </row>
    <row r="33" spans="2:5" x14ac:dyDescent="0.3">
      <c r="B33" s="1">
        <v>2031</v>
      </c>
      <c r="C33" s="4">
        <v>46.745755798944231</v>
      </c>
      <c r="D33" s="4">
        <v>44.635672348519712</v>
      </c>
      <c r="E33" s="4">
        <v>46.173425979863666</v>
      </c>
    </row>
    <row r="34" spans="2:5" x14ac:dyDescent="0.3">
      <c r="B34" s="1">
        <v>2032</v>
      </c>
      <c r="C34" s="4">
        <v>47.902018331619956</v>
      </c>
      <c r="D34" s="4">
        <v>44.849861542154265</v>
      </c>
      <c r="E34" s="4">
        <v>46.735648551535817</v>
      </c>
    </row>
    <row r="35" spans="2:5" x14ac:dyDescent="0.3">
      <c r="B35" s="1">
        <v>2033</v>
      </c>
      <c r="C35" s="4">
        <v>49.474451588221683</v>
      </c>
      <c r="D35" s="4">
        <v>45.634400460940249</v>
      </c>
      <c r="E35" s="4">
        <v>47.465286934836016</v>
      </c>
    </row>
    <row r="36" spans="2:5" x14ac:dyDescent="0.3">
      <c r="B36" s="1">
        <v>2034</v>
      </c>
      <c r="C36" s="4">
        <v>51.410059238652636</v>
      </c>
      <c r="D36" s="4">
        <v>46.911181894064633</v>
      </c>
      <c r="E36" s="4">
        <v>48.261682150316652</v>
      </c>
    </row>
    <row r="37" spans="2:5" x14ac:dyDescent="0.3">
      <c r="B37" s="1">
        <v>2035</v>
      </c>
      <c r="C37" s="4">
        <v>53.639633556887688</v>
      </c>
      <c r="D37" s="4">
        <v>48.496892830365226</v>
      </c>
      <c r="E37" s="4">
        <v>49.271835750037766</v>
      </c>
    </row>
    <row r="38" spans="2:5" x14ac:dyDescent="0.3">
      <c r="B38" s="1">
        <v>2036</v>
      </c>
      <c r="C38" s="4">
        <v>55.792886503026232</v>
      </c>
      <c r="D38" s="4">
        <v>50.405531123640877</v>
      </c>
      <c r="E38" s="4">
        <v>50.120245520384479</v>
      </c>
    </row>
    <row r="39" spans="2:5" x14ac:dyDescent="0.3">
      <c r="B39" s="1">
        <v>2037</v>
      </c>
      <c r="C39" s="4">
        <v>58.042324639763123</v>
      </c>
      <c r="D39" s="4">
        <v>52.653303264770749</v>
      </c>
      <c r="E39" s="4">
        <v>50.988546469272933</v>
      </c>
    </row>
    <row r="40" spans="2:5" x14ac:dyDescent="0.3">
      <c r="B40" s="1">
        <v>2038</v>
      </c>
      <c r="C40" s="4">
        <v>60.498660534783376</v>
      </c>
      <c r="D40" s="4">
        <v>55.272436147338475</v>
      </c>
      <c r="E40" s="4">
        <v>52.015836558980922</v>
      </c>
    </row>
    <row r="41" spans="2:5" x14ac:dyDescent="0.3">
      <c r="B41" s="1">
        <v>2039</v>
      </c>
      <c r="C41" s="4">
        <v>63.174159719252209</v>
      </c>
      <c r="D41" s="4">
        <v>58.289226467936381</v>
      </c>
      <c r="E41" s="4">
        <v>53.188080234909052</v>
      </c>
    </row>
    <row r="42" spans="2:5" x14ac:dyDescent="0.3">
      <c r="B42" s="1">
        <v>2040</v>
      </c>
      <c r="C42" s="4">
        <v>66.002794014467909</v>
      </c>
      <c r="D42" s="4">
        <v>61.737888627809426</v>
      </c>
      <c r="E42" s="4">
        <v>54.434602875636585</v>
      </c>
    </row>
    <row r="43" spans="2:5" x14ac:dyDescent="0.3">
      <c r="B43" s="1">
        <v>2041</v>
      </c>
      <c r="C43" s="4">
        <v>68.992727316958778</v>
      </c>
      <c r="D43" s="4">
        <v>65.64272445926305</v>
      </c>
      <c r="E43" s="4">
        <v>55.763944333898344</v>
      </c>
    </row>
    <row r="44" spans="2:5" x14ac:dyDescent="0.3">
      <c r="B44" s="1">
        <v>2042</v>
      </c>
      <c r="C44" s="4">
        <v>72.143805681006384</v>
      </c>
      <c r="D44" s="4">
        <v>70.019339069046055</v>
      </c>
      <c r="E44" s="4">
        <v>57.17820966335475</v>
      </c>
    </row>
    <row r="45" spans="2:5" x14ac:dyDescent="0.3">
      <c r="B45" s="1">
        <v>2043</v>
      </c>
      <c r="C45" s="4">
        <v>75.45883598356383</v>
      </c>
      <c r="D45" s="4">
        <v>74.900533259889528</v>
      </c>
      <c r="E45" s="4">
        <v>58.671600949151646</v>
      </c>
    </row>
    <row r="46" spans="2:5" x14ac:dyDescent="0.3">
      <c r="B46" s="1">
        <v>2044</v>
      </c>
      <c r="C46" s="4">
        <v>78.940304126756189</v>
      </c>
      <c r="D46" s="4">
        <v>80.321668312816584</v>
      </c>
      <c r="E46" s="4">
        <v>60.241199611115704</v>
      </c>
    </row>
    <row r="47" spans="2:5" x14ac:dyDescent="0.3">
      <c r="B47" s="1">
        <v>2045</v>
      </c>
      <c r="C47" s="4">
        <v>82.592221057046871</v>
      </c>
      <c r="D47" s="4">
        <v>86.312723460823847</v>
      </c>
      <c r="E47" s="4">
        <v>61.882808720225214</v>
      </c>
    </row>
    <row r="48" spans="2:5" x14ac:dyDescent="0.3">
      <c r="B48" s="1">
        <v>2046</v>
      </c>
      <c r="C48" s="4">
        <v>86.419370432243412</v>
      </c>
      <c r="D48" s="4">
        <v>92.916656615436267</v>
      </c>
      <c r="E48" s="4">
        <v>63.593344711032351</v>
      </c>
    </row>
    <row r="49" spans="2:5" x14ac:dyDescent="0.3">
      <c r="B49" s="1">
        <v>2047</v>
      </c>
      <c r="C49" s="4">
        <v>90.426369443103468</v>
      </c>
      <c r="D49" s="4">
        <v>100.16915441025134</v>
      </c>
      <c r="E49" s="4">
        <v>65.366023360538378</v>
      </c>
    </row>
    <row r="50" spans="2:5" x14ac:dyDescent="0.3">
      <c r="B50" s="1">
        <v>2048</v>
      </c>
      <c r="C50" s="4">
        <v>94.620476617891711</v>
      </c>
      <c r="D50" s="4">
        <v>108.11070198771139</v>
      </c>
      <c r="E50" s="4">
        <v>67.197541102368888</v>
      </c>
    </row>
    <row r="51" spans="2:5" x14ac:dyDescent="0.3">
      <c r="B51" s="1">
        <v>2049</v>
      </c>
      <c r="C51" s="4">
        <v>99.00777145746747</v>
      </c>
      <c r="D51" s="4">
        <v>116.78553892304055</v>
      </c>
      <c r="E51" s="4">
        <v>69.079816867146675</v>
      </c>
    </row>
    <row r="52" spans="2:5" x14ac:dyDescent="0.3">
      <c r="B52" s="1">
        <v>2050</v>
      </c>
      <c r="C52" s="4">
        <v>103.59208253345477</v>
      </c>
      <c r="D52" s="4">
        <v>126.24324933163753</v>
      </c>
      <c r="E52" s="4">
        <v>71.001969015024216</v>
      </c>
    </row>
    <row r="53" spans="2:5" x14ac:dyDescent="0.3">
      <c r="B53" s="1">
        <v>2051</v>
      </c>
      <c r="C53" s="4">
        <v>108.37763071072106</v>
      </c>
      <c r="D53" s="4">
        <v>136.52023743810349</v>
      </c>
      <c r="E53" s="4">
        <v>72.964656165258234</v>
      </c>
    </row>
    <row r="54" spans="2:5" x14ac:dyDescent="0.3">
      <c r="B54" s="1">
        <v>2052</v>
      </c>
      <c r="C54" s="4">
        <v>113.37678136034725</v>
      </c>
      <c r="D54" s="4">
        <v>147.67989272031636</v>
      </c>
      <c r="E54" s="4">
        <v>74.956326931226812</v>
      </c>
    </row>
    <row r="55" spans="2:5" x14ac:dyDescent="0.3">
      <c r="B55" s="1">
        <v>2053</v>
      </c>
      <c r="C55" s="4">
        <v>118.595341758323</v>
      </c>
      <c r="D55" s="4">
        <v>159.77036880591805</v>
      </c>
      <c r="E55" s="4">
        <v>76.97083104202008</v>
      </c>
    </row>
    <row r="56" spans="2:5" x14ac:dyDescent="0.3">
      <c r="B56" s="1">
        <v>2054</v>
      </c>
      <c r="C56" s="4">
        <v>124.03839608169436</v>
      </c>
      <c r="D56" s="4">
        <v>172.83375802016724</v>
      </c>
      <c r="E56" s="4">
        <v>79.006405634461558</v>
      </c>
    </row>
    <row r="57" spans="2:5" x14ac:dyDescent="0.3">
      <c r="B57" s="1">
        <v>2055</v>
      </c>
      <c r="C57" s="4">
        <v>129.71358707590875</v>
      </c>
      <c r="D57" s="4">
        <v>186.9233793170923</v>
      </c>
      <c r="E57" s="4">
        <v>81.061969036025729</v>
      </c>
    </row>
    <row r="58" spans="2:5" x14ac:dyDescent="0.3">
      <c r="B58" s="1">
        <v>2056</v>
      </c>
      <c r="C58" s="4">
        <v>135.63550650685855</v>
      </c>
      <c r="D58" s="4">
        <v>202.10369274369336</v>
      </c>
      <c r="E58" s="4">
        <v>83.13569627673597</v>
      </c>
    </row>
    <row r="59" spans="2:5" x14ac:dyDescent="0.3">
      <c r="B59" s="1">
        <v>2057</v>
      </c>
      <c r="C59" s="4">
        <v>141.80317962623471</v>
      </c>
      <c r="D59" s="4">
        <v>218.40457689076084</v>
      </c>
      <c r="E59" s="4">
        <v>85.22921794522172</v>
      </c>
    </row>
    <row r="60" spans="2:5" x14ac:dyDescent="0.3">
      <c r="B60" s="1">
        <v>2058</v>
      </c>
      <c r="C60" s="4">
        <v>148.21684127458337</v>
      </c>
      <c r="D60" s="4">
        <v>235.87345346168789</v>
      </c>
      <c r="E60" s="4">
        <v>87.337059880894799</v>
      </c>
    </row>
    <row r="61" spans="2:5" x14ac:dyDescent="0.3">
      <c r="B61" s="1">
        <v>2059</v>
      </c>
      <c r="C61" s="4">
        <v>154.87340162203637</v>
      </c>
      <c r="D61" s="4">
        <v>254.54035058201808</v>
      </c>
      <c r="E61" s="4">
        <v>89.456073977046287</v>
      </c>
    </row>
    <row r="62" spans="2:5" x14ac:dyDescent="0.3">
      <c r="B62" s="1">
        <v>2060</v>
      </c>
      <c r="C62" s="4">
        <v>161.77874586949704</v>
      </c>
      <c r="D62" s="4">
        <v>274.44933369501928</v>
      </c>
      <c r="E62" s="4">
        <v>91.596247967881339</v>
      </c>
    </row>
    <row r="63" spans="2:5" x14ac:dyDescent="0.3">
      <c r="B63" s="1">
        <v>2061</v>
      </c>
      <c r="C63" s="4">
        <v>168.92589308825092</v>
      </c>
      <c r="D63" s="4">
        <v>295.62574942822067</v>
      </c>
      <c r="E63" s="4">
        <v>93.754608152690011</v>
      </c>
    </row>
    <row r="64" spans="2:5" x14ac:dyDescent="0.3">
      <c r="B64" s="1">
        <v>2062</v>
      </c>
      <c r="C64" s="4">
        <v>176.32532755945135</v>
      </c>
      <c r="D64" s="4">
        <v>318.15081401416052</v>
      </c>
      <c r="E64" s="4">
        <v>95.934229895541961</v>
      </c>
    </row>
    <row r="65" spans="2:5" x14ac:dyDescent="0.3">
      <c r="B65" s="1">
        <v>2063</v>
      </c>
      <c r="C65" s="4">
        <v>183.97419005984332</v>
      </c>
      <c r="D65" s="4">
        <v>342.02599934132593</v>
      </c>
      <c r="E65" s="4">
        <v>98.1396180361902</v>
      </c>
    </row>
    <row r="66" spans="2:5" x14ac:dyDescent="0.3">
      <c r="B66" s="1">
        <v>2064</v>
      </c>
      <c r="C66" s="4">
        <v>191.87530189258945</v>
      </c>
      <c r="D66" s="4">
        <v>367.3363682629801</v>
      </c>
      <c r="E66" s="4">
        <v>100.37542719521493</v>
      </c>
    </row>
    <row r="67" spans="2:5" x14ac:dyDescent="0.3">
      <c r="B67" s="1">
        <v>2065</v>
      </c>
      <c r="C67" s="4">
        <v>200.04067114934801</v>
      </c>
      <c r="D67" s="4">
        <v>394.14396695767789</v>
      </c>
      <c r="E67" s="4">
        <v>102.64643119027485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229D-EA4B-41ED-A210-F5DE875729F4}">
  <sheetPr codeName="Sheet57"/>
  <dimension ref="B2:Q82"/>
  <sheetViews>
    <sheetView workbookViewId="0"/>
  </sheetViews>
  <sheetFormatPr defaultColWidth="8.7109375" defaultRowHeight="16.5" x14ac:dyDescent="0.3"/>
  <cols>
    <col min="1" max="2" width="8.7109375" style="1"/>
    <col min="3" max="3" width="17.42578125" style="1" customWidth="1"/>
    <col min="4" max="4" width="24" style="1" customWidth="1"/>
    <col min="5" max="15" width="8.7109375" style="1"/>
    <col min="16" max="16" width="25.28515625" style="38" customWidth="1"/>
    <col min="17" max="17" width="24.85546875" style="38" customWidth="1"/>
    <col min="18" max="16384" width="8.7109375" style="1"/>
  </cols>
  <sheetData>
    <row r="2" spans="2:17" x14ac:dyDescent="0.3">
      <c r="B2" s="95" t="s">
        <v>297</v>
      </c>
      <c r="C2" s="8"/>
      <c r="D2" s="8"/>
      <c r="E2" s="8"/>
      <c r="F2" s="8"/>
      <c r="G2" s="8"/>
      <c r="H2" s="8"/>
      <c r="I2" s="8"/>
      <c r="J2" s="8"/>
      <c r="K2" s="8"/>
    </row>
    <row r="3" spans="2:17" x14ac:dyDescent="0.3">
      <c r="B3" s="8" t="s">
        <v>293</v>
      </c>
      <c r="C3" s="8"/>
      <c r="D3" s="8"/>
      <c r="E3" s="8"/>
      <c r="F3" s="8"/>
      <c r="G3" s="8"/>
      <c r="H3" s="8"/>
      <c r="I3" s="8"/>
      <c r="J3" s="8"/>
      <c r="K3" s="8"/>
    </row>
    <row r="5" spans="2:17" s="35" customFormat="1" ht="87.75" customHeight="1" x14ac:dyDescent="0.3">
      <c r="C5" s="35" t="s">
        <v>269</v>
      </c>
      <c r="D5" s="35" t="s">
        <v>134</v>
      </c>
      <c r="P5" s="60"/>
      <c r="Q5" s="60"/>
    </row>
    <row r="6" spans="2:17" s="35" customFormat="1" x14ac:dyDescent="0.3">
      <c r="C6" s="35" t="s">
        <v>161</v>
      </c>
      <c r="D6" s="35" t="s">
        <v>161</v>
      </c>
      <c r="P6" s="60"/>
      <c r="Q6" s="60"/>
    </row>
    <row r="7" spans="2:17" x14ac:dyDescent="0.3">
      <c r="B7" s="1">
        <v>2025</v>
      </c>
      <c r="C7" s="4">
        <v>20.974358039955199</v>
      </c>
      <c r="D7" s="4">
        <v>21.039485816234802</v>
      </c>
      <c r="F7" s="4"/>
      <c r="G7" s="4"/>
      <c r="O7" s="4"/>
      <c r="P7" s="94"/>
      <c r="Q7" s="61"/>
    </row>
    <row r="8" spans="2:17" x14ac:dyDescent="0.3">
      <c r="B8" s="1">
        <v>2026</v>
      </c>
      <c r="C8" s="4">
        <v>21.646005440082099</v>
      </c>
      <c r="D8" s="4">
        <v>21.091632888844298</v>
      </c>
      <c r="F8" s="4"/>
      <c r="G8" s="4"/>
      <c r="O8" s="4"/>
      <c r="P8" s="94"/>
      <c r="Q8" s="61"/>
    </row>
    <row r="9" spans="2:17" x14ac:dyDescent="0.3">
      <c r="B9" s="1">
        <v>2027</v>
      </c>
      <c r="C9" s="4">
        <v>22.083559230898999</v>
      </c>
      <c r="D9" s="4">
        <v>21.139074375247102</v>
      </c>
      <c r="F9" s="4"/>
      <c r="G9" s="4"/>
      <c r="O9" s="4"/>
      <c r="P9" s="94"/>
      <c r="Q9" s="61"/>
    </row>
    <row r="10" spans="2:17" x14ac:dyDescent="0.3">
      <c r="B10" s="1">
        <v>2028</v>
      </c>
      <c r="C10" s="4">
        <v>22.4142812385249</v>
      </c>
      <c r="D10" s="4">
        <v>21.174554507899199</v>
      </c>
      <c r="F10" s="4"/>
      <c r="G10" s="4"/>
      <c r="O10" s="4"/>
      <c r="P10" s="94"/>
      <c r="Q10" s="61"/>
    </row>
    <row r="11" spans="2:17" x14ac:dyDescent="0.3">
      <c r="B11" s="1">
        <v>2029</v>
      </c>
      <c r="C11" s="4">
        <v>22.705514311807999</v>
      </c>
      <c r="D11" s="4">
        <v>21.200274588144001</v>
      </c>
      <c r="F11" s="4"/>
      <c r="G11" s="4"/>
      <c r="O11" s="4"/>
      <c r="P11" s="94"/>
      <c r="Q11" s="61"/>
    </row>
    <row r="12" spans="2:17" x14ac:dyDescent="0.3">
      <c r="B12" s="1">
        <v>2030</v>
      </c>
      <c r="C12" s="4">
        <v>22.985075972732002</v>
      </c>
      <c r="D12" s="4">
        <v>21.221735030871798</v>
      </c>
      <c r="F12" s="4"/>
      <c r="G12" s="4"/>
      <c r="O12" s="4"/>
      <c r="P12" s="94"/>
      <c r="Q12" s="61"/>
    </row>
    <row r="13" spans="2:17" x14ac:dyDescent="0.3">
      <c r="B13" s="1">
        <v>2031</v>
      </c>
      <c r="C13" s="4">
        <v>23.238539827820201</v>
      </c>
      <c r="D13" s="4">
        <v>21.236839002057899</v>
      </c>
      <c r="F13" s="4"/>
      <c r="G13" s="4"/>
      <c r="O13" s="4"/>
      <c r="P13" s="94"/>
      <c r="Q13" s="61"/>
    </row>
    <row r="14" spans="2:17" x14ac:dyDescent="0.3">
      <c r="B14" s="1">
        <v>2032</v>
      </c>
      <c r="C14" s="4">
        <v>23.515455981901201</v>
      </c>
      <c r="D14" s="4">
        <v>21.250498474340102</v>
      </c>
      <c r="F14" s="4"/>
      <c r="G14" s="4"/>
      <c r="O14" s="4"/>
      <c r="P14" s="94"/>
      <c r="Q14" s="61"/>
    </row>
    <row r="15" spans="2:17" x14ac:dyDescent="0.3">
      <c r="B15" s="1">
        <v>2033</v>
      </c>
      <c r="C15" s="4">
        <v>23.786903308227799</v>
      </c>
      <c r="D15" s="4">
        <v>21.263484986429901</v>
      </c>
      <c r="F15" s="4"/>
      <c r="G15" s="4"/>
      <c r="O15" s="4"/>
      <c r="P15" s="94"/>
      <c r="Q15" s="61"/>
    </row>
    <row r="16" spans="2:17" x14ac:dyDescent="0.3">
      <c r="B16" s="1">
        <v>2034</v>
      </c>
      <c r="C16" s="4">
        <v>24.060368745632601</v>
      </c>
      <c r="D16" s="4">
        <v>21.276405161712201</v>
      </c>
      <c r="F16" s="4"/>
      <c r="G16" s="4"/>
      <c r="O16" s="4"/>
      <c r="P16" s="94"/>
      <c r="Q16" s="61"/>
    </row>
    <row r="17" spans="2:17" x14ac:dyDescent="0.3">
      <c r="B17" s="1">
        <v>2035</v>
      </c>
      <c r="C17" s="4">
        <v>24.327461418000599</v>
      </c>
      <c r="D17" s="4">
        <v>21.289549072964899</v>
      </c>
      <c r="F17" s="4"/>
      <c r="G17" s="4"/>
      <c r="O17" s="4"/>
      <c r="P17" s="94"/>
      <c r="Q17" s="61"/>
    </row>
    <row r="18" spans="2:17" x14ac:dyDescent="0.3">
      <c r="B18" s="1">
        <v>2036</v>
      </c>
      <c r="C18" s="4">
        <v>24.60747005156</v>
      </c>
      <c r="D18" s="4">
        <v>21.303835658213298</v>
      </c>
      <c r="F18" s="4"/>
      <c r="G18" s="4"/>
      <c r="O18" s="4"/>
      <c r="P18" s="94"/>
      <c r="Q18" s="61"/>
    </row>
    <row r="19" spans="2:17" x14ac:dyDescent="0.3">
      <c r="B19" s="1">
        <v>2037</v>
      </c>
      <c r="C19" s="4">
        <v>24.873262628022001</v>
      </c>
      <c r="D19" s="4">
        <v>21.317123120237198</v>
      </c>
      <c r="F19" s="4"/>
      <c r="G19" s="4"/>
      <c r="O19" s="4"/>
      <c r="P19" s="94"/>
      <c r="Q19" s="61"/>
    </row>
    <row r="20" spans="2:17" x14ac:dyDescent="0.3">
      <c r="B20" s="1">
        <v>2038</v>
      </c>
      <c r="C20" s="4">
        <v>25.098733796099999</v>
      </c>
      <c r="D20" s="4">
        <v>21.326301048240801</v>
      </c>
      <c r="F20" s="4"/>
      <c r="G20" s="4"/>
      <c r="O20" s="4"/>
      <c r="P20" s="94"/>
      <c r="Q20" s="61"/>
    </row>
    <row r="21" spans="2:17" x14ac:dyDescent="0.3">
      <c r="B21" s="1">
        <v>2039</v>
      </c>
      <c r="C21" s="4">
        <v>25.309309013617501</v>
      </c>
      <c r="D21" s="4">
        <v>21.3332516436441</v>
      </c>
      <c r="F21" s="4"/>
      <c r="G21" s="4"/>
      <c r="O21" s="4"/>
      <c r="P21" s="94"/>
      <c r="Q21" s="61"/>
    </row>
    <row r="22" spans="2:17" x14ac:dyDescent="0.3">
      <c r="B22" s="1">
        <v>2040</v>
      </c>
      <c r="C22" s="4">
        <v>25.484254475383501</v>
      </c>
      <c r="D22" s="4">
        <v>21.335776293738299</v>
      </c>
      <c r="F22" s="4"/>
      <c r="G22" s="4"/>
      <c r="O22" s="4"/>
      <c r="P22" s="94"/>
      <c r="Q22" s="61"/>
    </row>
    <row r="23" spans="2:17" x14ac:dyDescent="0.3">
      <c r="B23" s="1">
        <v>2041</v>
      </c>
      <c r="C23" s="4">
        <v>25.655762539786299</v>
      </c>
      <c r="D23" s="4">
        <v>21.337396221444401</v>
      </c>
      <c r="F23" s="4"/>
      <c r="G23" s="4"/>
      <c r="O23" s="4"/>
      <c r="P23" s="94"/>
      <c r="Q23" s="61"/>
    </row>
    <row r="24" spans="2:17" x14ac:dyDescent="0.3">
      <c r="B24" s="1">
        <v>2042</v>
      </c>
      <c r="C24" s="4">
        <v>25.8243005839965</v>
      </c>
      <c r="D24" s="4">
        <v>21.337597846965799</v>
      </c>
      <c r="F24" s="4"/>
      <c r="G24" s="4"/>
      <c r="O24" s="4"/>
      <c r="P24" s="94"/>
      <c r="Q24" s="61"/>
    </row>
    <row r="25" spans="2:17" x14ac:dyDescent="0.3">
      <c r="B25" s="1">
        <v>2043</v>
      </c>
      <c r="C25" s="4">
        <v>25.9842948833268</v>
      </c>
      <c r="D25" s="4">
        <v>21.337328766451002</v>
      </c>
      <c r="F25" s="4"/>
      <c r="G25" s="4"/>
      <c r="O25" s="4"/>
      <c r="P25" s="94"/>
      <c r="Q25" s="61"/>
    </row>
    <row r="26" spans="2:17" x14ac:dyDescent="0.3">
      <c r="B26" s="1">
        <v>2044</v>
      </c>
      <c r="C26" s="4">
        <v>26.206841653870999</v>
      </c>
      <c r="D26" s="4">
        <v>21.345751607198999</v>
      </c>
      <c r="F26" s="4"/>
      <c r="G26" s="4"/>
      <c r="O26" s="4"/>
      <c r="P26" s="94"/>
      <c r="Q26" s="61"/>
    </row>
    <row r="27" spans="2:17" x14ac:dyDescent="0.3">
      <c r="B27" s="1">
        <v>2045</v>
      </c>
      <c r="C27" s="4">
        <v>26.4313489580191</v>
      </c>
      <c r="D27" s="4">
        <v>21.356623140058201</v>
      </c>
      <c r="F27" s="4"/>
      <c r="G27" s="4"/>
      <c r="O27" s="4"/>
      <c r="P27" s="94"/>
      <c r="Q27" s="61"/>
    </row>
    <row r="28" spans="2:17" x14ac:dyDescent="0.3">
      <c r="B28" s="1">
        <v>2046</v>
      </c>
      <c r="C28" s="4">
        <v>26.645093570713499</v>
      </c>
      <c r="D28" s="4">
        <v>21.365791976929099</v>
      </c>
      <c r="F28" s="4"/>
      <c r="G28" s="4"/>
      <c r="O28" s="4"/>
      <c r="P28" s="94"/>
      <c r="Q28" s="61"/>
    </row>
    <row r="29" spans="2:17" x14ac:dyDescent="0.3">
      <c r="B29" s="1">
        <v>2047</v>
      </c>
      <c r="C29" s="4">
        <v>26.8813977171449</v>
      </c>
      <c r="D29" s="4">
        <v>21.376504060950602</v>
      </c>
      <c r="F29" s="4"/>
      <c r="G29" s="4"/>
      <c r="O29" s="4"/>
      <c r="P29" s="94"/>
      <c r="Q29" s="61"/>
    </row>
    <row r="30" spans="2:17" x14ac:dyDescent="0.3">
      <c r="B30" s="1">
        <v>2048</v>
      </c>
      <c r="C30" s="4">
        <v>27.137023960583399</v>
      </c>
      <c r="D30" s="4">
        <v>21.389491013367898</v>
      </c>
      <c r="F30" s="4"/>
      <c r="G30" s="4"/>
      <c r="O30" s="4"/>
      <c r="P30" s="94"/>
      <c r="Q30" s="61"/>
    </row>
    <row r="31" spans="2:17" x14ac:dyDescent="0.3">
      <c r="B31" s="1">
        <v>2049</v>
      </c>
      <c r="C31" s="4">
        <v>27.400093196072699</v>
      </c>
      <c r="D31" s="4">
        <v>21.404296554438499</v>
      </c>
      <c r="F31" s="4"/>
      <c r="G31" s="4"/>
      <c r="O31" s="4"/>
      <c r="P31" s="94"/>
      <c r="Q31" s="61"/>
    </row>
    <row r="32" spans="2:17" x14ac:dyDescent="0.3">
      <c r="B32" s="1">
        <v>2050</v>
      </c>
      <c r="C32" s="4">
        <v>27.673520363505801</v>
      </c>
      <c r="D32" s="4">
        <v>21.420900136576702</v>
      </c>
      <c r="F32" s="4"/>
      <c r="G32" s="4"/>
      <c r="O32" s="4"/>
      <c r="P32" s="94"/>
      <c r="Q32" s="61"/>
    </row>
    <row r="33" spans="2:17" x14ac:dyDescent="0.3">
      <c r="B33" s="1">
        <v>2051</v>
      </c>
      <c r="C33" s="4">
        <v>27.9585908463526</v>
      </c>
      <c r="D33" s="4">
        <v>21.439128808415902</v>
      </c>
      <c r="F33" s="4"/>
      <c r="G33" s="4"/>
      <c r="O33" s="4"/>
      <c r="P33" s="94"/>
      <c r="Q33" s="61"/>
    </row>
    <row r="34" spans="2:17" x14ac:dyDescent="0.3">
      <c r="B34" s="1">
        <v>2052</v>
      </c>
      <c r="C34" s="4">
        <v>28.275721942155698</v>
      </c>
      <c r="D34" s="4">
        <v>21.4613596081482</v>
      </c>
      <c r="F34" s="4"/>
      <c r="G34" s="4"/>
      <c r="O34" s="4"/>
      <c r="P34" s="94"/>
      <c r="Q34" s="61"/>
    </row>
    <row r="35" spans="2:17" x14ac:dyDescent="0.3">
      <c r="B35" s="1">
        <v>2053</v>
      </c>
      <c r="C35" s="4">
        <v>28.616447658561299</v>
      </c>
      <c r="D35" s="4">
        <v>21.487503565576699</v>
      </c>
      <c r="F35" s="4"/>
      <c r="G35" s="4"/>
      <c r="O35" s="4"/>
      <c r="P35" s="94"/>
      <c r="Q35" s="61"/>
    </row>
    <row r="36" spans="2:17" x14ac:dyDescent="0.3">
      <c r="B36" s="1">
        <v>2054</v>
      </c>
      <c r="C36" s="4">
        <v>28.960246641836999</v>
      </c>
      <c r="D36" s="4">
        <v>21.515618122891802</v>
      </c>
      <c r="F36" s="4"/>
      <c r="G36" s="4"/>
      <c r="O36" s="4"/>
      <c r="P36" s="94"/>
      <c r="Q36" s="61"/>
    </row>
    <row r="37" spans="2:17" x14ac:dyDescent="0.3">
      <c r="B37" s="1">
        <v>2055</v>
      </c>
      <c r="C37" s="4">
        <v>29.327731034014199</v>
      </c>
      <c r="D37" s="4">
        <v>21.547278030868402</v>
      </c>
      <c r="F37" s="4"/>
      <c r="G37" s="4"/>
      <c r="O37" s="4"/>
      <c r="P37" s="94"/>
      <c r="Q37" s="61"/>
    </row>
    <row r="38" spans="2:17" x14ac:dyDescent="0.3">
      <c r="B38" s="1">
        <v>2056</v>
      </c>
      <c r="C38" s="4">
        <v>29.698372303525499</v>
      </c>
      <c r="D38" s="4">
        <v>21.580618627566199</v>
      </c>
      <c r="F38" s="4"/>
      <c r="G38" s="4"/>
      <c r="O38" s="4"/>
      <c r="P38" s="94"/>
      <c r="Q38" s="61"/>
    </row>
    <row r="39" spans="2:17" x14ac:dyDescent="0.3">
      <c r="B39" s="1">
        <v>2057</v>
      </c>
      <c r="C39" s="4">
        <v>30.0497628080557</v>
      </c>
      <c r="D39" s="4">
        <v>21.6132689492811</v>
      </c>
      <c r="F39" s="4"/>
      <c r="G39" s="4"/>
      <c r="O39" s="4"/>
      <c r="P39" s="94"/>
      <c r="Q39" s="61"/>
    </row>
    <row r="40" spans="2:17" x14ac:dyDescent="0.3">
      <c r="B40" s="1">
        <v>2058</v>
      </c>
      <c r="C40" s="4">
        <v>30.378380586193099</v>
      </c>
      <c r="D40" s="4">
        <v>21.6446867356862</v>
      </c>
      <c r="F40" s="4"/>
      <c r="G40" s="4"/>
      <c r="O40" s="4"/>
      <c r="P40" s="94"/>
      <c r="Q40" s="61"/>
    </row>
    <row r="41" spans="2:17" x14ac:dyDescent="0.3">
      <c r="B41" s="1">
        <v>2059</v>
      </c>
      <c r="C41" s="4">
        <v>30.676717274560001</v>
      </c>
      <c r="D41" s="4">
        <v>21.672943760277299</v>
      </c>
      <c r="F41" s="4"/>
      <c r="G41" s="4"/>
      <c r="O41" s="4"/>
      <c r="P41" s="94"/>
      <c r="Q41" s="61"/>
    </row>
    <row r="42" spans="2:17" x14ac:dyDescent="0.3">
      <c r="B42" s="1">
        <v>2060</v>
      </c>
      <c r="C42" s="4">
        <v>30.968459169887499</v>
      </c>
      <c r="D42" s="4">
        <v>21.700106124587599</v>
      </c>
      <c r="F42" s="4"/>
      <c r="G42" s="4"/>
      <c r="O42" s="4"/>
      <c r="P42" s="94"/>
      <c r="Q42" s="61"/>
    </row>
    <row r="43" spans="2:17" x14ac:dyDescent="0.3">
      <c r="B43" s="1">
        <v>2061</v>
      </c>
      <c r="C43" s="4">
        <v>31.237926977435698</v>
      </c>
      <c r="D43" s="4">
        <v>21.725045779304399</v>
      </c>
      <c r="F43" s="4"/>
      <c r="G43" s="4"/>
      <c r="O43" s="4"/>
      <c r="P43" s="94"/>
      <c r="Q43" s="61"/>
    </row>
    <row r="44" spans="2:17" x14ac:dyDescent="0.3">
      <c r="B44" s="1">
        <v>2062</v>
      </c>
      <c r="C44" s="4">
        <v>31.488679898220699</v>
      </c>
      <c r="D44" s="4">
        <v>21.747506812397901</v>
      </c>
      <c r="F44" s="4"/>
      <c r="G44" s="4"/>
      <c r="O44" s="4"/>
      <c r="P44" s="94"/>
      <c r="Q44" s="61"/>
    </row>
    <row r="45" spans="2:17" x14ac:dyDescent="0.3">
      <c r="B45" s="1">
        <v>2063</v>
      </c>
      <c r="C45" s="4">
        <v>31.732165414725898</v>
      </c>
      <c r="D45" s="4">
        <v>21.769408821749298</v>
      </c>
      <c r="F45" s="4"/>
      <c r="G45" s="4"/>
      <c r="O45" s="4"/>
      <c r="P45" s="94"/>
      <c r="Q45" s="61"/>
    </row>
    <row r="46" spans="2:17" x14ac:dyDescent="0.3">
      <c r="B46" s="1">
        <v>2064</v>
      </c>
      <c r="C46" s="4">
        <v>31.953087858867299</v>
      </c>
      <c r="D46" s="4">
        <v>21.7898619148949</v>
      </c>
      <c r="F46" s="4"/>
      <c r="G46" s="4"/>
      <c r="O46" s="4"/>
      <c r="P46" s="94"/>
      <c r="Q46" s="61"/>
    </row>
    <row r="47" spans="2:17" x14ac:dyDescent="0.3">
      <c r="B47" s="1">
        <v>2065</v>
      </c>
      <c r="C47" s="4">
        <v>32.202437004526999</v>
      </c>
      <c r="D47" s="4">
        <v>21.813199418777799</v>
      </c>
      <c r="F47" s="4"/>
      <c r="G47" s="4"/>
      <c r="O47" s="4"/>
      <c r="P47" s="94"/>
      <c r="Q47" s="61"/>
    </row>
    <row r="48" spans="2:17" x14ac:dyDescent="0.3">
      <c r="B48" s="1">
        <v>2066</v>
      </c>
      <c r="C48" s="4">
        <v>32.434892014949497</v>
      </c>
      <c r="D48" s="4">
        <v>35.789605673581001</v>
      </c>
      <c r="F48" s="4"/>
      <c r="G48" s="4"/>
      <c r="O48" s="4"/>
      <c r="P48" s="94"/>
      <c r="Q48" s="61"/>
    </row>
    <row r="49" spans="2:17" x14ac:dyDescent="0.3">
      <c r="B49" s="1">
        <v>2067</v>
      </c>
      <c r="C49" s="4">
        <v>32.647976976412302</v>
      </c>
      <c r="D49" s="4">
        <v>36.097163614293699</v>
      </c>
      <c r="F49" s="4"/>
      <c r="G49" s="4"/>
      <c r="O49" s="4"/>
      <c r="P49" s="94"/>
      <c r="Q49" s="61"/>
    </row>
    <row r="50" spans="2:17" x14ac:dyDescent="0.3">
      <c r="B50" s="1">
        <v>2068</v>
      </c>
      <c r="C50" s="4">
        <v>32.874196915528302</v>
      </c>
      <c r="D50" s="4">
        <v>36.479086099899099</v>
      </c>
      <c r="F50" s="4"/>
      <c r="G50" s="4"/>
      <c r="O50" s="4"/>
      <c r="P50" s="94"/>
      <c r="Q50" s="61"/>
    </row>
    <row r="51" spans="2:17" x14ac:dyDescent="0.3">
      <c r="B51" s="1">
        <v>2069</v>
      </c>
      <c r="C51" s="4">
        <v>33.120463554957702</v>
      </c>
      <c r="D51" s="4">
        <v>36.868262080721003</v>
      </c>
      <c r="F51" s="4"/>
      <c r="G51" s="4"/>
      <c r="O51" s="4"/>
      <c r="P51" s="94"/>
      <c r="Q51" s="61"/>
    </row>
    <row r="52" spans="2:17" x14ac:dyDescent="0.3">
      <c r="B52" s="1">
        <v>2070</v>
      </c>
      <c r="C52" s="4">
        <v>33.368214893474097</v>
      </c>
      <c r="D52" s="4">
        <v>37.278251857266703</v>
      </c>
      <c r="F52" s="4"/>
      <c r="G52" s="4"/>
      <c r="O52" s="4"/>
      <c r="P52" s="94"/>
      <c r="Q52" s="61"/>
    </row>
    <row r="53" spans="2:17" x14ac:dyDescent="0.3">
      <c r="B53" s="1">
        <v>2071</v>
      </c>
      <c r="C53" s="4">
        <v>33.626776159917299</v>
      </c>
      <c r="D53" s="4">
        <v>37.704423488666698</v>
      </c>
      <c r="F53" s="4"/>
      <c r="G53" s="4"/>
      <c r="O53" s="4"/>
      <c r="P53" s="94"/>
      <c r="Q53" s="61"/>
    </row>
    <row r="54" spans="2:17" x14ac:dyDescent="0.3">
      <c r="B54" s="1">
        <v>2072</v>
      </c>
      <c r="C54" s="4">
        <v>33.932583215786003</v>
      </c>
      <c r="D54" s="4">
        <v>38.113804467209803</v>
      </c>
      <c r="F54" s="4"/>
      <c r="G54" s="4"/>
      <c r="O54" s="4"/>
      <c r="P54" s="94"/>
      <c r="Q54" s="61"/>
    </row>
    <row r="55" spans="2:17" x14ac:dyDescent="0.3">
      <c r="B55" s="1">
        <v>2073</v>
      </c>
      <c r="C55" s="4">
        <v>34.251060203056198</v>
      </c>
      <c r="D55" s="4">
        <v>38.502494477828698</v>
      </c>
      <c r="F55" s="4"/>
      <c r="G55" s="4"/>
      <c r="O55" s="4"/>
      <c r="P55" s="94"/>
      <c r="Q55" s="61"/>
    </row>
    <row r="56" spans="2:17" x14ac:dyDescent="0.3">
      <c r="B56" s="1">
        <v>2074</v>
      </c>
      <c r="C56" s="4">
        <v>34.545281886456202</v>
      </c>
      <c r="D56" s="4">
        <v>38.884407992284302</v>
      </c>
      <c r="F56" s="4"/>
      <c r="G56" s="4"/>
      <c r="O56" s="4"/>
      <c r="P56" s="94"/>
      <c r="Q56" s="61"/>
    </row>
    <row r="57" spans="2:17" x14ac:dyDescent="0.3">
      <c r="B57" s="1">
        <v>2075</v>
      </c>
      <c r="C57" s="4">
        <v>34.846944210425598</v>
      </c>
      <c r="D57" s="4">
        <v>39.2471334696573</v>
      </c>
      <c r="F57" s="4"/>
      <c r="G57" s="4"/>
      <c r="O57" s="4"/>
      <c r="P57" s="94"/>
      <c r="Q57" s="61"/>
    </row>
    <row r="58" spans="2:17" x14ac:dyDescent="0.3">
      <c r="B58" s="1">
        <v>2076</v>
      </c>
      <c r="C58" s="4">
        <v>35.135879581651501</v>
      </c>
      <c r="D58" s="4">
        <v>39.592530611777903</v>
      </c>
      <c r="F58" s="4"/>
      <c r="G58" s="4"/>
      <c r="O58" s="4"/>
      <c r="P58" s="94"/>
      <c r="Q58" s="61"/>
    </row>
    <row r="59" spans="2:17" x14ac:dyDescent="0.3">
      <c r="B59" s="1">
        <v>2077</v>
      </c>
      <c r="C59" s="4">
        <v>35.413098351629401</v>
      </c>
      <c r="D59" s="4">
        <v>39.921935875176302</v>
      </c>
      <c r="F59" s="4"/>
      <c r="G59" s="4"/>
      <c r="O59" s="4"/>
      <c r="P59" s="94"/>
      <c r="Q59" s="61"/>
    </row>
    <row r="60" spans="2:17" x14ac:dyDescent="0.3">
      <c r="B60" s="1">
        <v>2078</v>
      </c>
      <c r="C60" s="4">
        <v>35.680282863787099</v>
      </c>
      <c r="D60" s="4">
        <v>40.230363178892397</v>
      </c>
      <c r="F60" s="4"/>
      <c r="G60" s="4"/>
      <c r="O60" s="4"/>
      <c r="P60" s="94"/>
      <c r="Q60" s="61"/>
    </row>
    <row r="61" spans="2:17" x14ac:dyDescent="0.3">
      <c r="B61" s="1">
        <v>2079</v>
      </c>
      <c r="C61" s="4">
        <v>35.921090313377903</v>
      </c>
      <c r="D61" s="4">
        <v>40.527015214259301</v>
      </c>
      <c r="F61" s="4"/>
      <c r="G61" s="4"/>
      <c r="O61" s="4"/>
      <c r="P61" s="94"/>
      <c r="Q61" s="61"/>
    </row>
    <row r="62" spans="2:17" x14ac:dyDescent="0.3">
      <c r="B62" s="1">
        <v>2080</v>
      </c>
      <c r="C62" s="4">
        <v>36.1591824937789</v>
      </c>
      <c r="D62" s="4">
        <v>40.808449901112901</v>
      </c>
      <c r="F62" s="4"/>
      <c r="G62" s="4"/>
      <c r="O62" s="4"/>
      <c r="P62" s="94"/>
      <c r="Q62" s="61"/>
    </row>
    <row r="63" spans="2:17" x14ac:dyDescent="0.3">
      <c r="B63" s="1">
        <v>2081</v>
      </c>
      <c r="C63" s="4">
        <v>36.380816897538601</v>
      </c>
      <c r="D63" s="4">
        <v>41.079854840574001</v>
      </c>
      <c r="F63" s="4"/>
      <c r="G63" s="4"/>
      <c r="O63" s="4"/>
      <c r="P63" s="94"/>
      <c r="Q63" s="61"/>
    </row>
    <row r="64" spans="2:17" x14ac:dyDescent="0.3">
      <c r="B64" s="1">
        <v>2082</v>
      </c>
      <c r="C64" s="4">
        <v>36.598749453551903</v>
      </c>
      <c r="D64" s="4">
        <v>41.341105825859202</v>
      </c>
      <c r="F64" s="4"/>
      <c r="G64" s="4"/>
      <c r="O64" s="4"/>
      <c r="P64" s="94"/>
      <c r="Q64" s="61"/>
    </row>
    <row r="65" spans="2:17" x14ac:dyDescent="0.3">
      <c r="B65" s="1">
        <v>2083</v>
      </c>
      <c r="C65" s="4">
        <v>36.800537019634199</v>
      </c>
      <c r="D65" s="4">
        <v>41.597947368065498</v>
      </c>
      <c r="F65" s="4"/>
      <c r="G65" s="4"/>
      <c r="O65" s="4"/>
      <c r="P65" s="94"/>
      <c r="Q65" s="61"/>
    </row>
    <row r="66" spans="2:17" x14ac:dyDescent="0.3">
      <c r="B66" s="1">
        <v>2084</v>
      </c>
      <c r="C66" s="4">
        <v>37.0004068269862</v>
      </c>
      <c r="D66" s="4">
        <v>41.841076167597599</v>
      </c>
      <c r="F66" s="4"/>
      <c r="G66" s="4"/>
      <c r="O66" s="4"/>
      <c r="P66" s="94"/>
      <c r="Q66" s="61"/>
    </row>
    <row r="67" spans="2:17" x14ac:dyDescent="0.3">
      <c r="B67" s="1">
        <v>2085</v>
      </c>
      <c r="C67" s="4">
        <v>37.1854574209204</v>
      </c>
      <c r="D67" s="4">
        <v>42.086145056436898</v>
      </c>
      <c r="F67" s="4"/>
      <c r="G67" s="4"/>
      <c r="O67" s="4"/>
      <c r="P67" s="94"/>
      <c r="Q67" s="61"/>
    </row>
    <row r="68" spans="2:17" x14ac:dyDescent="0.3">
      <c r="B68" s="1">
        <v>2086</v>
      </c>
      <c r="C68" s="4">
        <v>37.376167907854601</v>
      </c>
      <c r="D68" s="4">
        <v>42.320345039619099</v>
      </c>
      <c r="F68" s="4"/>
      <c r="G68" s="4"/>
      <c r="O68" s="4"/>
      <c r="P68" s="94"/>
      <c r="Q68" s="61"/>
    </row>
    <row r="69" spans="2:17" x14ac:dyDescent="0.3">
      <c r="B69" s="1">
        <v>2087</v>
      </c>
      <c r="C69" s="4">
        <v>37.563152900400603</v>
      </c>
      <c r="D69" s="4">
        <v>42.548720843123697</v>
      </c>
      <c r="F69" s="4"/>
      <c r="G69" s="4"/>
      <c r="O69" s="4"/>
      <c r="P69" s="94"/>
      <c r="Q69" s="61"/>
    </row>
    <row r="70" spans="2:17" x14ac:dyDescent="0.3">
      <c r="B70" s="1">
        <v>2088</v>
      </c>
      <c r="C70" s="4">
        <v>37.704777691932001</v>
      </c>
      <c r="D70" s="4">
        <v>42.804648838830403</v>
      </c>
      <c r="F70" s="4"/>
      <c r="G70" s="4"/>
      <c r="O70" s="4"/>
      <c r="P70" s="94"/>
      <c r="Q70" s="61"/>
    </row>
    <row r="71" spans="2:17" x14ac:dyDescent="0.3">
      <c r="B71" s="1">
        <v>2089</v>
      </c>
      <c r="C71" s="4">
        <v>37.849313187326402</v>
      </c>
      <c r="D71" s="4">
        <v>43.078791325336503</v>
      </c>
      <c r="F71" s="4"/>
      <c r="G71" s="4"/>
      <c r="O71" s="4"/>
      <c r="P71" s="94"/>
      <c r="Q71" s="61"/>
    </row>
    <row r="72" spans="2:17" x14ac:dyDescent="0.3">
      <c r="B72" s="1">
        <v>2090</v>
      </c>
      <c r="C72" s="4">
        <v>38.016742717091503</v>
      </c>
      <c r="D72" s="4">
        <v>43.355554265183798</v>
      </c>
      <c r="F72" s="4"/>
      <c r="G72" s="4"/>
      <c r="O72" s="4"/>
      <c r="P72" s="94"/>
      <c r="Q72" s="61"/>
    </row>
    <row r="73" spans="2:17" x14ac:dyDescent="0.3">
      <c r="B73" s="1">
        <v>2091</v>
      </c>
      <c r="C73" s="4">
        <v>38.182426599087698</v>
      </c>
      <c r="D73" s="4">
        <v>43.636604645304203</v>
      </c>
      <c r="F73" s="4"/>
      <c r="G73" s="4"/>
      <c r="O73" s="4"/>
      <c r="P73" s="94"/>
      <c r="Q73" s="61"/>
    </row>
    <row r="74" spans="2:17" x14ac:dyDescent="0.3">
      <c r="B74" s="1">
        <v>2092</v>
      </c>
      <c r="C74" s="4">
        <v>38.349975111909401</v>
      </c>
      <c r="D74" s="4">
        <v>43.923861186402299</v>
      </c>
      <c r="F74" s="4"/>
      <c r="G74" s="4"/>
      <c r="O74" s="4"/>
      <c r="P74" s="94"/>
      <c r="Q74" s="61"/>
    </row>
    <row r="75" spans="2:17" x14ac:dyDescent="0.3">
      <c r="B75" s="1">
        <v>2093</v>
      </c>
      <c r="C75" s="4">
        <v>38.514967649304502</v>
      </c>
      <c r="D75" s="4">
        <v>44.2108197357582</v>
      </c>
      <c r="F75" s="4"/>
      <c r="G75" s="4"/>
      <c r="O75" s="4"/>
      <c r="P75" s="94"/>
      <c r="Q75" s="61"/>
    </row>
    <row r="76" spans="2:17" x14ac:dyDescent="0.3">
      <c r="B76" s="1">
        <v>2094</v>
      </c>
      <c r="C76" s="4">
        <v>38.672616631945203</v>
      </c>
      <c r="D76" s="4">
        <v>44.4960369920829</v>
      </c>
      <c r="F76" s="4"/>
      <c r="G76" s="4"/>
      <c r="O76" s="4"/>
      <c r="P76" s="94"/>
      <c r="Q76" s="61"/>
    </row>
    <row r="77" spans="2:17" x14ac:dyDescent="0.3">
      <c r="B77" s="1">
        <v>2095</v>
      </c>
      <c r="C77" s="4">
        <v>38.830215368732397</v>
      </c>
      <c r="D77" s="4">
        <v>44.778789804424399</v>
      </c>
      <c r="F77" s="4"/>
      <c r="G77" s="4"/>
      <c r="O77" s="4"/>
      <c r="P77" s="94"/>
      <c r="Q77" s="61"/>
    </row>
    <row r="78" spans="2:17" x14ac:dyDescent="0.3">
      <c r="B78" s="1">
        <v>2096</v>
      </c>
      <c r="C78" s="4">
        <v>38.9796342695088</v>
      </c>
      <c r="D78" s="4">
        <v>45.053234171400597</v>
      </c>
      <c r="F78" s="4"/>
      <c r="G78" s="4"/>
      <c r="O78" s="4"/>
      <c r="P78" s="94"/>
      <c r="Q78" s="61"/>
    </row>
    <row r="79" spans="2:17" x14ac:dyDescent="0.3">
      <c r="B79" s="1">
        <v>2097</v>
      </c>
      <c r="C79" s="4">
        <v>39.124629336728603</v>
      </c>
      <c r="D79" s="4">
        <v>45.314011553024798</v>
      </c>
      <c r="F79" s="4"/>
      <c r="G79" s="4"/>
      <c r="O79" s="4"/>
      <c r="P79" s="94"/>
      <c r="Q79" s="61"/>
    </row>
    <row r="80" spans="2:17" x14ac:dyDescent="0.3">
      <c r="B80" s="1">
        <v>2098</v>
      </c>
      <c r="C80" s="4">
        <v>39.264836026515098</v>
      </c>
      <c r="D80" s="4">
        <v>45.5576383022564</v>
      </c>
      <c r="F80" s="4"/>
      <c r="G80" s="4"/>
      <c r="O80" s="4"/>
      <c r="P80" s="94"/>
      <c r="Q80" s="61"/>
    </row>
    <row r="81" spans="2:17" x14ac:dyDescent="0.3">
      <c r="B81" s="1">
        <v>2099</v>
      </c>
      <c r="C81" s="4">
        <v>39.403288998437198</v>
      </c>
      <c r="D81" s="4">
        <v>45.772048420368101</v>
      </c>
      <c r="F81" s="4"/>
      <c r="G81" s="4"/>
      <c r="O81" s="4"/>
      <c r="P81" s="94"/>
      <c r="Q81" s="61"/>
    </row>
    <row r="82" spans="2:17" x14ac:dyDescent="0.3">
      <c r="B82" s="1">
        <v>2100</v>
      </c>
      <c r="C82" s="4">
        <v>39.537985295241</v>
      </c>
      <c r="D82" s="4">
        <v>45.947792859564998</v>
      </c>
      <c r="F82" s="4"/>
      <c r="G82" s="4"/>
      <c r="O82" s="4"/>
      <c r="P82" s="94"/>
      <c r="Q82" s="6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7597-DD2F-45DE-93F1-793AE6BDE52B}">
  <sheetPr codeName="Sheet59"/>
  <dimension ref="B2:N83"/>
  <sheetViews>
    <sheetView workbookViewId="0"/>
  </sheetViews>
  <sheetFormatPr defaultColWidth="8.7109375" defaultRowHeight="16.5" x14ac:dyDescent="0.3"/>
  <cols>
    <col min="1" max="2" width="8.7109375" style="1"/>
    <col min="3" max="3" width="18.5703125" style="1" customWidth="1"/>
    <col min="4" max="4" width="22.140625" style="1" customWidth="1"/>
    <col min="5" max="11" width="8.7109375" style="1"/>
    <col min="12" max="12" width="14.85546875" style="1" customWidth="1"/>
    <col min="13" max="13" width="23.7109375" style="38" customWidth="1"/>
    <col min="14" max="14" width="24.85546875" style="38" customWidth="1"/>
    <col min="15" max="16384" width="8.7109375" style="1"/>
  </cols>
  <sheetData>
    <row r="2" spans="2:14" x14ac:dyDescent="0.3">
      <c r="B2" s="9" t="s">
        <v>298</v>
      </c>
      <c r="C2" s="32"/>
      <c r="D2" s="32"/>
      <c r="E2" s="32"/>
      <c r="F2" s="32"/>
      <c r="G2" s="32"/>
      <c r="H2" s="32"/>
    </row>
    <row r="3" spans="2:14" x14ac:dyDescent="0.3">
      <c r="B3" s="32" t="s">
        <v>293</v>
      </c>
      <c r="C3" s="32"/>
      <c r="D3" s="32"/>
      <c r="E3" s="32"/>
      <c r="F3" s="32"/>
      <c r="G3" s="32"/>
      <c r="H3" s="32"/>
    </row>
    <row r="5" spans="2:14" x14ac:dyDescent="0.3">
      <c r="C5" s="1" t="s">
        <v>61</v>
      </c>
      <c r="D5" s="1" t="s">
        <v>62</v>
      </c>
    </row>
    <row r="6" spans="2:14" x14ac:dyDescent="0.3">
      <c r="C6" s="1" t="s">
        <v>165</v>
      </c>
      <c r="D6" s="1" t="s">
        <v>165</v>
      </c>
    </row>
    <row r="7" spans="2:14" x14ac:dyDescent="0.3">
      <c r="B7" s="1">
        <v>2024</v>
      </c>
      <c r="C7" s="4">
        <v>100</v>
      </c>
      <c r="D7" s="4">
        <v>100</v>
      </c>
      <c r="F7" s="4"/>
      <c r="G7" s="4"/>
      <c r="L7" s="62"/>
      <c r="M7" s="94"/>
      <c r="N7" s="61"/>
    </row>
    <row r="8" spans="2:14" x14ac:dyDescent="0.3">
      <c r="B8" s="1">
        <v>2025</v>
      </c>
      <c r="C8" s="4">
        <v>102.554043831486</v>
      </c>
      <c r="D8" s="4">
        <v>101.728469796242</v>
      </c>
      <c r="F8" s="4"/>
      <c r="G8" s="4"/>
      <c r="L8" s="62"/>
      <c r="M8" s="94"/>
      <c r="N8" s="61"/>
    </row>
    <row r="9" spans="2:14" x14ac:dyDescent="0.3">
      <c r="B9" s="1">
        <v>2026</v>
      </c>
      <c r="C9" s="4">
        <v>103.669950835498</v>
      </c>
      <c r="D9" s="4">
        <v>102.88527584684699</v>
      </c>
      <c r="F9" s="4"/>
      <c r="G9" s="4"/>
      <c r="L9" s="62"/>
      <c r="M9" s="94"/>
      <c r="N9" s="61"/>
    </row>
    <row r="10" spans="2:14" x14ac:dyDescent="0.3">
      <c r="B10" s="1">
        <v>2027</v>
      </c>
      <c r="C10" s="4">
        <v>104.848646621165</v>
      </c>
      <c r="D10" s="4">
        <v>104.025781051872</v>
      </c>
      <c r="F10" s="4"/>
      <c r="G10" s="4"/>
      <c r="L10" s="62"/>
      <c r="M10" s="94"/>
      <c r="N10" s="61"/>
    </row>
    <row r="11" spans="2:14" x14ac:dyDescent="0.3">
      <c r="B11" s="1">
        <v>2028</v>
      </c>
      <c r="C11" s="4">
        <v>106.106142519947</v>
      </c>
      <c r="D11" s="4">
        <v>105.214889019623</v>
      </c>
      <c r="F11" s="4"/>
      <c r="G11" s="4"/>
      <c r="L11" s="62"/>
      <c r="M11" s="94"/>
      <c r="N11" s="61"/>
    </row>
    <row r="12" spans="2:14" x14ac:dyDescent="0.3">
      <c r="B12" s="1">
        <v>2029</v>
      </c>
      <c r="C12" s="4">
        <v>107.404077897961</v>
      </c>
      <c r="D12" s="4">
        <v>106.44309432966099</v>
      </c>
      <c r="F12" s="4"/>
      <c r="G12" s="4"/>
      <c r="L12" s="62"/>
      <c r="M12" s="94"/>
      <c r="N12" s="61"/>
    </row>
    <row r="13" spans="2:14" x14ac:dyDescent="0.3">
      <c r="B13" s="1">
        <v>2030</v>
      </c>
      <c r="C13" s="4">
        <v>108.702555863988</v>
      </c>
      <c r="D13" s="4">
        <v>107.674960296432</v>
      </c>
      <c r="F13" s="4"/>
      <c r="G13" s="4"/>
      <c r="L13" s="62"/>
      <c r="M13" s="94"/>
      <c r="N13" s="61"/>
    </row>
    <row r="14" spans="2:14" x14ac:dyDescent="0.3">
      <c r="B14" s="1">
        <v>2031</v>
      </c>
      <c r="C14" s="4">
        <v>110.03847494307701</v>
      </c>
      <c r="D14" s="4">
        <v>108.937555279222</v>
      </c>
      <c r="F14" s="4"/>
      <c r="G14" s="4"/>
      <c r="L14" s="62"/>
      <c r="M14" s="94"/>
      <c r="N14" s="61"/>
    </row>
    <row r="15" spans="2:14" x14ac:dyDescent="0.3">
      <c r="B15" s="1">
        <v>2032</v>
      </c>
      <c r="C15" s="4">
        <v>111.3564430687</v>
      </c>
      <c r="D15" s="4">
        <v>110.196065098875</v>
      </c>
      <c r="F15" s="4"/>
      <c r="G15" s="4"/>
      <c r="L15" s="62"/>
      <c r="M15" s="94"/>
      <c r="N15" s="61"/>
    </row>
    <row r="16" spans="2:14" x14ac:dyDescent="0.3">
      <c r="B16" s="1">
        <v>2033</v>
      </c>
      <c r="C16" s="4">
        <v>112.669962720811</v>
      </c>
      <c r="D16" s="4">
        <v>111.449586453694</v>
      </c>
      <c r="F16" s="4"/>
      <c r="G16" s="4"/>
      <c r="L16" s="62"/>
      <c r="M16" s="94"/>
      <c r="N16" s="61"/>
    </row>
    <row r="17" spans="2:14" x14ac:dyDescent="0.3">
      <c r="B17" s="1">
        <v>2034</v>
      </c>
      <c r="C17" s="4">
        <v>113.972459079679</v>
      </c>
      <c r="D17" s="4">
        <v>112.69584173035101</v>
      </c>
      <c r="F17" s="4"/>
      <c r="G17" s="4"/>
      <c r="L17" s="62"/>
      <c r="M17" s="94"/>
      <c r="N17" s="61"/>
    </row>
    <row r="18" spans="2:14" x14ac:dyDescent="0.3">
      <c r="B18" s="1">
        <v>2035</v>
      </c>
      <c r="C18" s="4">
        <v>115.262848354935</v>
      </c>
      <c r="D18" s="4">
        <v>113.929054307885</v>
      </c>
      <c r="F18" s="4"/>
      <c r="G18" s="4"/>
      <c r="L18" s="62"/>
      <c r="M18" s="94"/>
      <c r="N18" s="61"/>
    </row>
    <row r="19" spans="2:14" x14ac:dyDescent="0.3">
      <c r="B19" s="1">
        <v>2036</v>
      </c>
      <c r="C19" s="4">
        <v>116.532006362484</v>
      </c>
      <c r="D19" s="4">
        <v>115.146891271508</v>
      </c>
      <c r="F19" s="4"/>
      <c r="G19" s="4"/>
      <c r="L19" s="62"/>
      <c r="M19" s="94"/>
      <c r="N19" s="61"/>
    </row>
    <row r="20" spans="2:14" x14ac:dyDescent="0.3">
      <c r="B20" s="1">
        <v>2037</v>
      </c>
      <c r="C20" s="4">
        <v>117.802340608677</v>
      </c>
      <c r="D20" s="4">
        <v>116.360061992379</v>
      </c>
      <c r="F20" s="4"/>
      <c r="G20" s="4"/>
      <c r="L20" s="62"/>
      <c r="M20" s="94"/>
      <c r="N20" s="61"/>
    </row>
    <row r="21" spans="2:14" x14ac:dyDescent="0.3">
      <c r="B21" s="1">
        <v>2038</v>
      </c>
      <c r="C21" s="4">
        <v>119.114038286499</v>
      </c>
      <c r="D21" s="4">
        <v>117.595496180651</v>
      </c>
      <c r="F21" s="4"/>
      <c r="G21" s="4"/>
      <c r="L21" s="62"/>
      <c r="M21" s="94"/>
      <c r="N21" s="61"/>
    </row>
    <row r="22" spans="2:14" x14ac:dyDescent="0.3">
      <c r="B22" s="1">
        <v>2039</v>
      </c>
      <c r="C22" s="4">
        <v>120.442684278885</v>
      </c>
      <c r="D22" s="4">
        <v>118.84019202273301</v>
      </c>
      <c r="F22" s="4"/>
      <c r="G22" s="4"/>
      <c r="L22" s="62"/>
      <c r="M22" s="94"/>
      <c r="N22" s="61"/>
    </row>
    <row r="23" spans="2:14" x14ac:dyDescent="0.3">
      <c r="B23" s="1">
        <v>2040</v>
      </c>
      <c r="C23" s="4">
        <v>121.818247975739</v>
      </c>
      <c r="D23" s="4">
        <v>120.114516660202</v>
      </c>
      <c r="F23" s="4"/>
      <c r="G23" s="4"/>
      <c r="L23" s="62"/>
      <c r="M23" s="94"/>
      <c r="N23" s="61"/>
    </row>
    <row r="24" spans="2:14" x14ac:dyDescent="0.3">
      <c r="B24" s="1">
        <v>2041</v>
      </c>
      <c r="C24" s="4">
        <v>123.19968842105</v>
      </c>
      <c r="D24" s="4">
        <v>121.394270410064</v>
      </c>
      <c r="F24" s="4"/>
      <c r="G24" s="4"/>
      <c r="L24" s="62"/>
      <c r="M24" s="94"/>
      <c r="N24" s="61"/>
    </row>
    <row r="25" spans="2:14" x14ac:dyDescent="0.3">
      <c r="B25" s="1">
        <v>2042</v>
      </c>
      <c r="C25" s="4">
        <v>124.595386268201</v>
      </c>
      <c r="D25" s="4">
        <v>122.68776674111599</v>
      </c>
      <c r="F25" s="4"/>
      <c r="G25" s="4"/>
      <c r="L25" s="62"/>
      <c r="M25" s="94"/>
      <c r="N25" s="61"/>
    </row>
    <row r="26" spans="2:14" x14ac:dyDescent="0.3">
      <c r="B26" s="1">
        <v>2043</v>
      </c>
      <c r="C26" s="4">
        <v>125.999623350359</v>
      </c>
      <c r="D26" s="4">
        <v>123.98476924462599</v>
      </c>
      <c r="F26" s="4"/>
      <c r="G26" s="4"/>
      <c r="L26" s="62"/>
      <c r="M26" s="94"/>
      <c r="N26" s="61"/>
    </row>
    <row r="27" spans="2:14" x14ac:dyDescent="0.3">
      <c r="B27" s="1">
        <v>2044</v>
      </c>
      <c r="C27" s="4">
        <v>127.296732938437</v>
      </c>
      <c r="D27" s="4">
        <v>125.205905404367</v>
      </c>
      <c r="F27" s="4"/>
      <c r="G27" s="4"/>
      <c r="L27" s="62"/>
      <c r="M27" s="94"/>
      <c r="N27" s="61"/>
    </row>
    <row r="28" spans="2:14" x14ac:dyDescent="0.3">
      <c r="B28" s="1">
        <v>2045</v>
      </c>
      <c r="C28" s="4">
        <v>128.56429287218299</v>
      </c>
      <c r="D28" s="4">
        <v>126.401719660035</v>
      </c>
      <c r="F28" s="4"/>
      <c r="G28" s="4"/>
      <c r="L28" s="62"/>
      <c r="M28" s="94"/>
      <c r="N28" s="61"/>
    </row>
    <row r="29" spans="2:14" x14ac:dyDescent="0.3">
      <c r="B29" s="1">
        <v>2046</v>
      </c>
      <c r="C29" s="4">
        <v>129.84824746105301</v>
      </c>
      <c r="D29" s="4">
        <v>127.61046343641399</v>
      </c>
      <c r="F29" s="4"/>
      <c r="G29" s="4"/>
      <c r="L29" s="62"/>
      <c r="M29" s="94"/>
      <c r="N29" s="61"/>
    </row>
    <row r="30" spans="2:14" x14ac:dyDescent="0.3">
      <c r="B30" s="1">
        <v>2047</v>
      </c>
      <c r="C30" s="4">
        <v>131.10174910997699</v>
      </c>
      <c r="D30" s="4">
        <v>128.80209679036099</v>
      </c>
      <c r="F30" s="4"/>
      <c r="G30" s="4"/>
      <c r="L30" s="62"/>
      <c r="M30" s="94"/>
      <c r="N30" s="61"/>
    </row>
    <row r="31" spans="2:14" x14ac:dyDescent="0.3">
      <c r="B31" s="1">
        <v>2048</v>
      </c>
      <c r="C31" s="4">
        <v>132.31864927093801</v>
      </c>
      <c r="D31" s="4">
        <v>129.97396583949001</v>
      </c>
      <c r="F31" s="4"/>
      <c r="G31" s="4"/>
      <c r="L31" s="62"/>
      <c r="M31" s="94"/>
      <c r="N31" s="61"/>
    </row>
    <row r="32" spans="2:14" x14ac:dyDescent="0.3">
      <c r="B32" s="1">
        <v>2049</v>
      </c>
      <c r="C32" s="4">
        <v>133.507939168852</v>
      </c>
      <c r="D32" s="4">
        <v>131.13342196734399</v>
      </c>
      <c r="F32" s="4"/>
      <c r="G32" s="4"/>
      <c r="L32" s="62"/>
      <c r="M32" s="94"/>
      <c r="N32" s="61"/>
    </row>
    <row r="33" spans="2:14" x14ac:dyDescent="0.3">
      <c r="B33" s="1">
        <v>2050</v>
      </c>
      <c r="C33" s="4">
        <v>134.665301509529</v>
      </c>
      <c r="D33" s="4">
        <v>132.27897864421499</v>
      </c>
      <c r="F33" s="4"/>
      <c r="G33" s="4"/>
      <c r="L33" s="62"/>
      <c r="M33" s="94"/>
      <c r="N33" s="61"/>
    </row>
    <row r="34" spans="2:14" x14ac:dyDescent="0.3">
      <c r="B34" s="1">
        <v>2051</v>
      </c>
      <c r="C34" s="4">
        <v>135.789858306453</v>
      </c>
      <c r="D34" s="4">
        <v>133.408427453191</v>
      </c>
      <c r="F34" s="4"/>
      <c r="G34" s="4"/>
      <c r="L34" s="62"/>
      <c r="M34" s="94"/>
      <c r="N34" s="61"/>
    </row>
    <row r="35" spans="2:14" x14ac:dyDescent="0.3">
      <c r="B35" s="1">
        <v>2052</v>
      </c>
      <c r="C35" s="4">
        <v>136.84990771443699</v>
      </c>
      <c r="D35" s="4">
        <v>134.50767205487199</v>
      </c>
      <c r="F35" s="4"/>
      <c r="G35" s="4"/>
      <c r="L35" s="62"/>
      <c r="M35" s="94"/>
      <c r="N35" s="61"/>
    </row>
    <row r="36" spans="2:14" x14ac:dyDescent="0.3">
      <c r="B36" s="1">
        <v>2053</v>
      </c>
      <c r="C36" s="4">
        <v>137.849205520781</v>
      </c>
      <c r="D36" s="4">
        <v>135.576747104227</v>
      </c>
      <c r="F36" s="4"/>
      <c r="G36" s="4"/>
      <c r="L36" s="62"/>
      <c r="M36" s="94"/>
      <c r="N36" s="61"/>
    </row>
    <row r="37" spans="2:14" x14ac:dyDescent="0.3">
      <c r="B37" s="1">
        <v>2054</v>
      </c>
      <c r="C37" s="4">
        <v>138.81368695217401</v>
      </c>
      <c r="D37" s="4">
        <v>136.631181120256</v>
      </c>
      <c r="F37" s="4"/>
      <c r="G37" s="4"/>
      <c r="L37" s="62"/>
      <c r="M37" s="94"/>
      <c r="N37" s="61"/>
    </row>
    <row r="38" spans="2:14" x14ac:dyDescent="0.3">
      <c r="B38" s="1">
        <v>2055</v>
      </c>
      <c r="C38" s="4">
        <v>139.72056059698201</v>
      </c>
      <c r="D38" s="4">
        <v>137.66175709476499</v>
      </c>
      <c r="F38" s="4"/>
      <c r="G38" s="4"/>
      <c r="L38" s="62"/>
      <c r="M38" s="94"/>
      <c r="N38" s="61"/>
    </row>
    <row r="39" spans="2:14" x14ac:dyDescent="0.3">
      <c r="B39" s="1">
        <v>2056</v>
      </c>
      <c r="C39" s="4">
        <v>140.59286538616001</v>
      </c>
      <c r="D39" s="4">
        <v>138.68184892977899</v>
      </c>
      <c r="F39" s="4"/>
      <c r="G39" s="4"/>
      <c r="L39" s="62"/>
      <c r="M39" s="94"/>
      <c r="N39" s="61"/>
    </row>
    <row r="40" spans="2:14" x14ac:dyDescent="0.3">
      <c r="B40" s="1">
        <v>2057</v>
      </c>
      <c r="C40" s="4">
        <v>141.466362025801</v>
      </c>
      <c r="D40" s="4">
        <v>139.720881066939</v>
      </c>
      <c r="F40" s="4"/>
      <c r="G40" s="4"/>
      <c r="L40" s="62"/>
      <c r="M40" s="94"/>
      <c r="N40" s="61"/>
    </row>
    <row r="41" spans="2:14" x14ac:dyDescent="0.3">
      <c r="B41" s="1">
        <v>2058</v>
      </c>
      <c r="C41" s="4">
        <v>142.35825989180799</v>
      </c>
      <c r="D41" s="4">
        <v>140.79875975524399</v>
      </c>
      <c r="F41" s="4"/>
      <c r="G41" s="4"/>
      <c r="L41" s="62"/>
      <c r="M41" s="94"/>
      <c r="N41" s="61"/>
    </row>
    <row r="42" spans="2:14" x14ac:dyDescent="0.3">
      <c r="B42" s="1">
        <v>2059</v>
      </c>
      <c r="C42" s="4">
        <v>143.28844608055101</v>
      </c>
      <c r="D42" s="4">
        <v>141.926811232679</v>
      </c>
      <c r="F42" s="4"/>
      <c r="G42" s="4"/>
      <c r="L42" s="62"/>
      <c r="M42" s="94"/>
      <c r="N42" s="61"/>
    </row>
    <row r="43" spans="2:14" x14ac:dyDescent="0.3">
      <c r="B43" s="1">
        <v>2060</v>
      </c>
      <c r="C43" s="4">
        <v>144.233008998217</v>
      </c>
      <c r="D43" s="4">
        <v>143.098080871566</v>
      </c>
      <c r="F43" s="4"/>
      <c r="G43" s="4"/>
      <c r="L43" s="62"/>
      <c r="M43" s="94"/>
      <c r="N43" s="61"/>
    </row>
    <row r="44" spans="2:14" x14ac:dyDescent="0.3">
      <c r="B44" s="1">
        <v>2061</v>
      </c>
      <c r="C44" s="4">
        <v>145.21106069292</v>
      </c>
      <c r="D44" s="4">
        <v>144.32283321795799</v>
      </c>
      <c r="F44" s="4"/>
      <c r="G44" s="4"/>
      <c r="L44" s="62"/>
      <c r="M44" s="94"/>
      <c r="N44" s="61"/>
    </row>
    <row r="45" spans="2:14" x14ac:dyDescent="0.3">
      <c r="B45" s="1">
        <v>2062</v>
      </c>
      <c r="C45" s="4">
        <v>146.22625497789099</v>
      </c>
      <c r="D45" s="4">
        <v>145.60878639794001</v>
      </c>
      <c r="F45" s="4"/>
      <c r="G45" s="4"/>
      <c r="L45" s="62"/>
      <c r="M45" s="94"/>
      <c r="N45" s="61"/>
    </row>
    <row r="46" spans="2:14" x14ac:dyDescent="0.3">
      <c r="B46" s="1">
        <v>2063</v>
      </c>
      <c r="C46" s="4">
        <v>147.26186042490099</v>
      </c>
      <c r="D46" s="4">
        <v>146.95161471742099</v>
      </c>
      <c r="F46" s="4"/>
      <c r="G46" s="4"/>
      <c r="L46" s="62"/>
      <c r="M46" s="94"/>
      <c r="N46" s="61"/>
    </row>
    <row r="47" spans="2:14" x14ac:dyDescent="0.3">
      <c r="B47" s="1">
        <v>2064</v>
      </c>
      <c r="C47" s="4">
        <v>148.33683338183701</v>
      </c>
      <c r="D47" s="4">
        <v>148.365897117467</v>
      </c>
      <c r="F47" s="4"/>
      <c r="G47" s="4"/>
      <c r="L47" s="62"/>
      <c r="M47" s="94"/>
      <c r="N47" s="61"/>
    </row>
    <row r="48" spans="2:14" x14ac:dyDescent="0.3">
      <c r="B48" s="1">
        <v>2065</v>
      </c>
      <c r="C48" s="4">
        <v>149.378778395681</v>
      </c>
      <c r="D48" s="4">
        <v>149.805718452653</v>
      </c>
      <c r="E48" s="1">
        <v>1</v>
      </c>
      <c r="F48" s="4"/>
      <c r="G48" s="4"/>
      <c r="L48" s="62"/>
      <c r="M48" s="94"/>
      <c r="N48" s="61"/>
    </row>
    <row r="49" spans="2:14" x14ac:dyDescent="0.3">
      <c r="B49" s="1">
        <v>2066</v>
      </c>
      <c r="C49" s="4">
        <v>150.43923978516099</v>
      </c>
      <c r="D49" s="4">
        <v>141.91004865980699</v>
      </c>
      <c r="F49" s="4"/>
      <c r="G49" s="4"/>
      <c r="L49" s="62"/>
      <c r="M49" s="94"/>
      <c r="N49" s="61"/>
    </row>
    <row r="50" spans="2:14" x14ac:dyDescent="0.3">
      <c r="B50" s="1">
        <v>2067</v>
      </c>
      <c r="C50" s="4">
        <v>151.529383879741</v>
      </c>
      <c r="D50" s="4">
        <v>142.59266998067099</v>
      </c>
      <c r="F50" s="4"/>
      <c r="G50" s="4"/>
      <c r="L50" s="62"/>
      <c r="M50" s="94"/>
      <c r="N50" s="61"/>
    </row>
    <row r="51" spans="2:14" x14ac:dyDescent="0.3">
      <c r="B51" s="1">
        <v>2068</v>
      </c>
      <c r="C51" s="4">
        <v>152.605063115186</v>
      </c>
      <c r="D51" s="4">
        <v>143.21129760219301</v>
      </c>
      <c r="F51" s="4"/>
      <c r="G51" s="4"/>
      <c r="L51" s="62"/>
      <c r="M51" s="94"/>
      <c r="N51" s="61"/>
    </row>
    <row r="52" spans="2:14" x14ac:dyDescent="0.3">
      <c r="B52" s="1">
        <v>2069</v>
      </c>
      <c r="C52" s="4">
        <v>153.639020921129</v>
      </c>
      <c r="D52" s="4">
        <v>143.799603692456</v>
      </c>
      <c r="F52" s="4"/>
      <c r="G52" s="4"/>
      <c r="L52" s="62"/>
      <c r="M52" s="94"/>
      <c r="N52" s="61"/>
    </row>
    <row r="53" spans="2:14" x14ac:dyDescent="0.3">
      <c r="B53" s="1">
        <v>2070</v>
      </c>
      <c r="C53" s="4">
        <v>154.65533618437999</v>
      </c>
      <c r="D53" s="4">
        <v>144.35997849715801</v>
      </c>
      <c r="F53" s="4"/>
      <c r="G53" s="4"/>
      <c r="L53" s="62"/>
      <c r="M53" s="94"/>
      <c r="N53" s="61"/>
    </row>
    <row r="54" spans="2:14" x14ac:dyDescent="0.3">
      <c r="B54" s="1">
        <v>2071</v>
      </c>
      <c r="C54" s="4">
        <v>155.64118727667099</v>
      </c>
      <c r="D54" s="4">
        <v>144.885294059345</v>
      </c>
      <c r="F54" s="4"/>
      <c r="G54" s="4"/>
      <c r="L54" s="62"/>
      <c r="M54" s="94"/>
      <c r="N54" s="61"/>
    </row>
    <row r="55" spans="2:14" x14ac:dyDescent="0.3">
      <c r="B55" s="1">
        <v>2072</v>
      </c>
      <c r="C55" s="4">
        <v>156.533595186056</v>
      </c>
      <c r="D55" s="4">
        <v>145.371757623772</v>
      </c>
      <c r="F55" s="4"/>
      <c r="G55" s="4"/>
      <c r="L55" s="62"/>
      <c r="M55" s="94"/>
      <c r="N55" s="61"/>
    </row>
    <row r="56" spans="2:14" x14ac:dyDescent="0.3">
      <c r="B56" s="1">
        <v>2073</v>
      </c>
      <c r="C56" s="4">
        <v>157.37038922619999</v>
      </c>
      <c r="D56" s="4">
        <v>145.84314103816101</v>
      </c>
      <c r="F56" s="4"/>
      <c r="G56" s="4"/>
      <c r="L56" s="62"/>
      <c r="M56" s="94"/>
      <c r="N56" s="61"/>
    </row>
    <row r="57" spans="2:14" x14ac:dyDescent="0.3">
      <c r="B57" s="1">
        <v>2074</v>
      </c>
      <c r="C57" s="4">
        <v>158.21759140179799</v>
      </c>
      <c r="D57" s="4">
        <v>146.31708881710799</v>
      </c>
      <c r="F57" s="4"/>
      <c r="G57" s="4"/>
      <c r="L57" s="62"/>
      <c r="M57" s="94"/>
      <c r="N57" s="61"/>
    </row>
    <row r="58" spans="2:14" x14ac:dyDescent="0.3">
      <c r="B58" s="1">
        <v>2075</v>
      </c>
      <c r="C58" s="4">
        <v>159.042017189246</v>
      </c>
      <c r="D58" s="4">
        <v>146.79514302247401</v>
      </c>
      <c r="F58" s="4"/>
      <c r="G58" s="4"/>
      <c r="L58" s="62"/>
      <c r="M58" s="94"/>
      <c r="N58" s="61"/>
    </row>
    <row r="59" spans="2:14" x14ac:dyDescent="0.3">
      <c r="B59" s="1">
        <v>2076</v>
      </c>
      <c r="C59" s="4">
        <v>159.871189234497</v>
      </c>
      <c r="D59" s="4">
        <v>147.29121129322999</v>
      </c>
      <c r="F59" s="4"/>
      <c r="G59" s="4"/>
      <c r="L59" s="62"/>
      <c r="M59" s="94"/>
      <c r="N59" s="61"/>
    </row>
    <row r="60" spans="2:14" x14ac:dyDescent="0.3">
      <c r="B60" s="1">
        <v>2077</v>
      </c>
      <c r="C60" s="4">
        <v>160.71226109655601</v>
      </c>
      <c r="D60" s="4">
        <v>147.81057407277299</v>
      </c>
      <c r="F60" s="4"/>
      <c r="G60" s="4"/>
      <c r="L60" s="62"/>
      <c r="M60" s="94"/>
      <c r="N60" s="61"/>
    </row>
    <row r="61" spans="2:14" x14ac:dyDescent="0.3">
      <c r="B61" s="1">
        <v>2078</v>
      </c>
      <c r="C61" s="4">
        <v>161.567842059611</v>
      </c>
      <c r="D61" s="4">
        <v>148.35910068694599</v>
      </c>
      <c r="F61" s="4"/>
      <c r="G61" s="4"/>
      <c r="L61" s="62"/>
      <c r="M61" s="94"/>
      <c r="N61" s="61"/>
    </row>
    <row r="62" spans="2:14" x14ac:dyDescent="0.3">
      <c r="B62" s="1">
        <v>2079</v>
      </c>
      <c r="C62" s="4">
        <v>162.46764995230799</v>
      </c>
      <c r="D62" s="4">
        <v>148.94420834995501</v>
      </c>
      <c r="F62" s="4"/>
      <c r="G62" s="4"/>
      <c r="L62" s="62"/>
      <c r="M62" s="94"/>
      <c r="N62" s="61"/>
    </row>
    <row r="63" spans="2:14" x14ac:dyDescent="0.3">
      <c r="B63" s="1">
        <v>2080</v>
      </c>
      <c r="C63" s="4">
        <v>163.38502670718501</v>
      </c>
      <c r="D63" s="4">
        <v>149.563524473287</v>
      </c>
      <c r="F63" s="4"/>
      <c r="G63" s="4"/>
      <c r="L63" s="62"/>
      <c r="M63" s="94"/>
      <c r="N63" s="61"/>
    </row>
    <row r="64" spans="2:14" x14ac:dyDescent="0.3">
      <c r="B64" s="1">
        <v>2081</v>
      </c>
      <c r="C64" s="4">
        <v>164.33771638895001</v>
      </c>
      <c r="D64" s="4">
        <v>150.221254179353</v>
      </c>
      <c r="F64" s="4"/>
      <c r="G64" s="4"/>
      <c r="L64" s="62"/>
      <c r="M64" s="94"/>
      <c r="N64" s="61"/>
    </row>
    <row r="65" spans="2:14" x14ac:dyDescent="0.3">
      <c r="B65" s="1">
        <v>2082</v>
      </c>
      <c r="C65" s="4">
        <v>165.312803547209</v>
      </c>
      <c r="D65" s="4">
        <v>150.91601551923</v>
      </c>
      <c r="F65" s="4"/>
      <c r="G65" s="4"/>
      <c r="L65" s="62"/>
      <c r="M65" s="94"/>
      <c r="N65" s="61"/>
    </row>
    <row r="66" spans="2:14" x14ac:dyDescent="0.3">
      <c r="B66" s="1">
        <v>2083</v>
      </c>
      <c r="C66" s="4">
        <v>166.32832934378499</v>
      </c>
      <c r="D66" s="4">
        <v>151.64801106505001</v>
      </c>
      <c r="F66" s="4"/>
      <c r="G66" s="4"/>
      <c r="L66" s="62"/>
      <c r="M66" s="94"/>
      <c r="N66" s="61"/>
    </row>
    <row r="67" spans="2:14" x14ac:dyDescent="0.3">
      <c r="B67" s="1">
        <v>2084</v>
      </c>
      <c r="C67" s="4">
        <v>167.36403064292099</v>
      </c>
      <c r="D67" s="4">
        <v>152.41257877814201</v>
      </c>
      <c r="F67" s="4"/>
      <c r="G67" s="4"/>
      <c r="L67" s="62"/>
      <c r="M67" s="94"/>
      <c r="N67" s="61"/>
    </row>
    <row r="68" spans="2:14" x14ac:dyDescent="0.3">
      <c r="B68" s="1">
        <v>2085</v>
      </c>
      <c r="C68" s="4">
        <v>168.443010511881</v>
      </c>
      <c r="D68" s="4">
        <v>153.21008465592999</v>
      </c>
      <c r="F68" s="4"/>
      <c r="G68" s="4"/>
      <c r="L68" s="62"/>
      <c r="M68" s="94"/>
      <c r="N68" s="61"/>
    </row>
    <row r="69" spans="2:14" x14ac:dyDescent="0.3">
      <c r="B69" s="1">
        <v>2086</v>
      </c>
      <c r="C69" s="4">
        <v>169.52805397259999</v>
      </c>
      <c r="D69" s="4">
        <v>154.03302647827499</v>
      </c>
      <c r="F69" s="4"/>
      <c r="G69" s="4"/>
      <c r="L69" s="62"/>
      <c r="M69" s="94"/>
      <c r="N69" s="61"/>
    </row>
    <row r="70" spans="2:14" x14ac:dyDescent="0.3">
      <c r="B70" s="1">
        <v>2087</v>
      </c>
      <c r="C70" s="4">
        <v>170.632435885663</v>
      </c>
      <c r="D70" s="4">
        <v>154.88125113969701</v>
      </c>
      <c r="F70" s="4"/>
      <c r="G70" s="4"/>
      <c r="L70" s="62"/>
      <c r="M70" s="94"/>
      <c r="N70" s="61"/>
    </row>
    <row r="71" spans="2:14" x14ac:dyDescent="0.3">
      <c r="B71" s="1">
        <v>2088</v>
      </c>
      <c r="C71" s="4">
        <v>171.83479778101</v>
      </c>
      <c r="D71" s="4">
        <v>155.75346570972999</v>
      </c>
      <c r="F71" s="4"/>
      <c r="G71" s="4"/>
      <c r="L71" s="62"/>
      <c r="M71" s="94"/>
      <c r="N71" s="61"/>
    </row>
    <row r="72" spans="2:14" x14ac:dyDescent="0.3">
      <c r="B72" s="1">
        <v>2089</v>
      </c>
      <c r="C72" s="4">
        <v>173.06195881025101</v>
      </c>
      <c r="D72" s="4">
        <v>156.62623444896099</v>
      </c>
      <c r="F72" s="4"/>
      <c r="G72" s="4"/>
      <c r="L72" s="62"/>
      <c r="M72" s="94"/>
      <c r="N72" s="61"/>
    </row>
    <row r="73" spans="2:14" x14ac:dyDescent="0.3">
      <c r="B73" s="1">
        <v>2090</v>
      </c>
      <c r="C73" s="4">
        <v>174.25894133438899</v>
      </c>
      <c r="D73" s="4">
        <v>157.48608591138</v>
      </c>
      <c r="F73" s="4"/>
      <c r="G73" s="4"/>
      <c r="L73" s="62"/>
      <c r="M73" s="94"/>
      <c r="N73" s="61"/>
    </row>
    <row r="74" spans="2:14" x14ac:dyDescent="0.3">
      <c r="B74" s="1">
        <v>2091</v>
      </c>
      <c r="C74" s="4">
        <v>175.457131669555</v>
      </c>
      <c r="D74" s="4">
        <v>158.334296267751</v>
      </c>
      <c r="F74" s="4"/>
      <c r="G74" s="4"/>
      <c r="L74" s="62"/>
      <c r="M74" s="94"/>
      <c r="N74" s="61"/>
    </row>
    <row r="75" spans="2:14" x14ac:dyDescent="0.3">
      <c r="B75" s="1">
        <v>2092</v>
      </c>
      <c r="C75" s="4">
        <v>176.66121784709199</v>
      </c>
      <c r="D75" s="4">
        <v>159.168836276045</v>
      </c>
      <c r="F75" s="4"/>
      <c r="G75" s="4"/>
      <c r="L75" s="62"/>
      <c r="M75" s="94"/>
      <c r="N75" s="61"/>
    </row>
    <row r="76" spans="2:14" x14ac:dyDescent="0.3">
      <c r="B76" s="1">
        <v>2093</v>
      </c>
      <c r="C76" s="4">
        <v>177.871466494136</v>
      </c>
      <c r="D76" s="4">
        <v>159.99068271292799</v>
      </c>
      <c r="F76" s="4"/>
      <c r="G76" s="4"/>
      <c r="L76" s="62"/>
      <c r="M76" s="94"/>
      <c r="N76" s="61"/>
    </row>
    <row r="77" spans="2:14" x14ac:dyDescent="0.3">
      <c r="B77" s="1">
        <v>2094</v>
      </c>
      <c r="C77" s="4">
        <v>179.09022452158899</v>
      </c>
      <c r="D77" s="4">
        <v>160.801840583477</v>
      </c>
      <c r="F77" s="4"/>
      <c r="G77" s="4"/>
      <c r="L77" s="62"/>
      <c r="M77" s="94"/>
      <c r="N77" s="61"/>
    </row>
    <row r="78" spans="2:14" x14ac:dyDescent="0.3">
      <c r="B78" s="1">
        <v>2095</v>
      </c>
      <c r="C78" s="4">
        <v>180.31136156362001</v>
      </c>
      <c r="D78" s="4">
        <v>161.60074191805199</v>
      </c>
      <c r="F78" s="4"/>
      <c r="G78" s="4"/>
      <c r="L78" s="62"/>
      <c r="M78" s="94"/>
      <c r="N78" s="61"/>
    </row>
    <row r="79" spans="2:14" x14ac:dyDescent="0.3">
      <c r="B79" s="1">
        <v>2096</v>
      </c>
      <c r="C79" s="4">
        <v>181.54402162091799</v>
      </c>
      <c r="D79" s="4">
        <v>162.39272593001201</v>
      </c>
      <c r="F79" s="4"/>
      <c r="G79" s="4"/>
      <c r="L79" s="62"/>
      <c r="M79" s="94"/>
      <c r="N79" s="61"/>
    </row>
    <row r="80" spans="2:14" x14ac:dyDescent="0.3">
      <c r="B80" s="1">
        <v>2097</v>
      </c>
      <c r="C80" s="4">
        <v>182.786313921019</v>
      </c>
      <c r="D80" s="4">
        <v>163.18315744929899</v>
      </c>
      <c r="F80" s="4"/>
      <c r="G80" s="4"/>
      <c r="L80" s="62"/>
      <c r="M80" s="94"/>
      <c r="N80" s="61"/>
    </row>
    <row r="81" spans="2:14" x14ac:dyDescent="0.3">
      <c r="B81" s="1">
        <v>2098</v>
      </c>
      <c r="C81" s="4">
        <v>184.03685209397401</v>
      </c>
      <c r="D81" s="4">
        <v>163.98032627305099</v>
      </c>
      <c r="F81" s="4"/>
      <c r="G81" s="4"/>
      <c r="L81" s="62"/>
      <c r="M81" s="94"/>
      <c r="N81" s="61"/>
    </row>
    <row r="82" spans="2:14" x14ac:dyDescent="0.3">
      <c r="B82" s="1">
        <v>2099</v>
      </c>
      <c r="C82" s="4">
        <v>185.293969431557</v>
      </c>
      <c r="D82" s="4">
        <v>164.79655526185999</v>
      </c>
      <c r="F82" s="4"/>
      <c r="G82" s="4"/>
      <c r="L82" s="62"/>
      <c r="M82" s="94"/>
      <c r="N82" s="61"/>
    </row>
    <row r="83" spans="2:14" x14ac:dyDescent="0.3">
      <c r="B83" s="1">
        <v>2100</v>
      </c>
      <c r="C83" s="4">
        <v>186.558527302941</v>
      </c>
      <c r="D83" s="4">
        <v>165.64812792335599</v>
      </c>
      <c r="F83" s="4"/>
      <c r="G83" s="4"/>
      <c r="L83" s="62"/>
      <c r="M83" s="94"/>
      <c r="N83" s="6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5B11B-186D-4772-AF49-4ED1D93EE665}">
  <sheetPr codeName="Sheet61"/>
  <dimension ref="B2:I11"/>
  <sheetViews>
    <sheetView workbookViewId="0"/>
  </sheetViews>
  <sheetFormatPr defaultColWidth="8.7109375" defaultRowHeight="16.5" x14ac:dyDescent="0.3"/>
  <cols>
    <col min="1" max="2" width="8.7109375" style="1"/>
    <col min="3" max="3" width="21.42578125" style="1" customWidth="1"/>
    <col min="4" max="4" width="23.5703125" style="1" customWidth="1"/>
    <col min="5" max="5" width="21" style="1" customWidth="1"/>
    <col min="6" max="16384" width="8.7109375" style="1"/>
  </cols>
  <sheetData>
    <row r="2" spans="2:9" x14ac:dyDescent="0.3">
      <c r="B2" s="18" t="s">
        <v>299</v>
      </c>
      <c r="C2" s="32"/>
      <c r="D2" s="32"/>
      <c r="E2" s="32"/>
      <c r="F2" s="32"/>
      <c r="G2" s="32"/>
      <c r="H2" s="32"/>
      <c r="I2" s="32"/>
    </row>
    <row r="3" spans="2:9" x14ac:dyDescent="0.3">
      <c r="B3" s="32" t="s">
        <v>293</v>
      </c>
      <c r="C3" s="32"/>
      <c r="D3" s="32"/>
      <c r="E3" s="32"/>
      <c r="F3" s="32"/>
      <c r="G3" s="32"/>
      <c r="H3" s="32"/>
      <c r="I3" s="32"/>
    </row>
    <row r="5" spans="2:9" x14ac:dyDescent="0.3">
      <c r="C5" s="52" t="s">
        <v>63</v>
      </c>
      <c r="D5" s="52" t="s">
        <v>64</v>
      </c>
      <c r="E5" s="52" t="s">
        <v>65</v>
      </c>
      <c r="F5" s="52"/>
    </row>
    <row r="6" spans="2:9" x14ac:dyDescent="0.3">
      <c r="C6" s="52" t="s">
        <v>166</v>
      </c>
      <c r="D6" s="52" t="s">
        <v>166</v>
      </c>
      <c r="E6" s="52" t="s">
        <v>166</v>
      </c>
      <c r="F6" s="52"/>
    </row>
    <row r="7" spans="2:9" x14ac:dyDescent="0.3">
      <c r="B7" s="1">
        <v>1950</v>
      </c>
      <c r="C7" s="4">
        <v>5.07528468351068</v>
      </c>
      <c r="D7" s="4">
        <v>5.0966435238038299</v>
      </c>
      <c r="E7" s="4">
        <v>4.0954823494399699</v>
      </c>
      <c r="G7" s="4"/>
      <c r="H7" s="4"/>
      <c r="I7" s="4"/>
    </row>
    <row r="8" spans="2:9" x14ac:dyDescent="0.3">
      <c r="B8" s="1">
        <v>1970</v>
      </c>
      <c r="C8" s="4">
        <v>7.37662044211429</v>
      </c>
      <c r="D8" s="4">
        <v>7.3359932841204696</v>
      </c>
      <c r="E8" s="4">
        <v>6.7218577242860196</v>
      </c>
      <c r="G8" s="4"/>
      <c r="H8" s="4"/>
      <c r="I8" s="4"/>
    </row>
    <row r="9" spans="2:9" x14ac:dyDescent="0.3">
      <c r="B9" s="1">
        <v>2010</v>
      </c>
      <c r="C9" s="4">
        <v>3.1559694245873602</v>
      </c>
      <c r="D9" s="4">
        <v>4.9699906345240601</v>
      </c>
      <c r="E9" s="4">
        <v>7.2353896219700999</v>
      </c>
      <c r="G9" s="4"/>
      <c r="H9" s="4"/>
      <c r="I9" s="4"/>
    </row>
    <row r="10" spans="2:9" x14ac:dyDescent="0.3">
      <c r="B10" s="1">
        <v>2040</v>
      </c>
      <c r="C10" s="4">
        <v>-4.3316780281136698</v>
      </c>
      <c r="D10" s="4">
        <v>-3.57980105018081</v>
      </c>
      <c r="E10" s="4">
        <v>-4.6175229482915103</v>
      </c>
      <c r="G10" s="4"/>
      <c r="H10" s="4"/>
      <c r="I10" s="4"/>
    </row>
    <row r="11" spans="2:9" x14ac:dyDescent="0.3">
      <c r="B11" s="1">
        <v>2065</v>
      </c>
      <c r="C11" s="4">
        <v>-10.3968063922638</v>
      </c>
      <c r="D11" s="4">
        <v>-9.5228322193602608</v>
      </c>
      <c r="E11" s="4">
        <v>-12.0179077522545</v>
      </c>
      <c r="G11" s="4"/>
      <c r="H11" s="4"/>
      <c r="I11" s="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6E789-58AC-4CEA-8280-BAED7A5C79A5}">
  <sheetPr codeName="Sheet63"/>
  <dimension ref="B2:R11"/>
  <sheetViews>
    <sheetView workbookViewId="0"/>
  </sheetViews>
  <sheetFormatPr defaultColWidth="8.7109375" defaultRowHeight="16.5" x14ac:dyDescent="0.3"/>
  <cols>
    <col min="1" max="2" width="8.7109375" style="1"/>
    <col min="3" max="3" width="23.42578125" style="1" customWidth="1"/>
    <col min="4" max="4" width="23" style="1" customWidth="1"/>
    <col min="5" max="5" width="21.5703125" style="1" customWidth="1"/>
    <col min="6" max="7" width="8.7109375" style="1"/>
    <col min="8" max="8" width="8.7109375" style="38" customWidth="1"/>
    <col min="9" max="18" width="8.7109375" style="38"/>
    <col min="19" max="16384" width="8.7109375" style="1"/>
  </cols>
  <sheetData>
    <row r="2" spans="2:15" x14ac:dyDescent="0.3">
      <c r="B2" s="98" t="s">
        <v>300</v>
      </c>
      <c r="C2" s="32"/>
      <c r="D2" s="32"/>
      <c r="E2" s="32"/>
      <c r="F2" s="32"/>
      <c r="G2" s="32"/>
    </row>
    <row r="3" spans="2:15" x14ac:dyDescent="0.3">
      <c r="B3" s="32" t="s">
        <v>293</v>
      </c>
      <c r="C3" s="32"/>
      <c r="D3" s="32"/>
      <c r="E3" s="32"/>
      <c r="F3" s="32"/>
      <c r="G3" s="32"/>
    </row>
    <row r="4" spans="2:15" x14ac:dyDescent="0.3">
      <c r="M4" s="99"/>
    </row>
    <row r="5" spans="2:15" x14ac:dyDescent="0.3">
      <c r="C5" s="52" t="s">
        <v>63</v>
      </c>
      <c r="D5" s="52" t="s">
        <v>64</v>
      </c>
      <c r="E5" s="52" t="s">
        <v>65</v>
      </c>
      <c r="M5" s="100"/>
      <c r="N5" s="100"/>
      <c r="O5" s="100"/>
    </row>
    <row r="6" spans="2:15" x14ac:dyDescent="0.3">
      <c r="C6" s="52" t="s">
        <v>167</v>
      </c>
      <c r="D6" s="52" t="s">
        <v>167</v>
      </c>
      <c r="E6" s="52" t="s">
        <v>167</v>
      </c>
      <c r="M6" s="100"/>
      <c r="N6" s="100"/>
      <c r="O6" s="100"/>
    </row>
    <row r="7" spans="2:15" x14ac:dyDescent="0.3">
      <c r="B7" s="1">
        <v>1950</v>
      </c>
      <c r="C7" s="4">
        <v>0.86905076575556395</v>
      </c>
      <c r="D7" s="4">
        <v>0.74028490111095502</v>
      </c>
      <c r="E7" s="4">
        <v>0.31507290428831602</v>
      </c>
      <c r="G7" s="4"/>
      <c r="H7" s="61"/>
      <c r="I7" s="61"/>
      <c r="M7" s="61"/>
      <c r="N7" s="61"/>
      <c r="O7" s="61"/>
    </row>
    <row r="8" spans="2:15" x14ac:dyDescent="0.3">
      <c r="B8" s="1">
        <v>1970</v>
      </c>
      <c r="C8" s="4">
        <v>-1.8150150389366699</v>
      </c>
      <c r="D8" s="4">
        <v>-1.5318236694421099</v>
      </c>
      <c r="E8" s="4">
        <v>-0.386505891265709</v>
      </c>
      <c r="G8" s="4"/>
      <c r="H8" s="61"/>
      <c r="I8" s="61"/>
      <c r="M8" s="61"/>
      <c r="N8" s="61"/>
      <c r="O8" s="61"/>
    </row>
    <row r="9" spans="2:15" x14ac:dyDescent="0.3">
      <c r="B9" s="1">
        <v>2010</v>
      </c>
      <c r="C9" s="4">
        <v>-0.19155208425776199</v>
      </c>
      <c r="D9" s="4">
        <v>4.3016270173290599E-2</v>
      </c>
      <c r="E9" s="4">
        <v>0.92430456818917195</v>
      </c>
      <c r="G9" s="4"/>
      <c r="H9" s="61"/>
      <c r="I9" s="61"/>
      <c r="M9" s="61"/>
      <c r="N9" s="61"/>
      <c r="O9" s="61"/>
    </row>
    <row r="10" spans="2:15" x14ac:dyDescent="0.3">
      <c r="B10" s="1">
        <v>2040</v>
      </c>
      <c r="C10" s="4">
        <v>9.24361342633961E-2</v>
      </c>
      <c r="D10" s="4">
        <v>0.32398855983275499</v>
      </c>
      <c r="E10" s="4">
        <v>1.27080132530899</v>
      </c>
      <c r="G10" s="4"/>
      <c r="H10" s="61"/>
      <c r="I10" s="61"/>
      <c r="M10" s="61"/>
      <c r="N10" s="61"/>
      <c r="O10" s="61"/>
    </row>
    <row r="11" spans="2:15" x14ac:dyDescent="0.3">
      <c r="B11" s="1">
        <v>2065</v>
      </c>
      <c r="C11" s="4">
        <v>0.15729268641067101</v>
      </c>
      <c r="D11" s="4">
        <v>0.35034849718982303</v>
      </c>
      <c r="E11" s="4">
        <v>1.3049355557423401</v>
      </c>
      <c r="G11" s="4"/>
      <c r="H11" s="61"/>
      <c r="I11" s="61"/>
      <c r="M11" s="61"/>
      <c r="N11" s="61"/>
      <c r="O11" s="61"/>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B37B2-E0B0-44A5-A3CD-849815AA3283}">
  <sheetPr codeName="Sheet65"/>
  <dimension ref="B2:I11"/>
  <sheetViews>
    <sheetView workbookViewId="0"/>
  </sheetViews>
  <sheetFormatPr defaultColWidth="8.7109375" defaultRowHeight="16.5" x14ac:dyDescent="0.3"/>
  <cols>
    <col min="1" max="2" width="8.7109375" style="1"/>
    <col min="3" max="3" width="20.42578125" style="1" customWidth="1"/>
    <col min="4" max="4" width="23.140625" style="1" customWidth="1"/>
    <col min="5" max="5" width="21" style="1" customWidth="1"/>
    <col min="6" max="16384" width="8.7109375" style="1"/>
  </cols>
  <sheetData>
    <row r="2" spans="2:9" x14ac:dyDescent="0.3">
      <c r="B2" s="18" t="s">
        <v>301</v>
      </c>
      <c r="C2" s="32"/>
      <c r="D2" s="32"/>
      <c r="E2" s="32"/>
      <c r="F2" s="32"/>
      <c r="G2" s="32"/>
    </row>
    <row r="3" spans="2:9" x14ac:dyDescent="0.3">
      <c r="B3" s="32" t="s">
        <v>293</v>
      </c>
      <c r="C3" s="32"/>
      <c r="D3" s="32"/>
      <c r="E3" s="32"/>
      <c r="F3" s="32"/>
      <c r="G3" s="32"/>
    </row>
    <row r="5" spans="2:9" x14ac:dyDescent="0.3">
      <c r="C5" s="52" t="s">
        <v>63</v>
      </c>
      <c r="D5" s="52" t="s">
        <v>64</v>
      </c>
      <c r="E5" s="52" t="s">
        <v>65</v>
      </c>
    </row>
    <row r="6" spans="2:9" x14ac:dyDescent="0.3">
      <c r="C6" s="22" t="s">
        <v>167</v>
      </c>
      <c r="D6" s="22" t="s">
        <v>167</v>
      </c>
      <c r="E6" s="22" t="s">
        <v>167</v>
      </c>
    </row>
    <row r="7" spans="2:9" ht="14.45" customHeight="1" x14ac:dyDescent="0.3">
      <c r="B7" s="1">
        <v>1950</v>
      </c>
      <c r="C7" s="4">
        <v>-4.0957507402092004</v>
      </c>
      <c r="D7" s="4">
        <v>-3.5585434729018202</v>
      </c>
      <c r="E7" s="4">
        <v>-1.8627797195242199</v>
      </c>
      <c r="G7" s="4"/>
      <c r="H7" s="4"/>
      <c r="I7" s="4"/>
    </row>
    <row r="8" spans="2:9" x14ac:dyDescent="0.3">
      <c r="B8" s="1">
        <v>1970</v>
      </c>
      <c r="C8" s="4">
        <v>-5.1277069528462196</v>
      </c>
      <c r="D8" s="4">
        <v>-4.6343817761886497</v>
      </c>
      <c r="E8" s="4">
        <v>-2.5663267969836099</v>
      </c>
      <c r="G8" s="4"/>
      <c r="H8" s="4"/>
      <c r="I8" s="4"/>
    </row>
    <row r="9" spans="2:9" x14ac:dyDescent="0.3">
      <c r="B9" s="1">
        <v>2010</v>
      </c>
      <c r="C9" s="4">
        <v>-2.1120617650267399</v>
      </c>
      <c r="D9" s="4">
        <v>-1.5684065149856199</v>
      </c>
      <c r="E9" s="4">
        <v>0.77630397331682799</v>
      </c>
      <c r="G9" s="4"/>
      <c r="H9" s="4"/>
      <c r="I9" s="4"/>
    </row>
    <row r="10" spans="2:9" x14ac:dyDescent="0.3">
      <c r="B10" s="1">
        <v>2040</v>
      </c>
      <c r="C10" s="4">
        <v>-0.57630366531199495</v>
      </c>
      <c r="D10" s="4">
        <v>0.17964982536451399</v>
      </c>
      <c r="E10" s="4">
        <v>3.4283374461111502</v>
      </c>
      <c r="G10" s="4"/>
      <c r="H10" s="4"/>
      <c r="I10" s="4"/>
    </row>
    <row r="11" spans="2:9" x14ac:dyDescent="0.3">
      <c r="B11" s="1">
        <v>2065</v>
      </c>
      <c r="C11" s="4">
        <v>0.57660166946762503</v>
      </c>
      <c r="D11" s="4">
        <v>1.2680120930126799</v>
      </c>
      <c r="E11" s="4">
        <v>4.8240881570685596</v>
      </c>
      <c r="G11" s="4"/>
      <c r="H11" s="4"/>
      <c r="I11" s="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6E150-DA52-4742-8274-08EE757D2025}">
  <sheetPr codeName="Sheet67"/>
  <dimension ref="B2:I11"/>
  <sheetViews>
    <sheetView workbookViewId="0"/>
  </sheetViews>
  <sheetFormatPr defaultColWidth="8.7109375" defaultRowHeight="16.5" x14ac:dyDescent="0.3"/>
  <cols>
    <col min="1" max="2" width="8.7109375" style="1"/>
    <col min="3" max="5" width="24.28515625" style="1" bestFit="1" customWidth="1"/>
    <col min="6" max="16384" width="8.7109375" style="1"/>
  </cols>
  <sheetData>
    <row r="2" spans="2:9" x14ac:dyDescent="0.3">
      <c r="B2" s="18" t="s">
        <v>302</v>
      </c>
      <c r="C2" s="32"/>
      <c r="D2" s="32"/>
      <c r="E2" s="32"/>
      <c r="F2" s="32"/>
      <c r="G2" s="32"/>
      <c r="H2" s="32"/>
      <c r="I2" s="32"/>
    </row>
    <row r="3" spans="2:9" x14ac:dyDescent="0.3">
      <c r="B3" s="32" t="s">
        <v>293</v>
      </c>
      <c r="C3" s="32"/>
      <c r="D3" s="32"/>
      <c r="E3" s="32"/>
      <c r="F3" s="32"/>
      <c r="G3" s="32"/>
      <c r="H3" s="32"/>
      <c r="I3" s="32"/>
    </row>
    <row r="5" spans="2:9" x14ac:dyDescent="0.3">
      <c r="C5" s="52" t="s">
        <v>63</v>
      </c>
      <c r="D5" s="52" t="s">
        <v>64</v>
      </c>
      <c r="E5" s="52" t="s">
        <v>65</v>
      </c>
    </row>
    <row r="6" spans="2:9" x14ac:dyDescent="0.3">
      <c r="C6" s="22" t="s">
        <v>167</v>
      </c>
      <c r="D6" s="22" t="s">
        <v>167</v>
      </c>
      <c r="E6" s="22" t="s">
        <v>167</v>
      </c>
    </row>
    <row r="7" spans="2:9" x14ac:dyDescent="0.3">
      <c r="B7" s="1">
        <v>1950</v>
      </c>
      <c r="C7" s="4">
        <v>1.7946290726463101</v>
      </c>
      <c r="D7" s="4">
        <v>1.51344867035395</v>
      </c>
      <c r="E7" s="4">
        <v>0.67254217277399297</v>
      </c>
      <c r="G7" s="4"/>
      <c r="H7" s="4"/>
      <c r="I7" s="4"/>
    </row>
    <row r="8" spans="2:9" x14ac:dyDescent="0.3">
      <c r="B8" s="1">
        <v>1960</v>
      </c>
      <c r="C8" s="4">
        <v>-5.7909302374923097</v>
      </c>
      <c r="D8" s="4">
        <v>-4.7904401514260204</v>
      </c>
      <c r="E8" s="4">
        <v>-1.3450599083103001</v>
      </c>
      <c r="G8" s="4"/>
      <c r="H8" s="4"/>
      <c r="I8" s="4"/>
    </row>
    <row r="9" spans="2:9" x14ac:dyDescent="0.3">
      <c r="B9" s="1">
        <v>1970</v>
      </c>
      <c r="C9" s="4">
        <v>-2.8934923184282999</v>
      </c>
      <c r="D9" s="4">
        <v>-2.4149961199802799</v>
      </c>
      <c r="E9" s="4">
        <v>-0.359696494061501</v>
      </c>
      <c r="G9" s="4"/>
      <c r="H9" s="4"/>
      <c r="I9" s="4"/>
    </row>
    <row r="10" spans="2:9" x14ac:dyDescent="0.3">
      <c r="B10" s="1">
        <v>2010</v>
      </c>
      <c r="C10" s="4">
        <v>-4.3249194363792501E-2</v>
      </c>
      <c r="D10" s="4">
        <v>0.17515493459161499</v>
      </c>
      <c r="E10" s="4">
        <v>1.1120501422396101</v>
      </c>
      <c r="G10" s="4"/>
      <c r="H10" s="4"/>
      <c r="I10" s="4"/>
    </row>
    <row r="11" spans="2:9" x14ac:dyDescent="0.3">
      <c r="B11" s="1">
        <v>2065</v>
      </c>
      <c r="C11" s="4">
        <v>0.158148189729856</v>
      </c>
      <c r="D11" s="4">
        <v>0.35101464168052499</v>
      </c>
      <c r="E11" s="4">
        <v>1.3060321210792001</v>
      </c>
      <c r="G11" s="4"/>
      <c r="H11" s="4"/>
      <c r="I11" s="4"/>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16F8-037C-44DB-84D4-190A80BF9822}">
  <sheetPr codeName="Sheet69"/>
  <dimension ref="B2:J11"/>
  <sheetViews>
    <sheetView workbookViewId="0"/>
  </sheetViews>
  <sheetFormatPr defaultColWidth="8.7109375" defaultRowHeight="16.5" x14ac:dyDescent="0.3"/>
  <cols>
    <col min="1" max="2" width="8.7109375" style="1"/>
    <col min="3" max="5" width="24.28515625" style="1" bestFit="1" customWidth="1"/>
    <col min="6" max="16384" width="8.7109375" style="1"/>
  </cols>
  <sheetData>
    <row r="2" spans="2:10" x14ac:dyDescent="0.3">
      <c r="B2" s="18" t="s">
        <v>303</v>
      </c>
      <c r="C2" s="32"/>
      <c r="D2" s="32"/>
      <c r="E2" s="32"/>
      <c r="F2" s="32"/>
      <c r="G2" s="32"/>
      <c r="H2" s="32"/>
      <c r="I2" s="32"/>
      <c r="J2" s="32"/>
    </row>
    <row r="3" spans="2:10" x14ac:dyDescent="0.3">
      <c r="B3" s="32" t="s">
        <v>293</v>
      </c>
      <c r="C3" s="32"/>
      <c r="D3" s="32"/>
      <c r="E3" s="32"/>
      <c r="F3" s="32"/>
      <c r="G3" s="32"/>
      <c r="H3" s="32"/>
      <c r="I3" s="32"/>
      <c r="J3" s="32"/>
    </row>
    <row r="5" spans="2:10" x14ac:dyDescent="0.3">
      <c r="C5" s="52" t="s">
        <v>63</v>
      </c>
      <c r="D5" s="52" t="s">
        <v>64</v>
      </c>
      <c r="E5" s="52" t="s">
        <v>65</v>
      </c>
    </row>
    <row r="6" spans="2:10" x14ac:dyDescent="0.3">
      <c r="C6" s="22" t="s">
        <v>167</v>
      </c>
      <c r="D6" s="22" t="s">
        <v>167</v>
      </c>
      <c r="E6" s="22" t="s">
        <v>167</v>
      </c>
    </row>
    <row r="7" spans="2:10" x14ac:dyDescent="0.3">
      <c r="B7" s="1">
        <v>1950</v>
      </c>
      <c r="C7" s="4">
        <v>4.2081756636802602E-2</v>
      </c>
      <c r="D7" s="4">
        <v>3.3567687903679498E-2</v>
      </c>
      <c r="E7" s="4">
        <v>-1.3168240819017E-2</v>
      </c>
      <c r="G7" s="4"/>
      <c r="H7" s="4"/>
      <c r="I7" s="4"/>
    </row>
    <row r="8" spans="2:10" x14ac:dyDescent="0.3">
      <c r="B8" s="1">
        <v>1970</v>
      </c>
      <c r="C8" s="4">
        <v>0.58833986161976903</v>
      </c>
      <c r="D8" s="4">
        <v>0.47473368203625499</v>
      </c>
      <c r="E8" s="4">
        <v>0.13221369814324599</v>
      </c>
      <c r="G8" s="4"/>
      <c r="H8" s="4"/>
      <c r="I8" s="4"/>
    </row>
    <row r="9" spans="2:10" x14ac:dyDescent="0.3">
      <c r="B9" s="1">
        <v>1980</v>
      </c>
      <c r="C9" s="4">
        <v>-2.0955847791443798</v>
      </c>
      <c r="D9" s="4">
        <v>-1.7883470747218899</v>
      </c>
      <c r="E9" s="4">
        <v>-0.53973658515771294</v>
      </c>
      <c r="G9" s="4"/>
      <c r="H9" s="4"/>
      <c r="I9" s="4"/>
    </row>
    <row r="10" spans="2:10" x14ac:dyDescent="0.3">
      <c r="B10" s="1">
        <v>2010</v>
      </c>
      <c r="C10" s="4">
        <v>-0.47576186827539302</v>
      </c>
      <c r="D10" s="4">
        <v>-0.25287289592388401</v>
      </c>
      <c r="E10" s="4">
        <v>0.59999696124959401</v>
      </c>
      <c r="G10" s="4"/>
      <c r="H10" s="4"/>
      <c r="I10" s="4"/>
    </row>
    <row r="11" spans="2:10" x14ac:dyDescent="0.3">
      <c r="B11" s="1">
        <v>2065</v>
      </c>
      <c r="C11" s="4">
        <v>0.153362737315965</v>
      </c>
      <c r="D11" s="4">
        <v>0.34639822522206698</v>
      </c>
      <c r="E11" s="4">
        <v>1.2999813242792599</v>
      </c>
      <c r="G11" s="4"/>
      <c r="H11" s="4"/>
      <c r="I11"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D07EC-142F-42B5-AE9C-E1F3FA77F54E}">
  <sheetPr codeName="Sheet71"/>
  <dimension ref="B2:O70"/>
  <sheetViews>
    <sheetView showGridLines="0" zoomScaleNormal="100" workbookViewId="0"/>
  </sheetViews>
  <sheetFormatPr defaultColWidth="8.7109375" defaultRowHeight="16.5" x14ac:dyDescent="0.3"/>
  <cols>
    <col min="1" max="2" width="8.7109375" style="1"/>
    <col min="3" max="3" width="24.5703125" style="1" bestFit="1" customWidth="1"/>
    <col min="4" max="4" width="55.7109375" style="1" bestFit="1" customWidth="1"/>
    <col min="5" max="5" width="8.7109375" style="14"/>
    <col min="6" max="6" width="8.7109375" style="1"/>
    <col min="7" max="7" width="8.7109375" style="38"/>
    <col min="8" max="8" width="10.140625" style="38" customWidth="1"/>
    <col min="9" max="16384" width="8.7109375" style="1"/>
  </cols>
  <sheetData>
    <row r="2" spans="2:8" x14ac:dyDescent="0.3">
      <c r="B2" s="9" t="s">
        <v>304</v>
      </c>
      <c r="C2" s="8"/>
      <c r="D2" s="8"/>
      <c r="E2" s="15"/>
      <c r="F2" s="8"/>
    </row>
    <row r="3" spans="2:8" x14ac:dyDescent="0.3">
      <c r="B3" s="8" t="s">
        <v>4</v>
      </c>
      <c r="C3" s="8"/>
      <c r="D3" s="8"/>
      <c r="E3" s="15"/>
      <c r="F3" s="8"/>
    </row>
    <row r="5" spans="2:8" x14ac:dyDescent="0.3">
      <c r="C5" s="1" t="s">
        <v>153</v>
      </c>
      <c r="D5" s="1" t="s">
        <v>154</v>
      </c>
      <c r="E5" s="14" t="s">
        <v>15</v>
      </c>
    </row>
    <row r="6" spans="2:8" x14ac:dyDescent="0.3">
      <c r="C6" s="1" t="s">
        <v>3</v>
      </c>
      <c r="D6" s="1" t="s">
        <v>3</v>
      </c>
    </row>
    <row r="7" spans="2:8" x14ac:dyDescent="0.3">
      <c r="B7" s="1">
        <v>2002</v>
      </c>
      <c r="C7" s="4">
        <v>3.4569535404529748</v>
      </c>
      <c r="D7" s="4">
        <v>3.9187015645562213</v>
      </c>
    </row>
    <row r="8" spans="2:8" x14ac:dyDescent="0.3">
      <c r="B8" s="1">
        <v>2003</v>
      </c>
      <c r="C8" s="4">
        <v>3.3844449626865671</v>
      </c>
      <c r="D8" s="4">
        <v>4.2589785447761193</v>
      </c>
    </row>
    <row r="9" spans="2:8" x14ac:dyDescent="0.3">
      <c r="B9" s="1">
        <v>2004</v>
      </c>
      <c r="C9" s="4">
        <v>3.2777886954577182</v>
      </c>
      <c r="D9" s="4">
        <v>4.5510913538751367</v>
      </c>
    </row>
    <row r="10" spans="2:8" x14ac:dyDescent="0.3">
      <c r="B10" s="1">
        <v>2005</v>
      </c>
      <c r="C10" s="4">
        <v>3.1783687264842801</v>
      </c>
      <c r="D10" s="4">
        <v>4.5220330336075509</v>
      </c>
      <c r="F10" s="4"/>
      <c r="H10" s="61"/>
    </row>
    <row r="11" spans="2:8" x14ac:dyDescent="0.3">
      <c r="B11" s="1">
        <v>2006</v>
      </c>
      <c r="C11" s="4">
        <v>3.1856157803208114</v>
      </c>
      <c r="D11" s="4">
        <v>4.6066472898855633</v>
      </c>
      <c r="F11" s="4"/>
      <c r="H11" s="61"/>
    </row>
    <row r="12" spans="2:8" x14ac:dyDescent="0.3">
      <c r="B12" s="1">
        <v>2007</v>
      </c>
      <c r="C12" s="4">
        <v>3.1603017740344312</v>
      </c>
      <c r="D12" s="4">
        <v>4.3281650063012149</v>
      </c>
      <c r="F12" s="4"/>
      <c r="H12" s="61"/>
    </row>
    <row r="13" spans="2:8" x14ac:dyDescent="0.3">
      <c r="B13" s="1">
        <v>2008</v>
      </c>
      <c r="C13" s="4">
        <v>3.1583684057280501</v>
      </c>
      <c r="D13" s="4">
        <v>4.2722147224648612</v>
      </c>
      <c r="F13" s="4"/>
      <c r="H13" s="61"/>
    </row>
    <row r="14" spans="2:8" x14ac:dyDescent="0.3">
      <c r="B14" s="1">
        <v>2009</v>
      </c>
      <c r="C14" s="4">
        <v>3.4003392437603379</v>
      </c>
      <c r="D14" s="4">
        <v>4.5818978686642016</v>
      </c>
      <c r="F14" s="4"/>
      <c r="H14" s="61"/>
    </row>
    <row r="15" spans="2:8" x14ac:dyDescent="0.3">
      <c r="B15" s="1">
        <v>2010</v>
      </c>
      <c r="C15" s="4">
        <v>3.5281956696883245</v>
      </c>
      <c r="D15" s="4">
        <v>3.6548722340172173</v>
      </c>
      <c r="F15" s="4"/>
      <c r="H15" s="61"/>
    </row>
    <row r="16" spans="2:8" x14ac:dyDescent="0.3">
      <c r="B16" s="1">
        <v>2011</v>
      </c>
      <c r="C16" s="4">
        <v>3.6686430727129813</v>
      </c>
      <c r="D16" s="4">
        <v>3.6686430727129813</v>
      </c>
      <c r="F16" s="4"/>
      <c r="H16" s="61"/>
    </row>
    <row r="17" spans="2:15" x14ac:dyDescent="0.3">
      <c r="B17" s="1">
        <v>2012</v>
      </c>
      <c r="C17" s="4">
        <v>3.8281202804871812</v>
      </c>
      <c r="D17" s="4">
        <v>3.8281202804871812</v>
      </c>
      <c r="F17" s="4"/>
      <c r="H17" s="61"/>
    </row>
    <row r="18" spans="2:15" x14ac:dyDescent="0.3">
      <c r="B18" s="1">
        <v>2013</v>
      </c>
      <c r="C18" s="4">
        <v>4.0035039213807639</v>
      </c>
      <c r="D18" s="4">
        <v>4.0035039213807639</v>
      </c>
      <c r="F18" s="4"/>
      <c r="H18" s="61"/>
      <c r="I18" s="4"/>
      <c r="J18" s="4"/>
      <c r="K18" s="4"/>
      <c r="L18" s="4"/>
      <c r="M18" s="4"/>
      <c r="N18" s="4"/>
      <c r="O18" s="4"/>
    </row>
    <row r="19" spans="2:15" x14ac:dyDescent="0.3">
      <c r="B19" s="1">
        <v>2014</v>
      </c>
      <c r="C19" s="4">
        <v>3.9371274535859375</v>
      </c>
      <c r="D19" s="4">
        <v>3.9371274535859375</v>
      </c>
      <c r="F19" s="4"/>
    </row>
    <row r="20" spans="2:15" x14ac:dyDescent="0.3">
      <c r="B20" s="1">
        <v>2015</v>
      </c>
      <c r="C20" s="4">
        <v>4.0216047374243509</v>
      </c>
      <c r="D20" s="4">
        <v>4.0216047374243509</v>
      </c>
      <c r="F20" s="4"/>
    </row>
    <row r="21" spans="2:15" x14ac:dyDescent="0.3">
      <c r="B21" s="1">
        <v>2016</v>
      </c>
      <c r="C21" s="4">
        <v>4.0323795326131879</v>
      </c>
      <c r="D21" s="4">
        <v>4.0323795326131879</v>
      </c>
      <c r="F21" s="4"/>
    </row>
    <row r="22" spans="2:15" x14ac:dyDescent="0.3">
      <c r="B22" s="1">
        <v>2017</v>
      </c>
      <c r="C22" s="4">
        <v>4.0195595122446326</v>
      </c>
      <c r="D22" s="4">
        <v>4.0195595122446326</v>
      </c>
      <c r="F22" s="4"/>
    </row>
    <row r="23" spans="2:15" x14ac:dyDescent="0.3">
      <c r="B23" s="1">
        <v>2018</v>
      </c>
      <c r="C23" s="4">
        <v>3.9297944337208475</v>
      </c>
      <c r="D23" s="4">
        <v>4.0988178502249699</v>
      </c>
      <c r="F23" s="4"/>
    </row>
    <row r="24" spans="2:15" x14ac:dyDescent="0.3">
      <c r="B24" s="1">
        <v>2019</v>
      </c>
      <c r="C24" s="4">
        <v>3.971827175761323</v>
      </c>
      <c r="D24" s="4">
        <v>4.2938759210594117</v>
      </c>
      <c r="F24" s="4"/>
    </row>
    <row r="25" spans="2:15" x14ac:dyDescent="0.3">
      <c r="B25" s="1">
        <v>2020</v>
      </c>
      <c r="C25" s="4">
        <v>4.1293198711712646</v>
      </c>
      <c r="D25" s="4">
        <v>4.588972738806981</v>
      </c>
      <c r="F25" s="4"/>
    </row>
    <row r="26" spans="2:15" x14ac:dyDescent="0.3">
      <c r="B26" s="1">
        <v>2021</v>
      </c>
      <c r="C26" s="4">
        <v>4.0705547288383865</v>
      </c>
      <c r="D26" s="4">
        <v>4.6879231667506325</v>
      </c>
      <c r="F26" s="4"/>
    </row>
    <row r="27" spans="2:15" x14ac:dyDescent="0.3">
      <c r="B27" s="1">
        <v>2022</v>
      </c>
      <c r="C27" s="4">
        <v>4.0840433560467684</v>
      </c>
      <c r="D27" s="4">
        <v>4.7457590042546682</v>
      </c>
      <c r="F27" s="4"/>
    </row>
    <row r="28" spans="2:15" x14ac:dyDescent="0.3">
      <c r="B28" s="1">
        <v>2023</v>
      </c>
      <c r="C28" s="4">
        <v>4.0667717602173585</v>
      </c>
      <c r="D28" s="4">
        <v>4.7038080224730843</v>
      </c>
      <c r="F28" s="4"/>
    </row>
    <row r="29" spans="2:15" x14ac:dyDescent="0.3">
      <c r="B29" s="1">
        <v>2024</v>
      </c>
      <c r="C29" s="4">
        <v>4.2712934653917296</v>
      </c>
      <c r="D29" s="4">
        <v>4.6550109124106687</v>
      </c>
      <c r="F29" s="4"/>
    </row>
    <row r="30" spans="2:15" x14ac:dyDescent="0.3">
      <c r="B30" s="1">
        <v>2025</v>
      </c>
      <c r="C30" s="4">
        <v>4.4391793137047619</v>
      </c>
      <c r="D30" s="4">
        <v>4.6411795527039077</v>
      </c>
    </row>
    <row r="31" spans="2:15" x14ac:dyDescent="0.3">
      <c r="B31" s="1">
        <v>2026</v>
      </c>
      <c r="C31" s="4">
        <v>4.5002453643660845</v>
      </c>
      <c r="D31" s="4">
        <v>4.5002453643660845</v>
      </c>
    </row>
    <row r="32" spans="2:15" x14ac:dyDescent="0.3">
      <c r="B32" s="1">
        <v>2027</v>
      </c>
      <c r="C32" s="4">
        <v>4.5394227347887055</v>
      </c>
      <c r="D32" s="4">
        <v>4.5402599577202416</v>
      </c>
    </row>
    <row r="33" spans="2:5" x14ac:dyDescent="0.3">
      <c r="B33" s="1">
        <v>2028</v>
      </c>
      <c r="C33" s="4">
        <v>4.573478734831272</v>
      </c>
      <c r="D33" s="4">
        <v>4.5670898004655935</v>
      </c>
    </row>
    <row r="34" spans="2:5" x14ac:dyDescent="0.3">
      <c r="B34" s="1">
        <v>2029</v>
      </c>
      <c r="C34" s="4">
        <v>4.5819484776445183</v>
      </c>
      <c r="D34" s="4">
        <v>4.593968579834466</v>
      </c>
      <c r="E34" s="14">
        <v>1</v>
      </c>
    </row>
    <row r="35" spans="2:5" x14ac:dyDescent="0.3">
      <c r="B35" s="1">
        <v>2030</v>
      </c>
      <c r="C35" s="4">
        <v>4.602052261975409</v>
      </c>
      <c r="D35" s="4">
        <v>4.7074269616516444</v>
      </c>
    </row>
    <row r="36" spans="2:5" x14ac:dyDescent="0.3">
      <c r="B36" s="1">
        <v>2031</v>
      </c>
      <c r="C36" s="4">
        <v>4.6458576686668405</v>
      </c>
      <c r="D36" s="4">
        <v>4.7400505573633227</v>
      </c>
    </row>
    <row r="37" spans="2:5" x14ac:dyDescent="0.3">
      <c r="B37" s="1">
        <v>2032</v>
      </c>
      <c r="C37" s="4">
        <v>4.6949968915494038</v>
      </c>
      <c r="D37" s="4">
        <v>4.7730514109744293</v>
      </c>
    </row>
    <row r="38" spans="2:5" x14ac:dyDescent="0.3">
      <c r="B38" s="1">
        <v>2033</v>
      </c>
      <c r="C38" s="4">
        <v>4.7507172023188913</v>
      </c>
      <c r="D38" s="4">
        <v>4.8066486556764989</v>
      </c>
    </row>
    <row r="39" spans="2:5" x14ac:dyDescent="0.3">
      <c r="B39" s="1">
        <v>2034</v>
      </c>
      <c r="C39" s="4">
        <v>4.8085580582576428</v>
      </c>
      <c r="D39" s="4">
        <v>4.8409478174111991</v>
      </c>
    </row>
    <row r="40" spans="2:5" x14ac:dyDescent="0.3">
      <c r="B40" s="1">
        <v>2035</v>
      </c>
      <c r="C40" s="4">
        <v>4.8623868114536961</v>
      </c>
      <c r="D40" s="4">
        <v>4.8758799769378935</v>
      </c>
    </row>
    <row r="41" spans="2:5" x14ac:dyDescent="0.3">
      <c r="B41" s="1">
        <v>2036</v>
      </c>
      <c r="C41" s="4">
        <v>4.9225065094901908</v>
      </c>
      <c r="D41" s="4">
        <v>4.9114728145260278</v>
      </c>
    </row>
    <row r="42" spans="2:5" x14ac:dyDescent="0.3">
      <c r="B42" s="1">
        <v>2037</v>
      </c>
      <c r="C42" s="4">
        <v>4.9761544711697976</v>
      </c>
      <c r="D42" s="4">
        <v>4.9476758526220888</v>
      </c>
    </row>
    <row r="43" spans="2:5" x14ac:dyDescent="0.3">
      <c r="B43" s="1">
        <v>2038</v>
      </c>
      <c r="C43" s="4">
        <v>5.0200793243985995</v>
      </c>
      <c r="D43" s="4">
        <v>4.9844289517721672</v>
      </c>
    </row>
    <row r="44" spans="2:5" x14ac:dyDescent="0.3">
      <c r="B44" s="1">
        <v>2039</v>
      </c>
      <c r="C44" s="4">
        <v>5.0551494326410369</v>
      </c>
      <c r="D44" s="4">
        <v>5.0216836225044981</v>
      </c>
    </row>
    <row r="45" spans="2:5" x14ac:dyDescent="0.3">
      <c r="B45" s="1">
        <v>2040</v>
      </c>
      <c r="C45" s="4">
        <v>5.0791500168503578</v>
      </c>
      <c r="D45" s="4">
        <v>5.0593269668560401</v>
      </c>
    </row>
    <row r="46" spans="2:5" x14ac:dyDescent="0.3">
      <c r="B46" s="1">
        <v>2041</v>
      </c>
      <c r="C46" s="4">
        <v>5.0954656493474939</v>
      </c>
      <c r="D46" s="4">
        <v>5.0973184132322844</v>
      </c>
    </row>
    <row r="47" spans="2:5" x14ac:dyDescent="0.3">
      <c r="B47" s="1">
        <v>2042</v>
      </c>
      <c r="C47" s="4">
        <v>5.1119882507953696</v>
      </c>
      <c r="D47" s="4">
        <v>5.1355748447758369</v>
      </c>
    </row>
    <row r="48" spans="2:5" x14ac:dyDescent="0.3">
      <c r="B48" s="1">
        <v>2043</v>
      </c>
      <c r="C48" s="4">
        <v>5.1247564721573937</v>
      </c>
      <c r="D48" s="4">
        <v>5.1740682246159224</v>
      </c>
    </row>
    <row r="49" spans="2:4" x14ac:dyDescent="0.3">
      <c r="B49" s="1">
        <v>2044</v>
      </c>
      <c r="C49" s="4">
        <v>5.1447102805261782</v>
      </c>
      <c r="D49" s="4">
        <v>5.2127150839779217</v>
      </c>
    </row>
    <row r="50" spans="2:4" x14ac:dyDescent="0.3">
      <c r="B50" s="1">
        <v>2045</v>
      </c>
      <c r="C50" s="4">
        <v>5.1688365357736634</v>
      </c>
      <c r="D50" s="4">
        <v>5.2515078178949022</v>
      </c>
    </row>
    <row r="51" spans="2:4" x14ac:dyDescent="0.3">
      <c r="B51" s="1">
        <v>2046</v>
      </c>
      <c r="C51" s="4">
        <v>5.1976373494288985</v>
      </c>
      <c r="D51" s="4">
        <v>5.2903641783567119</v>
      </c>
    </row>
    <row r="52" spans="2:4" x14ac:dyDescent="0.3">
      <c r="B52" s="1">
        <v>2047</v>
      </c>
      <c r="C52" s="4">
        <v>5.2320027873171728</v>
      </c>
      <c r="D52" s="4">
        <v>5.3292976713702149</v>
      </c>
    </row>
    <row r="53" spans="2:4" x14ac:dyDescent="0.3">
      <c r="B53" s="1">
        <v>2048</v>
      </c>
      <c r="C53" s="4">
        <v>5.2740355794301381</v>
      </c>
      <c r="D53" s="4">
        <v>5.368273377870004</v>
      </c>
    </row>
    <row r="54" spans="2:4" x14ac:dyDescent="0.3">
      <c r="B54" s="1">
        <v>2049</v>
      </c>
      <c r="C54" s="4">
        <v>5.3202826171472424</v>
      </c>
      <c r="D54" s="4">
        <v>5.4070609002359209</v>
      </c>
    </row>
    <row r="55" spans="2:4" x14ac:dyDescent="0.3">
      <c r="B55" s="1">
        <v>2050</v>
      </c>
      <c r="C55" s="4">
        <v>5.3717368554734097</v>
      </c>
      <c r="D55" s="4">
        <v>5.4456564749291623</v>
      </c>
    </row>
    <row r="56" spans="2:4" x14ac:dyDescent="0.3">
      <c r="B56" s="1">
        <v>2051</v>
      </c>
      <c r="C56" s="4">
        <v>5.4277907762861322</v>
      </c>
      <c r="D56" s="4">
        <v>5.4841090082168851</v>
      </c>
    </row>
    <row r="57" spans="2:4" x14ac:dyDescent="0.3">
      <c r="B57" s="1">
        <v>2052</v>
      </c>
      <c r="C57" s="4">
        <v>5.4959707811287348</v>
      </c>
      <c r="D57" s="4">
        <v>5.5224196298796313</v>
      </c>
    </row>
    <row r="58" spans="2:4" x14ac:dyDescent="0.3">
      <c r="B58" s="1">
        <v>2053</v>
      </c>
      <c r="C58" s="4">
        <v>5.5747863888880094</v>
      </c>
      <c r="D58" s="4">
        <v>5.5605770297450894</v>
      </c>
    </row>
    <row r="59" spans="2:4" x14ac:dyDescent="0.3">
      <c r="B59" s="1">
        <v>2054</v>
      </c>
      <c r="C59" s="4">
        <v>5.6580675766328303</v>
      </c>
      <c r="D59" s="4">
        <v>5.5985696521363266</v>
      </c>
    </row>
    <row r="60" spans="2:4" x14ac:dyDescent="0.3">
      <c r="B60" s="1">
        <v>2055</v>
      </c>
      <c r="C60" s="4">
        <v>5.7520246483242845</v>
      </c>
      <c r="D60" s="4">
        <v>5.6363816873765229</v>
      </c>
    </row>
    <row r="61" spans="2:4" x14ac:dyDescent="0.3">
      <c r="B61" s="1">
        <v>2056</v>
      </c>
      <c r="C61" s="4">
        <v>5.8495370745517006</v>
      </c>
      <c r="D61" s="4">
        <v>5.6739879108848514</v>
      </c>
    </row>
    <row r="62" spans="2:4" x14ac:dyDescent="0.3">
      <c r="B62" s="1">
        <v>2057</v>
      </c>
      <c r="C62" s="4">
        <v>5.9443583749621745</v>
      </c>
      <c r="D62" s="4">
        <v>5.7113698397844503</v>
      </c>
    </row>
    <row r="63" spans="2:4" x14ac:dyDescent="0.3">
      <c r="B63" s="1">
        <v>2058</v>
      </c>
      <c r="C63" s="4">
        <v>6.0329758086527683</v>
      </c>
      <c r="D63" s="4">
        <v>5.7485033607062421</v>
      </c>
    </row>
    <row r="64" spans="2:4" x14ac:dyDescent="0.3">
      <c r="B64" s="1">
        <v>2059</v>
      </c>
      <c r="C64" s="4">
        <v>6.1119788366671441</v>
      </c>
      <c r="D64" s="4">
        <v>5.7853657639676426</v>
      </c>
    </row>
    <row r="65" spans="2:4" x14ac:dyDescent="0.3">
      <c r="B65" s="1">
        <v>2060</v>
      </c>
      <c r="C65" s="4">
        <v>6.1874158636108607</v>
      </c>
      <c r="D65" s="4">
        <v>5.8219318643554372</v>
      </c>
    </row>
    <row r="66" spans="2:4" x14ac:dyDescent="0.3">
      <c r="B66" s="1">
        <v>2061</v>
      </c>
      <c r="C66" s="4">
        <v>6.2555145862971937</v>
      </c>
      <c r="D66" s="4">
        <v>5.8581844536309111</v>
      </c>
    </row>
    <row r="67" spans="2:4" x14ac:dyDescent="0.3">
      <c r="B67" s="1">
        <v>2062</v>
      </c>
      <c r="C67" s="4">
        <v>6.3172019290312367</v>
      </c>
      <c r="D67" s="4">
        <v>5.8941111475417873</v>
      </c>
    </row>
    <row r="68" spans="2:4" x14ac:dyDescent="0.3">
      <c r="B68" s="1">
        <v>2063</v>
      </c>
      <c r="C68" s="4">
        <v>6.3751087833324904</v>
      </c>
      <c r="D68" s="4">
        <v>5.9297059694414402</v>
      </c>
    </row>
    <row r="69" spans="2:4" x14ac:dyDescent="0.3">
      <c r="B69" s="1">
        <v>2064</v>
      </c>
      <c r="C69" s="4">
        <v>6.4258135376102938</v>
      </c>
      <c r="D69" s="4">
        <v>5.9649683279511176</v>
      </c>
    </row>
    <row r="70" spans="2:4" x14ac:dyDescent="0.3">
      <c r="B70" s="1">
        <v>2065</v>
      </c>
      <c r="C70" s="4">
        <v>6.4833685989511345</v>
      </c>
      <c r="D70" s="4">
        <v>5.9999013704446735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526D-B741-44BE-A406-A955091C394D}">
  <sheetPr codeName="Sheet73"/>
  <dimension ref="B2:H45"/>
  <sheetViews>
    <sheetView showGridLines="0" workbookViewId="0"/>
  </sheetViews>
  <sheetFormatPr defaultColWidth="8.7109375" defaultRowHeight="16.5" x14ac:dyDescent="0.3"/>
  <cols>
    <col min="1" max="2" width="8.7109375" style="1"/>
    <col min="3" max="3" width="26.28515625" style="1" bestFit="1" customWidth="1"/>
    <col min="4" max="4" width="36.5703125" style="1" bestFit="1" customWidth="1"/>
    <col min="5" max="5" width="8.85546875" style="14" customWidth="1"/>
    <col min="6" max="16384" width="8.7109375" style="1"/>
  </cols>
  <sheetData>
    <row r="2" spans="2:8" x14ac:dyDescent="0.3">
      <c r="B2" s="9" t="s">
        <v>173</v>
      </c>
      <c r="C2" s="8"/>
      <c r="D2" s="8"/>
      <c r="E2" s="15"/>
      <c r="F2" s="8"/>
      <c r="G2" s="8"/>
      <c r="H2" s="8"/>
    </row>
    <row r="3" spans="2:8" x14ac:dyDescent="0.3">
      <c r="B3" s="8" t="s">
        <v>305</v>
      </c>
      <c r="C3" s="8"/>
      <c r="D3" s="8"/>
      <c r="E3" s="15"/>
      <c r="F3" s="8"/>
      <c r="G3" s="8"/>
      <c r="H3" s="8"/>
    </row>
    <row r="5" spans="2:8" x14ac:dyDescent="0.3">
      <c r="C5" s="1" t="s">
        <v>32</v>
      </c>
      <c r="D5" s="1" t="s">
        <v>66</v>
      </c>
      <c r="E5" s="14" t="s">
        <v>15</v>
      </c>
    </row>
    <row r="6" spans="2:8" x14ac:dyDescent="0.3">
      <c r="C6" s="1" t="s">
        <v>3</v>
      </c>
      <c r="D6" s="1" t="s">
        <v>3</v>
      </c>
    </row>
    <row r="7" spans="2:8" x14ac:dyDescent="0.3">
      <c r="B7" s="1">
        <v>2022</v>
      </c>
      <c r="C7" s="4">
        <v>4.8573209813079004</v>
      </c>
      <c r="D7" s="1">
        <v>4.1999999999999993</v>
      </c>
    </row>
    <row r="8" spans="2:8" x14ac:dyDescent="0.3">
      <c r="B8" s="1">
        <v>2023</v>
      </c>
      <c r="C8" s="4">
        <v>4.8604522011121984</v>
      </c>
      <c r="D8" s="1">
        <v>4.4000000000000004</v>
      </c>
    </row>
    <row r="9" spans="2:8" x14ac:dyDescent="0.3">
      <c r="B9" s="1">
        <v>2024</v>
      </c>
      <c r="C9" s="4">
        <v>5.1290707571168417</v>
      </c>
      <c r="D9" s="1">
        <v>4.3</v>
      </c>
    </row>
    <row r="10" spans="2:8" x14ac:dyDescent="0.3">
      <c r="B10" s="1">
        <v>2025</v>
      </c>
      <c r="C10" s="4">
        <v>5.3269232536975926</v>
      </c>
      <c r="D10" s="1">
        <v>4.2</v>
      </c>
    </row>
    <row r="11" spans="2:8" x14ac:dyDescent="0.3">
      <c r="B11" s="1">
        <v>2026</v>
      </c>
      <c r="C11" s="4">
        <v>5.409188895509832</v>
      </c>
      <c r="D11" s="1">
        <v>4.3</v>
      </c>
    </row>
    <row r="12" spans="2:8" x14ac:dyDescent="0.3">
      <c r="B12" s="1">
        <v>2027</v>
      </c>
      <c r="C12" s="4">
        <v>5.4662285199991629</v>
      </c>
      <c r="D12" s="1">
        <v>4.3</v>
      </c>
    </row>
    <row r="13" spans="2:8" x14ac:dyDescent="0.3">
      <c r="B13" s="1">
        <v>2028</v>
      </c>
      <c r="C13" s="4">
        <v>5.5114541613924688</v>
      </c>
      <c r="D13" s="1">
        <v>4.2</v>
      </c>
    </row>
    <row r="14" spans="2:8" x14ac:dyDescent="0.3">
      <c r="B14" s="1">
        <v>2029</v>
      </c>
      <c r="C14" s="4">
        <v>5.5248587161004501</v>
      </c>
      <c r="D14" s="1">
        <v>4.2</v>
      </c>
      <c r="E14" s="14">
        <v>1</v>
      </c>
    </row>
    <row r="15" spans="2:8" x14ac:dyDescent="0.3">
      <c r="B15" s="1">
        <v>2030</v>
      </c>
      <c r="C15" s="4">
        <v>5.5490567616094868</v>
      </c>
      <c r="D15" s="1">
        <v>4.3000000000000007</v>
      </c>
    </row>
    <row r="16" spans="2:8" x14ac:dyDescent="0.3">
      <c r="B16" s="1">
        <v>2031</v>
      </c>
      <c r="C16" s="4">
        <v>5.6019316086406787</v>
      </c>
      <c r="D16" s="1">
        <v>4.4000000000000004</v>
      </c>
    </row>
    <row r="17" spans="2:4" x14ac:dyDescent="0.3">
      <c r="B17" s="1">
        <v>2032</v>
      </c>
      <c r="C17" s="4">
        <v>5.6611492954621143</v>
      </c>
      <c r="D17" s="1">
        <v>4.3</v>
      </c>
    </row>
    <row r="18" spans="2:4" x14ac:dyDescent="0.3">
      <c r="B18" s="1">
        <v>2033</v>
      </c>
      <c r="C18" s="4">
        <v>5.7283324206016433</v>
      </c>
      <c r="D18" s="1">
        <v>4.3999999999999995</v>
      </c>
    </row>
    <row r="19" spans="2:4" x14ac:dyDescent="0.3">
      <c r="B19" s="1">
        <v>2034</v>
      </c>
      <c r="C19" s="4">
        <v>5.7981039858816388</v>
      </c>
      <c r="D19" s="1">
        <v>4.3999999999999995</v>
      </c>
    </row>
    <row r="20" spans="2:4" x14ac:dyDescent="0.3">
      <c r="B20" s="1">
        <v>2035</v>
      </c>
      <c r="C20" s="4">
        <v>5.8630263856873004</v>
      </c>
      <c r="D20" s="1">
        <v>4.3999999999999995</v>
      </c>
    </row>
    <row r="21" spans="2:4" x14ac:dyDescent="0.3">
      <c r="B21" s="1">
        <v>2036</v>
      </c>
      <c r="C21" s="4">
        <v>5.9355188370348602</v>
      </c>
      <c r="D21" s="1">
        <v>4.3999999999999995</v>
      </c>
    </row>
    <row r="22" spans="2:4" x14ac:dyDescent="0.3">
      <c r="B22" s="1">
        <v>2037</v>
      </c>
      <c r="C22" s="4">
        <v>6.0002305497483421</v>
      </c>
      <c r="D22" s="1">
        <v>4.3999999999999995</v>
      </c>
    </row>
    <row r="23" spans="2:4" x14ac:dyDescent="0.3">
      <c r="B23" s="1">
        <v>2038</v>
      </c>
      <c r="C23" s="4">
        <v>6.0531698178893398</v>
      </c>
      <c r="D23" s="1">
        <v>4.3999999999999995</v>
      </c>
    </row>
    <row r="24" spans="2:4" x14ac:dyDescent="0.3">
      <c r="B24" s="1">
        <v>2039</v>
      </c>
      <c r="C24" s="4">
        <v>6.0954176608439798</v>
      </c>
      <c r="D24" s="1">
        <v>4.3999999999999995</v>
      </c>
    </row>
    <row r="25" spans="2:4" x14ac:dyDescent="0.3">
      <c r="B25" s="1">
        <v>2040</v>
      </c>
      <c r="C25" s="4">
        <v>6.1243357366388702</v>
      </c>
      <c r="D25" s="1">
        <v>4.4000000000000004</v>
      </c>
    </row>
    <row r="26" spans="2:4" x14ac:dyDescent="0.3">
      <c r="B26" s="1">
        <v>2041</v>
      </c>
      <c r="C26" s="4">
        <v>6.1440668447065168</v>
      </c>
      <c r="D26" s="1">
        <v>4.4000000000000004</v>
      </c>
    </row>
    <row r="27" spans="2:4" x14ac:dyDescent="0.3">
      <c r="B27" s="1">
        <v>2042</v>
      </c>
      <c r="C27" s="4">
        <v>6.1639635516312294</v>
      </c>
      <c r="D27" s="1">
        <v>4.4000000000000004</v>
      </c>
    </row>
    <row r="28" spans="2:4" x14ac:dyDescent="0.3">
      <c r="B28" s="1">
        <v>2043</v>
      </c>
      <c r="C28" s="4">
        <v>6.1794107350413148</v>
      </c>
      <c r="D28" s="1">
        <v>4.4000000000000004</v>
      </c>
    </row>
    <row r="29" spans="2:4" x14ac:dyDescent="0.3">
      <c r="B29" s="1">
        <v>2044</v>
      </c>
      <c r="C29" s="4">
        <v>6.2034361923687813</v>
      </c>
      <c r="D29" s="1">
        <v>4.4000000000000004</v>
      </c>
    </row>
    <row r="30" spans="2:4" x14ac:dyDescent="0.3">
      <c r="B30" s="1">
        <v>2045</v>
      </c>
      <c r="C30" s="4">
        <v>6.2325607843472959</v>
      </c>
      <c r="D30" s="1">
        <v>4.3</v>
      </c>
    </row>
    <row r="31" spans="2:4" x14ac:dyDescent="0.3">
      <c r="B31" s="1">
        <v>2046</v>
      </c>
      <c r="C31" s="4">
        <v>6.2672126445366061</v>
      </c>
      <c r="D31" s="1">
        <v>4.3</v>
      </c>
    </row>
    <row r="32" spans="2:4" x14ac:dyDescent="0.3">
      <c r="B32" s="1">
        <v>2047</v>
      </c>
      <c r="C32" s="4">
        <v>6.308695421536747</v>
      </c>
      <c r="D32" s="1">
        <v>4.3</v>
      </c>
    </row>
    <row r="33" spans="2:4" x14ac:dyDescent="0.3">
      <c r="B33" s="1">
        <v>2048</v>
      </c>
      <c r="C33" s="4">
        <v>6.3593964423488316</v>
      </c>
      <c r="D33" s="1">
        <v>4.4000000000000004</v>
      </c>
    </row>
    <row r="34" spans="2:4" x14ac:dyDescent="0.3">
      <c r="B34" s="1">
        <v>2049</v>
      </c>
      <c r="C34" s="4">
        <v>6.4150983469660474</v>
      </c>
      <c r="D34" s="1">
        <v>4.4000000000000004</v>
      </c>
    </row>
    <row r="35" spans="2:4" x14ac:dyDescent="0.3">
      <c r="B35" s="1">
        <v>2050</v>
      </c>
      <c r="C35" s="4">
        <v>6.4771377775495793</v>
      </c>
      <c r="D35" s="1">
        <v>4.4000000000000004</v>
      </c>
    </row>
    <row r="36" spans="2:4" x14ac:dyDescent="0.3">
      <c r="B36" s="1">
        <v>2051</v>
      </c>
      <c r="C36" s="4">
        <v>6.5447708299942704</v>
      </c>
      <c r="D36" s="1">
        <v>4.4000000000000004</v>
      </c>
    </row>
    <row r="37" spans="2:4" x14ac:dyDescent="0.3">
      <c r="B37" s="1">
        <v>2052</v>
      </c>
      <c r="C37" s="4">
        <v>6.6269960566660551</v>
      </c>
      <c r="D37" s="1">
        <v>4.3</v>
      </c>
    </row>
    <row r="38" spans="2:4" x14ac:dyDescent="0.3">
      <c r="B38" s="1">
        <v>2053</v>
      </c>
      <c r="C38" s="4">
        <v>6.7220155291445467</v>
      </c>
      <c r="D38" s="1">
        <v>4.3</v>
      </c>
    </row>
    <row r="39" spans="2:4" x14ac:dyDescent="0.3">
      <c r="B39" s="1">
        <v>2054</v>
      </c>
      <c r="C39" s="4">
        <v>6.8223893273191321</v>
      </c>
      <c r="D39" s="1">
        <v>4.3</v>
      </c>
    </row>
    <row r="40" spans="2:4" x14ac:dyDescent="0.3">
      <c r="B40" s="1">
        <v>2055</v>
      </c>
      <c r="C40" s="4">
        <v>6.9357034175753132</v>
      </c>
      <c r="D40" s="1">
        <v>4.3</v>
      </c>
    </row>
    <row r="41" spans="2:4" x14ac:dyDescent="0.3">
      <c r="B41" s="1">
        <v>2056</v>
      </c>
      <c r="C41" s="4">
        <v>7.0532967663362811</v>
      </c>
      <c r="D41" s="1">
        <v>4.3</v>
      </c>
    </row>
    <row r="42" spans="2:4" x14ac:dyDescent="0.3">
      <c r="B42" s="1">
        <v>2057</v>
      </c>
      <c r="C42" s="4">
        <v>7.1676104179876603</v>
      </c>
      <c r="D42" s="1">
        <v>4.3</v>
      </c>
    </row>
    <row r="43" spans="2:4" x14ac:dyDescent="0.3">
      <c r="B43" s="1">
        <v>2058</v>
      </c>
      <c r="C43" s="4">
        <v>7.2744783531285666</v>
      </c>
      <c r="D43" s="1">
        <v>4.3</v>
      </c>
    </row>
    <row r="44" spans="2:4" x14ac:dyDescent="0.3">
      <c r="B44" s="1">
        <v>2059</v>
      </c>
      <c r="C44" s="4">
        <v>7.3697631849992824</v>
      </c>
      <c r="D44" s="1">
        <v>4.4000000000000004</v>
      </c>
    </row>
    <row r="45" spans="2:4" x14ac:dyDescent="0.3">
      <c r="B45" s="1">
        <v>2060</v>
      </c>
      <c r="C45" s="4">
        <v>7.4607308273297868</v>
      </c>
      <c r="D45" s="1">
        <v>4.4000000000000004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A9A5-ED44-4592-A2DC-719C289214B6}">
  <dimension ref="B2:I11"/>
  <sheetViews>
    <sheetView workbookViewId="0"/>
  </sheetViews>
  <sheetFormatPr defaultColWidth="8.7109375" defaultRowHeight="16.5" x14ac:dyDescent="0.3"/>
  <cols>
    <col min="1" max="2" width="8.7109375" style="1"/>
    <col min="3" max="5" width="22.28515625" style="1" bestFit="1" customWidth="1"/>
    <col min="6" max="16384" width="8.7109375" style="1"/>
  </cols>
  <sheetData>
    <row r="2" spans="2:9" x14ac:dyDescent="0.3">
      <c r="B2" s="18" t="s">
        <v>358</v>
      </c>
      <c r="C2" s="32"/>
      <c r="D2" s="32"/>
      <c r="E2" s="32"/>
      <c r="F2" s="32"/>
    </row>
    <row r="3" spans="2:9" x14ac:dyDescent="0.3">
      <c r="B3" s="32" t="s">
        <v>291</v>
      </c>
      <c r="C3" s="32"/>
      <c r="D3" s="32"/>
      <c r="E3" s="32"/>
      <c r="F3" s="32"/>
    </row>
    <row r="5" spans="2:9" x14ac:dyDescent="0.3">
      <c r="C5" s="52" t="s">
        <v>63</v>
      </c>
      <c r="D5" s="52" t="s">
        <v>64</v>
      </c>
      <c r="E5" s="52" t="s">
        <v>65</v>
      </c>
    </row>
    <row r="6" spans="2:9" x14ac:dyDescent="0.3">
      <c r="C6" s="52" t="s">
        <v>167</v>
      </c>
      <c r="D6" s="52" t="s">
        <v>167</v>
      </c>
      <c r="E6" s="52" t="s">
        <v>167</v>
      </c>
    </row>
    <row r="7" spans="2:9" x14ac:dyDescent="0.3">
      <c r="B7" s="1">
        <v>1950</v>
      </c>
      <c r="C7" s="4">
        <v>1.4492085358203599</v>
      </c>
      <c r="D7" s="4">
        <v>1.14174722019396</v>
      </c>
      <c r="E7" s="4">
        <v>8.0971125398288102E-2</v>
      </c>
      <c r="G7" s="4"/>
      <c r="H7" s="4"/>
      <c r="I7" s="4"/>
    </row>
    <row r="8" spans="2:9" x14ac:dyDescent="0.3">
      <c r="B8" s="1">
        <v>1970</v>
      </c>
      <c r="C8" s="4">
        <v>-4.6570095405458103</v>
      </c>
      <c r="D8" s="4">
        <v>-4.3240435022899701</v>
      </c>
      <c r="E8" s="4">
        <v>-2.7357143338193302</v>
      </c>
      <c r="G8" s="4"/>
      <c r="H8" s="4"/>
      <c r="I8" s="4"/>
    </row>
    <row r="9" spans="2:9" x14ac:dyDescent="0.3">
      <c r="B9" s="1">
        <v>2010</v>
      </c>
      <c r="C9" s="4">
        <v>-2.9411509537588199</v>
      </c>
      <c r="D9" s="4">
        <v>-2.1487673177257198</v>
      </c>
      <c r="E9" s="4">
        <v>1.18198971181023</v>
      </c>
      <c r="G9" s="4"/>
      <c r="H9" s="4"/>
      <c r="I9" s="4"/>
    </row>
    <row r="10" spans="2:9" x14ac:dyDescent="0.3">
      <c r="B10" s="1">
        <v>2040</v>
      </c>
      <c r="C10" s="4">
        <v>-0.13390115902303101</v>
      </c>
      <c r="D10" s="4">
        <v>0.91520201100867604</v>
      </c>
      <c r="E10" s="4">
        <v>5.2243937397089102</v>
      </c>
      <c r="G10" s="4"/>
      <c r="H10" s="4"/>
      <c r="I10" s="4"/>
    </row>
    <row r="11" spans="2:9" x14ac:dyDescent="0.3">
      <c r="B11" s="1">
        <v>2065</v>
      </c>
      <c r="C11" s="4">
        <v>0.61486550840847998</v>
      </c>
      <c r="D11" s="4">
        <v>1.5560047910016599</v>
      </c>
      <c r="E11" s="4">
        <v>6.1607079236966102</v>
      </c>
      <c r="G11" s="4"/>
      <c r="H11" s="4"/>
      <c r="I11"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5208-BB8D-48C7-BB60-09BD61B95A1D}">
  <sheetPr codeName="Sheet76"/>
  <dimension ref="B2:I47"/>
  <sheetViews>
    <sheetView workbookViewId="0"/>
  </sheetViews>
  <sheetFormatPr defaultColWidth="8.7109375" defaultRowHeight="16.5" x14ac:dyDescent="0.3"/>
  <cols>
    <col min="1" max="2" width="8.7109375" style="1"/>
    <col min="3" max="3" width="13.85546875" style="1" customWidth="1"/>
    <col min="4" max="4" width="15" style="1" customWidth="1"/>
    <col min="5" max="5" width="17.5703125" style="1" customWidth="1"/>
    <col min="6" max="16384" width="8.7109375" style="1"/>
  </cols>
  <sheetData>
    <row r="2" spans="2:9" x14ac:dyDescent="0.3">
      <c r="B2" s="18" t="s">
        <v>368</v>
      </c>
      <c r="C2" s="32"/>
      <c r="D2" s="32"/>
      <c r="E2" s="32"/>
      <c r="F2" s="32"/>
      <c r="G2" s="32"/>
      <c r="H2" s="32"/>
    </row>
    <row r="3" spans="2:9" x14ac:dyDescent="0.3">
      <c r="B3" s="32" t="s">
        <v>293</v>
      </c>
      <c r="C3" s="32"/>
      <c r="D3" s="32"/>
      <c r="E3" s="32"/>
      <c r="F3" s="32"/>
      <c r="G3" s="32"/>
      <c r="H3" s="32"/>
    </row>
    <row r="4" spans="2:9" x14ac:dyDescent="0.3">
      <c r="D4" s="52"/>
      <c r="E4" s="52"/>
    </row>
    <row r="5" spans="2:9" s="35" customFormat="1" ht="33" x14ac:dyDescent="0.3">
      <c r="C5" s="35" t="s">
        <v>5</v>
      </c>
      <c r="D5" s="53" t="s">
        <v>109</v>
      </c>
      <c r="E5" s="53" t="s">
        <v>110</v>
      </c>
    </row>
    <row r="6" spans="2:9" s="35" customFormat="1" x14ac:dyDescent="0.3">
      <c r="C6" s="35" t="s">
        <v>3</v>
      </c>
      <c r="D6" s="35" t="s">
        <v>3</v>
      </c>
      <c r="E6" s="35" t="s">
        <v>3</v>
      </c>
    </row>
    <row r="7" spans="2:9" x14ac:dyDescent="0.3">
      <c r="B7" s="1">
        <v>2025</v>
      </c>
      <c r="C7" s="4">
        <v>6.93035268827518</v>
      </c>
      <c r="D7" s="4">
        <v>6.9368043423494203</v>
      </c>
      <c r="E7" s="4">
        <v>6.9237764948939899</v>
      </c>
      <c r="G7" s="4"/>
      <c r="H7" s="4"/>
      <c r="I7" s="4"/>
    </row>
    <row r="8" spans="2:9" x14ac:dyDescent="0.3">
      <c r="B8" s="1">
        <v>2026</v>
      </c>
      <c r="C8" s="4">
        <v>7.0572301364629899</v>
      </c>
      <c r="D8" s="4">
        <v>7.0899510158781602</v>
      </c>
      <c r="E8" s="4">
        <v>7.0136120298750697</v>
      </c>
      <c r="G8" s="4"/>
      <c r="H8" s="4"/>
      <c r="I8" s="4"/>
    </row>
    <row r="9" spans="2:9" x14ac:dyDescent="0.3">
      <c r="B9" s="1">
        <v>2027</v>
      </c>
      <c r="C9" s="4">
        <v>7.1813314038995699</v>
      </c>
      <c r="D9" s="4">
        <v>7.2404162631965603</v>
      </c>
      <c r="E9" s="4">
        <v>7.1006105742754597</v>
      </c>
      <c r="G9" s="4"/>
      <c r="H9" s="4"/>
      <c r="I9" s="4"/>
    </row>
    <row r="10" spans="2:9" x14ac:dyDescent="0.3">
      <c r="B10" s="1">
        <v>2028</v>
      </c>
      <c r="C10" s="4">
        <v>7.2890444048016203</v>
      </c>
      <c r="D10" s="4">
        <v>7.37584071316678</v>
      </c>
      <c r="E10" s="4">
        <v>7.1706066823743901</v>
      </c>
      <c r="G10" s="4"/>
      <c r="H10" s="4"/>
      <c r="I10" s="4"/>
    </row>
    <row r="11" spans="2:9" x14ac:dyDescent="0.3">
      <c r="B11" s="1">
        <v>2029</v>
      </c>
      <c r="C11" s="4">
        <v>7.3926353779531402</v>
      </c>
      <c r="D11" s="4">
        <v>7.5072034031023103</v>
      </c>
      <c r="E11" s="4">
        <v>7.2349715270568904</v>
      </c>
      <c r="G11" s="4"/>
      <c r="H11" s="4"/>
      <c r="I11" s="4"/>
    </row>
    <row r="12" spans="2:9" x14ac:dyDescent="0.3">
      <c r="B12" s="1">
        <v>2030</v>
      </c>
      <c r="C12" s="4">
        <v>7.49454378468677</v>
      </c>
      <c r="D12" s="4">
        <v>7.6368605801281699</v>
      </c>
      <c r="E12" s="4">
        <v>7.2968006000409904</v>
      </c>
      <c r="G12" s="4"/>
      <c r="H12" s="4"/>
      <c r="I12" s="4"/>
    </row>
    <row r="13" spans="2:9" x14ac:dyDescent="0.3">
      <c r="B13" s="1">
        <v>2031</v>
      </c>
      <c r="C13" s="4">
        <v>7.5922724850593903</v>
      </c>
      <c r="D13" s="4">
        <v>7.7626007132969104</v>
      </c>
      <c r="E13" s="4">
        <v>7.3540338322083301</v>
      </c>
      <c r="G13" s="4"/>
      <c r="H13" s="4"/>
      <c r="I13" s="4"/>
    </row>
    <row r="14" spans="2:9" x14ac:dyDescent="0.3">
      <c r="B14" s="1">
        <v>2032</v>
      </c>
      <c r="C14" s="4">
        <v>7.6994295611724199</v>
      </c>
      <c r="D14" s="4">
        <v>7.8977666109551103</v>
      </c>
      <c r="E14" s="4">
        <v>7.4196632037002299</v>
      </c>
      <c r="G14" s="4"/>
      <c r="H14" s="4"/>
      <c r="I14" s="4"/>
    </row>
    <row r="15" spans="2:9" x14ac:dyDescent="0.3">
      <c r="B15" s="1">
        <v>2033</v>
      </c>
      <c r="C15" s="4">
        <v>7.7992209935864896</v>
      </c>
      <c r="D15" s="4">
        <v>8.0261313858596708</v>
      </c>
      <c r="E15" s="4">
        <v>7.4773424655221499</v>
      </c>
      <c r="G15" s="4"/>
      <c r="H15" s="4"/>
      <c r="I15" s="4"/>
    </row>
    <row r="16" spans="2:9" x14ac:dyDescent="0.3">
      <c r="B16" s="1">
        <v>2034</v>
      </c>
      <c r="C16" s="4">
        <v>7.89798683965323</v>
      </c>
      <c r="D16" s="4">
        <v>8.1534873387357791</v>
      </c>
      <c r="E16" s="4">
        <v>7.5332373812900704</v>
      </c>
      <c r="G16" s="4"/>
      <c r="H16" s="4"/>
      <c r="I16" s="4"/>
    </row>
    <row r="17" spans="2:9" x14ac:dyDescent="0.3">
      <c r="B17" s="1">
        <v>2035</v>
      </c>
      <c r="C17" s="4">
        <v>7.9965879523866299</v>
      </c>
      <c r="D17" s="4">
        <v>8.2808197972801096</v>
      </c>
      <c r="E17" s="4">
        <v>7.5883218385952</v>
      </c>
      <c r="G17" s="4"/>
      <c r="H17" s="4"/>
      <c r="I17" s="4"/>
    </row>
    <row r="18" spans="2:9" x14ac:dyDescent="0.3">
      <c r="B18" s="1">
        <v>2036</v>
      </c>
      <c r="C18" s="4">
        <v>8.0965199731822395</v>
      </c>
      <c r="D18" s="4">
        <v>8.4096435833907801</v>
      </c>
      <c r="E18" s="4">
        <v>7.6439390282568498</v>
      </c>
      <c r="G18" s="4"/>
      <c r="H18" s="4"/>
      <c r="I18" s="4"/>
    </row>
    <row r="19" spans="2:9" x14ac:dyDescent="0.3">
      <c r="B19" s="1">
        <v>2037</v>
      </c>
      <c r="C19" s="4">
        <v>8.1992935339856192</v>
      </c>
      <c r="D19" s="4">
        <v>8.5414656807752003</v>
      </c>
      <c r="E19" s="4">
        <v>7.7015109681076099</v>
      </c>
      <c r="G19" s="4"/>
      <c r="H19" s="4"/>
      <c r="I19" s="4"/>
    </row>
    <row r="20" spans="2:9" x14ac:dyDescent="0.3">
      <c r="B20" s="1">
        <v>2038</v>
      </c>
      <c r="C20" s="4">
        <v>8.29326495780575</v>
      </c>
      <c r="D20" s="4">
        <v>8.6649496133613706</v>
      </c>
      <c r="E20" s="4">
        <v>7.7502942448730101</v>
      </c>
      <c r="G20" s="4"/>
      <c r="H20" s="4"/>
      <c r="I20" s="4"/>
    </row>
    <row r="21" spans="2:9" x14ac:dyDescent="0.3">
      <c r="B21" s="1">
        <v>2039</v>
      </c>
      <c r="C21" s="4">
        <v>8.3832007882542001</v>
      </c>
      <c r="D21" s="4">
        <v>8.7847112111709205</v>
      </c>
      <c r="E21" s="4">
        <v>7.7946904315566599</v>
      </c>
      <c r="G21" s="4"/>
      <c r="H21" s="4"/>
      <c r="I21" s="4"/>
    </row>
    <row r="22" spans="2:9" x14ac:dyDescent="0.3">
      <c r="B22" s="1">
        <v>2040</v>
      </c>
      <c r="C22" s="4">
        <v>8.4671899951226095</v>
      </c>
      <c r="D22" s="4">
        <v>8.8988396288408307</v>
      </c>
      <c r="E22" s="4">
        <v>7.8331168680032102</v>
      </c>
      <c r="G22" s="4"/>
      <c r="H22" s="4"/>
      <c r="I22" s="4"/>
    </row>
    <row r="23" spans="2:9" x14ac:dyDescent="0.3">
      <c r="B23" s="1">
        <v>2041</v>
      </c>
      <c r="C23" s="4">
        <v>8.5507327031224207</v>
      </c>
      <c r="D23" s="4">
        <v>9.0127780177754406</v>
      </c>
      <c r="E23" s="4">
        <v>7.8704295705850402</v>
      </c>
      <c r="G23" s="4"/>
      <c r="H23" s="4"/>
      <c r="I23" s="4"/>
    </row>
    <row r="24" spans="2:9" x14ac:dyDescent="0.3">
      <c r="B24" s="1">
        <v>2042</v>
      </c>
      <c r="C24" s="4">
        <v>8.6327976708907705</v>
      </c>
      <c r="D24" s="4">
        <v>9.1252961953430205</v>
      </c>
      <c r="E24" s="4">
        <v>7.9057050234782302</v>
      </c>
      <c r="G24" s="4"/>
      <c r="H24" s="4"/>
      <c r="I24" s="4"/>
    </row>
    <row r="25" spans="2:9" x14ac:dyDescent="0.3">
      <c r="B25" s="1">
        <v>2043</v>
      </c>
      <c r="C25" s="4">
        <v>8.7129712595600601</v>
      </c>
      <c r="D25" s="4">
        <v>9.2361987505031404</v>
      </c>
      <c r="E25" s="4">
        <v>7.9386517645689301</v>
      </c>
      <c r="G25" s="4"/>
      <c r="H25" s="4"/>
      <c r="I25" s="4"/>
    </row>
    <row r="26" spans="2:9" x14ac:dyDescent="0.3">
      <c r="B26" s="1">
        <v>2044</v>
      </c>
      <c r="C26" s="4">
        <v>8.8037720579040606</v>
      </c>
      <c r="D26" s="4">
        <v>9.3588397981040199</v>
      </c>
      <c r="E26" s="4">
        <v>7.9805458836226597</v>
      </c>
      <c r="G26" s="4"/>
      <c r="H26" s="4"/>
      <c r="I26" s="4"/>
    </row>
    <row r="27" spans="2:9" x14ac:dyDescent="0.3">
      <c r="B27" s="1">
        <v>2045</v>
      </c>
      <c r="C27" s="4">
        <v>8.8960859002455805</v>
      </c>
      <c r="D27" s="4">
        <v>9.4839167353798999</v>
      </c>
      <c r="E27" s="4">
        <v>8.0230617093306709</v>
      </c>
      <c r="G27" s="4"/>
      <c r="H27" s="4"/>
      <c r="I27" s="4"/>
    </row>
    <row r="28" spans="2:9" x14ac:dyDescent="0.3">
      <c r="B28" s="1">
        <v>2046</v>
      </c>
      <c r="C28" s="4">
        <v>8.9874541059843196</v>
      </c>
      <c r="D28" s="4">
        <v>9.6087235684294399</v>
      </c>
      <c r="E28" s="4">
        <v>8.0644478825426305</v>
      </c>
      <c r="G28" s="4"/>
      <c r="H28" s="4"/>
      <c r="I28" s="4"/>
    </row>
    <row r="29" spans="2:9" x14ac:dyDescent="0.3">
      <c r="B29" s="1">
        <v>2047</v>
      </c>
      <c r="C29" s="4">
        <v>9.0824819578884792</v>
      </c>
      <c r="D29" s="4">
        <v>9.7382748674985304</v>
      </c>
      <c r="E29" s="4">
        <v>8.1086730577960893</v>
      </c>
      <c r="G29" s="4"/>
      <c r="H29" s="4"/>
      <c r="I29" s="4"/>
    </row>
    <row r="30" spans="2:9" x14ac:dyDescent="0.3">
      <c r="B30" s="1">
        <v>2048</v>
      </c>
      <c r="C30" s="4">
        <v>9.1806002960462703</v>
      </c>
      <c r="D30" s="4">
        <v>9.87203635038931</v>
      </c>
      <c r="E30" s="4">
        <v>8.1549179515276204</v>
      </c>
      <c r="G30" s="4"/>
      <c r="H30" s="4"/>
      <c r="I30" s="4"/>
    </row>
    <row r="31" spans="2:9" x14ac:dyDescent="0.3">
      <c r="B31" s="1">
        <v>2049</v>
      </c>
      <c r="C31" s="4">
        <v>9.2802364419226802</v>
      </c>
      <c r="D31" s="4">
        <v>10.008388555212701</v>
      </c>
      <c r="E31" s="4">
        <v>8.20181045573249</v>
      </c>
      <c r="G31" s="4"/>
      <c r="H31" s="4"/>
      <c r="I31" s="4"/>
    </row>
    <row r="32" spans="2:9" x14ac:dyDescent="0.3">
      <c r="B32" s="1">
        <v>2050</v>
      </c>
      <c r="C32" s="4">
        <v>9.3816057922831</v>
      </c>
      <c r="D32" s="4">
        <v>10.147767599996101</v>
      </c>
      <c r="E32" s="4">
        <v>8.2491186675786707</v>
      </c>
      <c r="G32" s="4"/>
      <c r="H32" s="4"/>
      <c r="I32" s="4"/>
    </row>
    <row r="33" spans="2:9" x14ac:dyDescent="0.3">
      <c r="B33" s="1">
        <v>2051</v>
      </c>
      <c r="C33" s="4">
        <v>9.4863832502306504</v>
      </c>
      <c r="D33" s="4">
        <v>10.291529810864301</v>
      </c>
      <c r="E33" s="4">
        <v>8.2984605526784794</v>
      </c>
      <c r="G33" s="4"/>
      <c r="H33" s="4"/>
      <c r="I33" s="4"/>
    </row>
    <row r="34" spans="2:9" x14ac:dyDescent="0.3">
      <c r="B34" s="1">
        <v>2052</v>
      </c>
      <c r="C34" s="4">
        <v>9.5977588225832005</v>
      </c>
      <c r="D34" s="4">
        <v>10.4428283366139</v>
      </c>
      <c r="E34" s="4">
        <v>8.3524800250936106</v>
      </c>
      <c r="G34" s="4"/>
      <c r="H34" s="4"/>
      <c r="I34" s="4"/>
    </row>
    <row r="35" spans="2:9" x14ac:dyDescent="0.3">
      <c r="B35" s="1">
        <v>2053</v>
      </c>
      <c r="C35" s="4">
        <v>9.7148334984642695</v>
      </c>
      <c r="D35" s="4">
        <v>10.601601503605</v>
      </c>
      <c r="E35" s="4">
        <v>8.4105854967728</v>
      </c>
      <c r="G35" s="4"/>
      <c r="H35" s="4"/>
      <c r="I35" s="4"/>
    </row>
    <row r="36" spans="2:9" x14ac:dyDescent="0.3">
      <c r="B36" s="1">
        <v>2054</v>
      </c>
      <c r="C36" s="4">
        <v>9.8350004715770396</v>
      </c>
      <c r="D36" s="4">
        <v>10.764606414565799</v>
      </c>
      <c r="E36" s="4">
        <v>8.4705691236774108</v>
      </c>
      <c r="G36" s="4"/>
      <c r="H36" s="4"/>
      <c r="I36" s="4"/>
    </row>
    <row r="37" spans="2:9" x14ac:dyDescent="0.3">
      <c r="B37" s="1">
        <v>2055</v>
      </c>
      <c r="C37" s="4">
        <v>9.9611679596601999</v>
      </c>
      <c r="D37" s="4">
        <v>10.935470009947</v>
      </c>
      <c r="E37" s="4">
        <v>8.5348285170738905</v>
      </c>
      <c r="G37" s="4"/>
      <c r="H37" s="4"/>
      <c r="I37" s="4"/>
    </row>
    <row r="38" spans="2:9" x14ac:dyDescent="0.3">
      <c r="B38" s="1">
        <v>2056</v>
      </c>
      <c r="C38" s="4">
        <v>10.0912383758556</v>
      </c>
      <c r="D38" s="4">
        <v>11.111388445899999</v>
      </c>
      <c r="E38" s="4">
        <v>8.6019262649253907</v>
      </c>
      <c r="G38" s="4"/>
      <c r="H38" s="4"/>
      <c r="I38" s="4"/>
    </row>
    <row r="39" spans="2:9" x14ac:dyDescent="0.3">
      <c r="B39" s="1">
        <v>2057</v>
      </c>
      <c r="C39" s="4">
        <v>10.221379582268501</v>
      </c>
      <c r="D39" s="4">
        <v>11.288030491415601</v>
      </c>
      <c r="E39" s="4">
        <v>8.6681070828383806</v>
      </c>
      <c r="G39" s="4"/>
      <c r="H39" s="4"/>
      <c r="I39" s="4"/>
    </row>
    <row r="40" spans="2:9" x14ac:dyDescent="0.3">
      <c r="B40" s="1">
        <v>2058</v>
      </c>
      <c r="C40" s="4">
        <v>10.3491030267204</v>
      </c>
      <c r="D40" s="4">
        <v>11.4628166906322</v>
      </c>
      <c r="E40" s="4">
        <v>8.7312943661461304</v>
      </c>
      <c r="G40" s="4"/>
      <c r="H40" s="4"/>
      <c r="I40" s="4"/>
    </row>
    <row r="41" spans="2:9" x14ac:dyDescent="0.3">
      <c r="B41" s="1">
        <v>2059</v>
      </c>
      <c r="C41" s="4">
        <v>10.4722190265951</v>
      </c>
      <c r="D41" s="4">
        <v>11.6327804877427</v>
      </c>
      <c r="E41" s="4">
        <v>8.7897790357845107</v>
      </c>
      <c r="G41" s="4"/>
      <c r="H41" s="4"/>
      <c r="I41" s="4"/>
    </row>
    <row r="42" spans="2:9" x14ac:dyDescent="0.3">
      <c r="B42" s="1">
        <v>2060</v>
      </c>
      <c r="C42" s="4">
        <v>10.5947083656632</v>
      </c>
      <c r="D42" s="4">
        <v>11.802535554054099</v>
      </c>
      <c r="E42" s="4">
        <v>8.8469527010310092</v>
      </c>
      <c r="G42" s="4"/>
      <c r="H42" s="4"/>
      <c r="I42" s="4"/>
    </row>
    <row r="43" spans="2:9" x14ac:dyDescent="0.3">
      <c r="B43" s="1">
        <v>2061</v>
      </c>
      <c r="C43" s="4">
        <v>10.712748407020801</v>
      </c>
      <c r="D43" s="4">
        <v>11.9680813161517</v>
      </c>
      <c r="E43" s="4">
        <v>8.89973742181418</v>
      </c>
      <c r="G43" s="4"/>
      <c r="H43" s="4"/>
      <c r="I43" s="4"/>
    </row>
    <row r="44" spans="2:9" x14ac:dyDescent="0.3">
      <c r="B44" s="1">
        <v>2062</v>
      </c>
      <c r="C44" s="4">
        <v>10.829335077866</v>
      </c>
      <c r="D44" s="4">
        <v>12.1323307829482</v>
      </c>
      <c r="E44" s="4">
        <v>8.9506596882982805</v>
      </c>
      <c r="G44" s="4"/>
      <c r="H44" s="4"/>
      <c r="I44" s="4"/>
    </row>
    <row r="45" spans="2:9" x14ac:dyDescent="0.3">
      <c r="B45" s="1">
        <v>2063</v>
      </c>
      <c r="C45" s="4">
        <v>10.9465882037338</v>
      </c>
      <c r="D45" s="4">
        <v>12.2976378069097</v>
      </c>
      <c r="E45" s="4">
        <v>9.00140035792821</v>
      </c>
      <c r="G45" s="4"/>
      <c r="H45" s="4"/>
      <c r="I45" s="4"/>
    </row>
    <row r="46" spans="2:9" x14ac:dyDescent="0.3">
      <c r="B46" s="1">
        <v>2064</v>
      </c>
      <c r="C46" s="4">
        <v>11.062025794014501</v>
      </c>
      <c r="D46" s="4">
        <v>12.4607535035379</v>
      </c>
      <c r="E46" s="4">
        <v>9.0500094480423297</v>
      </c>
      <c r="G46" s="4"/>
      <c r="H46" s="4"/>
      <c r="I46" s="4"/>
    </row>
    <row r="47" spans="2:9" x14ac:dyDescent="0.3">
      <c r="B47" s="1">
        <v>2065</v>
      </c>
      <c r="C47" s="4">
        <v>11.186237423478801</v>
      </c>
      <c r="D47" s="4">
        <v>12.633341996612399</v>
      </c>
      <c r="E47" s="4">
        <v>9.1048729339527608</v>
      </c>
      <c r="G47" s="4"/>
      <c r="H47" s="4"/>
      <c r="I47"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5AC7-9E3C-4896-90F5-62A34E7E5FE6}">
  <sheetPr codeName="Sheet80"/>
  <dimension ref="B2:F72"/>
  <sheetViews>
    <sheetView showGridLines="0" workbookViewId="0">
      <selection activeCell="D5" sqref="D5"/>
    </sheetView>
  </sheetViews>
  <sheetFormatPr defaultColWidth="8.7109375" defaultRowHeight="16.5" x14ac:dyDescent="0.3"/>
  <cols>
    <col min="1" max="2" width="8.7109375" style="1"/>
    <col min="3" max="3" width="25.85546875" style="1" customWidth="1"/>
    <col min="4" max="4" width="17.85546875" style="1" customWidth="1"/>
    <col min="5" max="5" width="19.140625" style="1" customWidth="1"/>
    <col min="6" max="6" width="8.7109375" style="14"/>
    <col min="7" max="16384" width="8.7109375" style="1"/>
  </cols>
  <sheetData>
    <row r="2" spans="2:6" x14ac:dyDescent="0.3">
      <c r="B2" s="9" t="s">
        <v>306</v>
      </c>
      <c r="C2" s="8"/>
      <c r="D2" s="8"/>
      <c r="E2" s="8"/>
      <c r="F2" s="15"/>
    </row>
    <row r="3" spans="2:6" x14ac:dyDescent="0.3">
      <c r="B3" s="8" t="s">
        <v>307</v>
      </c>
      <c r="C3" s="8"/>
      <c r="D3" s="8"/>
      <c r="E3" s="8"/>
      <c r="F3" s="15"/>
    </row>
    <row r="5" spans="2:6" ht="66" x14ac:dyDescent="0.3">
      <c r="C5" s="112" t="s">
        <v>151</v>
      </c>
      <c r="D5" s="35" t="s">
        <v>150</v>
      </c>
      <c r="E5" s="35" t="s">
        <v>152</v>
      </c>
      <c r="F5" s="14" t="s">
        <v>15</v>
      </c>
    </row>
    <row r="6" spans="2:6" x14ac:dyDescent="0.3">
      <c r="C6" s="112" t="s">
        <v>168</v>
      </c>
      <c r="D6" s="112" t="s">
        <v>168</v>
      </c>
      <c r="E6" s="112" t="s">
        <v>168</v>
      </c>
    </row>
    <row r="7" spans="2:6" x14ac:dyDescent="0.3">
      <c r="B7" s="1">
        <v>2000</v>
      </c>
      <c r="C7" s="4">
        <v>33.845073444784738</v>
      </c>
      <c r="D7" s="4">
        <v>28.99557185494411</v>
      </c>
      <c r="E7" s="4">
        <v>28.99557185494411</v>
      </c>
    </row>
    <row r="8" spans="2:6" x14ac:dyDescent="0.3">
      <c r="B8" s="1">
        <v>2001</v>
      </c>
      <c r="C8" s="4">
        <v>34.14334109275346</v>
      </c>
      <c r="D8" s="4">
        <v>29.251121330835179</v>
      </c>
      <c r="E8" s="4">
        <v>29.251121330835179</v>
      </c>
    </row>
    <row r="9" spans="2:6" x14ac:dyDescent="0.3">
      <c r="B9" s="1">
        <v>2002</v>
      </c>
      <c r="C9" s="4">
        <v>33.611771157009684</v>
      </c>
      <c r="D9" s="4">
        <v>28.764394077865106</v>
      </c>
      <c r="E9" s="4">
        <v>28.764394077865106</v>
      </c>
    </row>
    <row r="10" spans="2:6" x14ac:dyDescent="0.3">
      <c r="B10" s="1">
        <v>2003</v>
      </c>
      <c r="C10" s="4">
        <v>33.231186488438034</v>
      </c>
      <c r="D10" s="4">
        <v>28.469030133319247</v>
      </c>
      <c r="E10" s="4">
        <v>28.469030133319247</v>
      </c>
    </row>
    <row r="11" spans="2:6" x14ac:dyDescent="0.3">
      <c r="B11" s="1">
        <v>2004</v>
      </c>
      <c r="C11" s="4">
        <v>32.854938271604937</v>
      </c>
      <c r="D11" s="4">
        <v>28.148148148148145</v>
      </c>
      <c r="E11" s="4">
        <v>28.148148148148145</v>
      </c>
    </row>
    <row r="12" spans="2:6" x14ac:dyDescent="0.3">
      <c r="B12" s="1">
        <v>2005</v>
      </c>
      <c r="C12" s="4">
        <v>32.92452356651664</v>
      </c>
      <c r="D12" s="4">
        <v>28.207873910351868</v>
      </c>
      <c r="E12" s="4">
        <v>28.207873910351868</v>
      </c>
    </row>
    <row r="13" spans="2:6" x14ac:dyDescent="0.3">
      <c r="B13" s="1">
        <v>2006</v>
      </c>
      <c r="C13" s="4">
        <v>33.058658762987335</v>
      </c>
      <c r="D13" s="4">
        <v>28.322965182555453</v>
      </c>
      <c r="E13" s="4">
        <v>28.322965182555453</v>
      </c>
      <c r="F13" s="54"/>
    </row>
    <row r="14" spans="2:6" x14ac:dyDescent="0.3">
      <c r="B14" s="1">
        <v>2007</v>
      </c>
      <c r="C14" s="4">
        <v>32.999907094856148</v>
      </c>
      <c r="D14" s="4">
        <v>27.637731875754852</v>
      </c>
      <c r="E14" s="4">
        <v>27.637731875754852</v>
      </c>
    </row>
    <row r="15" spans="2:6" x14ac:dyDescent="0.3">
      <c r="B15" s="1">
        <v>2008</v>
      </c>
      <c r="C15" s="4">
        <v>33.116472395409779</v>
      </c>
      <c r="D15" s="4">
        <v>27.735610373181533</v>
      </c>
      <c r="E15" s="4">
        <v>27.735610373181533</v>
      </c>
    </row>
    <row r="16" spans="2:6" x14ac:dyDescent="0.3">
      <c r="B16" s="1">
        <v>2009</v>
      </c>
      <c r="C16" s="4">
        <v>33.074295828205585</v>
      </c>
      <c r="D16" s="4">
        <v>26.326414911710614</v>
      </c>
      <c r="E16" s="4">
        <v>26.326414911710614</v>
      </c>
    </row>
    <row r="17" spans="2:5" x14ac:dyDescent="0.3">
      <c r="B17" s="1">
        <v>2010</v>
      </c>
      <c r="C17" s="4">
        <v>33.000687767184068</v>
      </c>
      <c r="D17" s="4">
        <v>26.178307013876715</v>
      </c>
      <c r="E17" s="4">
        <v>26.178307013876715</v>
      </c>
    </row>
    <row r="18" spans="2:5" x14ac:dyDescent="0.3">
      <c r="B18" s="1">
        <v>2011</v>
      </c>
      <c r="C18" s="4">
        <v>33.00015144631228</v>
      </c>
      <c r="D18" s="4">
        <v>25.417739411378665</v>
      </c>
      <c r="E18" s="4">
        <v>25.417739411378665</v>
      </c>
    </row>
    <row r="19" spans="2:5" x14ac:dyDescent="0.3">
      <c r="B19" s="1">
        <v>2012</v>
      </c>
      <c r="C19" s="4">
        <v>33.00054099247528</v>
      </c>
      <c r="D19" s="4">
        <v>25.20041312152658</v>
      </c>
      <c r="E19" s="4">
        <v>25.20041312152658</v>
      </c>
    </row>
    <row r="20" spans="2:5" x14ac:dyDescent="0.3">
      <c r="B20" s="1">
        <v>2013</v>
      </c>
      <c r="C20" s="4">
        <v>33.000456105816554</v>
      </c>
      <c r="D20" s="4">
        <v>24.750942218594716</v>
      </c>
      <c r="E20" s="4">
        <v>24.750942218594716</v>
      </c>
    </row>
    <row r="21" spans="2:5" x14ac:dyDescent="0.3">
      <c r="B21" s="1">
        <v>2014</v>
      </c>
      <c r="C21" s="4">
        <v>33.000128605333614</v>
      </c>
      <c r="D21" s="4">
        <v>24.44202822302503</v>
      </c>
      <c r="E21" s="4">
        <v>24.44202822302503</v>
      </c>
    </row>
    <row r="22" spans="2:5" x14ac:dyDescent="0.3">
      <c r="B22" s="1">
        <v>2015</v>
      </c>
      <c r="C22" s="4">
        <v>33.000767459708371</v>
      </c>
      <c r="D22" s="4">
        <v>24.069598286388473</v>
      </c>
      <c r="E22" s="4">
        <v>24.069598286388473</v>
      </c>
    </row>
    <row r="23" spans="2:5" x14ac:dyDescent="0.3">
      <c r="B23" s="1">
        <v>2016</v>
      </c>
      <c r="C23" s="4">
        <v>32.999587463345563</v>
      </c>
      <c r="D23" s="4">
        <v>23.42873708035545</v>
      </c>
      <c r="E23" s="4">
        <v>23.42873708035545</v>
      </c>
    </row>
    <row r="24" spans="2:5" x14ac:dyDescent="0.3">
      <c r="B24" s="1">
        <v>2017</v>
      </c>
      <c r="C24" s="4">
        <v>32.999472272307486</v>
      </c>
      <c r="D24" s="4">
        <v>23.357447557060556</v>
      </c>
      <c r="E24" s="4">
        <v>23.357447557060556</v>
      </c>
    </row>
    <row r="25" spans="2:5" x14ac:dyDescent="0.3">
      <c r="B25" s="1">
        <v>2018</v>
      </c>
      <c r="C25" s="4">
        <v>33.000149825560243</v>
      </c>
      <c r="D25" s="4">
        <v>23.045311530147043</v>
      </c>
      <c r="E25" s="4">
        <v>23.045311530147043</v>
      </c>
    </row>
    <row r="26" spans="2:5" x14ac:dyDescent="0.3">
      <c r="B26" s="1">
        <v>2019</v>
      </c>
      <c r="C26" s="4">
        <v>33.00082431628703</v>
      </c>
      <c r="D26" s="4">
        <v>22.84921272577397</v>
      </c>
      <c r="E26" s="4">
        <v>22.84921272577397</v>
      </c>
    </row>
    <row r="27" spans="2:5" x14ac:dyDescent="0.3">
      <c r="B27" s="1">
        <v>2020</v>
      </c>
      <c r="C27" s="4">
        <v>32.99964573105926</v>
      </c>
      <c r="D27" s="4">
        <v>25.379826914317526</v>
      </c>
      <c r="E27" s="4">
        <v>25.379826914317526</v>
      </c>
    </row>
    <row r="28" spans="2:5" x14ac:dyDescent="0.3">
      <c r="B28" s="1">
        <v>2021</v>
      </c>
      <c r="C28" s="4">
        <v>33.014753550871269</v>
      </c>
      <c r="D28" s="4">
        <v>25.391430760465987</v>
      </c>
      <c r="E28" s="4">
        <v>25.391430760465987</v>
      </c>
    </row>
    <row r="29" spans="2:5" x14ac:dyDescent="0.3">
      <c r="B29" s="1">
        <v>2022</v>
      </c>
      <c r="C29" s="4">
        <v>33.404311201996137</v>
      </c>
      <c r="D29" s="4">
        <v>29.548055456540908</v>
      </c>
      <c r="E29" s="4">
        <v>29.548055456540908</v>
      </c>
    </row>
    <row r="30" spans="2:5" x14ac:dyDescent="0.3">
      <c r="B30" s="1">
        <v>2023</v>
      </c>
      <c r="C30" s="4">
        <v>33.711813526399439</v>
      </c>
      <c r="D30" s="4">
        <v>29.819883453999648</v>
      </c>
      <c r="E30" s="4">
        <v>29.819883453999648</v>
      </c>
    </row>
    <row r="31" spans="2:5" x14ac:dyDescent="0.3">
      <c r="B31" s="1">
        <v>2024</v>
      </c>
      <c r="C31" s="4">
        <v>33.511405568601141</v>
      </c>
      <c r="D31" s="4">
        <v>29.642737336464272</v>
      </c>
      <c r="E31" s="4">
        <v>29.642737336464272</v>
      </c>
    </row>
    <row r="32" spans="2:5" x14ac:dyDescent="0.3">
      <c r="B32" s="1">
        <v>2025</v>
      </c>
      <c r="C32" s="4">
        <v>33.000278873351661</v>
      </c>
      <c r="D32" s="4">
        <v>28.789291263296285</v>
      </c>
      <c r="E32" s="4">
        <v>28.789291263296285</v>
      </c>
    </row>
    <row r="33" spans="2:6" x14ac:dyDescent="0.3">
      <c r="B33" s="1">
        <v>2026</v>
      </c>
      <c r="C33" s="4">
        <v>33.301632463786341</v>
      </c>
      <c r="D33" s="4">
        <v>29.051882009887528</v>
      </c>
      <c r="E33" s="4">
        <v>29.051882009887528</v>
      </c>
    </row>
    <row r="34" spans="2:6" x14ac:dyDescent="0.3">
      <c r="B34" s="1">
        <v>2027</v>
      </c>
      <c r="C34" s="4">
        <v>33.36730518302334</v>
      </c>
      <c r="D34" s="4">
        <v>29.109242659378161</v>
      </c>
      <c r="E34" s="4">
        <v>29.109242659378161</v>
      </c>
    </row>
    <row r="35" spans="2:6" x14ac:dyDescent="0.3">
      <c r="B35" s="1">
        <v>2028</v>
      </c>
      <c r="C35" s="4">
        <v>33.310159821664719</v>
      </c>
      <c r="D35" s="4">
        <v>29.059583632447957</v>
      </c>
      <c r="E35" s="4">
        <v>29.059583632447957</v>
      </c>
    </row>
    <row r="36" spans="2:6" x14ac:dyDescent="0.3">
      <c r="B36" s="1">
        <v>2029</v>
      </c>
      <c r="C36" s="4">
        <v>33.218573381108939</v>
      </c>
      <c r="D36" s="4">
        <v>28.979350596579366</v>
      </c>
      <c r="E36" s="4">
        <v>28.979350596579366</v>
      </c>
      <c r="F36" s="51">
        <v>1</v>
      </c>
    </row>
    <row r="37" spans="2:6" x14ac:dyDescent="0.3">
      <c r="B37" s="1">
        <v>2030</v>
      </c>
      <c r="C37" s="4">
        <v>33.000251247263201</v>
      </c>
      <c r="D37" s="4">
        <v>28.721151430314777</v>
      </c>
      <c r="E37" s="4">
        <v>28.721151430314777</v>
      </c>
    </row>
    <row r="38" spans="2:6" x14ac:dyDescent="0.3">
      <c r="B38" s="1">
        <v>2031</v>
      </c>
      <c r="C38" s="4">
        <v>32.999930250401057</v>
      </c>
      <c r="D38" s="4">
        <v>28.464811327334868</v>
      </c>
      <c r="E38" s="4">
        <v>28.464811327334868</v>
      </c>
    </row>
    <row r="39" spans="2:6" x14ac:dyDescent="0.3">
      <c r="B39" s="1">
        <v>2032</v>
      </c>
      <c r="C39" s="4">
        <v>33.00012198923784</v>
      </c>
      <c r="D39" s="4">
        <v>28.210688968106592</v>
      </c>
      <c r="E39" s="4">
        <v>28.210688968106592</v>
      </c>
    </row>
    <row r="40" spans="2:6" x14ac:dyDescent="0.3">
      <c r="B40" s="1">
        <v>2033</v>
      </c>
      <c r="C40" s="4">
        <v>33.000131700250229</v>
      </c>
      <c r="D40" s="4">
        <v>27.959304622678786</v>
      </c>
      <c r="E40" s="4">
        <v>27.959304622678786</v>
      </c>
    </row>
    <row r="41" spans="2:6" x14ac:dyDescent="0.3">
      <c r="B41" s="1">
        <v>2034</v>
      </c>
      <c r="C41" s="4">
        <v>32.999980805036756</v>
      </c>
      <c r="D41" s="4">
        <v>27.709848935639286</v>
      </c>
      <c r="E41" s="4">
        <v>27.709848935639286</v>
      </c>
    </row>
    <row r="42" spans="2:6" x14ac:dyDescent="0.3">
      <c r="B42" s="1">
        <v>2035</v>
      </c>
      <c r="C42" s="4">
        <v>32.999900529679451</v>
      </c>
      <c r="D42" s="4">
        <v>27.462512122945316</v>
      </c>
      <c r="E42" s="4">
        <v>27.462512122945316</v>
      </c>
    </row>
    <row r="43" spans="2:6" x14ac:dyDescent="0.3">
      <c r="B43" s="1">
        <v>2036</v>
      </c>
      <c r="C43" s="4">
        <v>32.999891268892021</v>
      </c>
      <c r="D43" s="4">
        <v>27.217208510021383</v>
      </c>
      <c r="E43" s="4">
        <v>27.217208510021383</v>
      </c>
    </row>
    <row r="44" spans="2:6" x14ac:dyDescent="0.3">
      <c r="B44" s="1">
        <v>2037</v>
      </c>
      <c r="C44" s="4">
        <v>32.999759357190229</v>
      </c>
      <c r="D44" s="4">
        <v>26.974298174049313</v>
      </c>
      <c r="E44" s="4">
        <v>26.974298174049313</v>
      </c>
    </row>
    <row r="45" spans="2:6" x14ac:dyDescent="0.3">
      <c r="B45" s="1">
        <v>2038</v>
      </c>
      <c r="C45" s="4">
        <v>32.999903050487887</v>
      </c>
      <c r="D45" s="4">
        <v>26.733542820318338</v>
      </c>
      <c r="E45" s="4">
        <v>26.733542820318338</v>
      </c>
    </row>
    <row r="46" spans="2:6" x14ac:dyDescent="0.3">
      <c r="B46" s="1">
        <v>2039</v>
      </c>
      <c r="C46" s="4">
        <v>33.000121906619526</v>
      </c>
      <c r="D46" s="4">
        <v>26.495295512728159</v>
      </c>
      <c r="E46" s="4">
        <v>26.733567541808426</v>
      </c>
    </row>
    <row r="47" spans="2:6" x14ac:dyDescent="0.3">
      <c r="B47" s="1">
        <v>2040</v>
      </c>
      <c r="C47" s="4">
        <v>33.00023690048026</v>
      </c>
      <c r="D47" s="4">
        <v>26.258803006482459</v>
      </c>
      <c r="E47" s="4">
        <v>26.733680787371053</v>
      </c>
    </row>
    <row r="48" spans="2:6" x14ac:dyDescent="0.3">
      <c r="B48" s="1">
        <v>2041</v>
      </c>
      <c r="C48" s="4">
        <v>32.99991629697832</v>
      </c>
      <c r="D48" s="4">
        <v>26.024315727797774</v>
      </c>
      <c r="E48" s="4">
        <v>26.733698836527999</v>
      </c>
    </row>
    <row r="49" spans="2:5" x14ac:dyDescent="0.3">
      <c r="B49" s="1">
        <v>2042</v>
      </c>
      <c r="C49" s="4">
        <v>33.000050831088295</v>
      </c>
      <c r="D49" s="4">
        <v>25.792202511055763</v>
      </c>
      <c r="E49" s="4">
        <v>26.733594266253238</v>
      </c>
    </row>
    <row r="50" spans="2:5" x14ac:dyDescent="0.3">
      <c r="B50" s="1">
        <v>2043</v>
      </c>
      <c r="C50" s="4">
        <v>32.999787623906634</v>
      </c>
      <c r="D50" s="4">
        <v>25.562179275056671</v>
      </c>
      <c r="E50" s="4">
        <v>26.733705073813038</v>
      </c>
    </row>
    <row r="51" spans="2:5" x14ac:dyDescent="0.3">
      <c r="B51" s="1">
        <v>2044</v>
      </c>
      <c r="C51" s="4">
        <v>32.999966407363509</v>
      </c>
      <c r="D51" s="4">
        <v>25.334126759414335</v>
      </c>
      <c r="E51" s="4">
        <v>26.733500016796324</v>
      </c>
    </row>
    <row r="52" spans="2:5" x14ac:dyDescent="0.3">
      <c r="B52" s="1">
        <v>2045</v>
      </c>
      <c r="C52" s="4">
        <v>32.999780843890903</v>
      </c>
      <c r="D52" s="4">
        <v>25.108295758163564</v>
      </c>
      <c r="E52" s="4">
        <v>26.733781282203125</v>
      </c>
    </row>
    <row r="53" spans="2:5" x14ac:dyDescent="0.3">
      <c r="B53" s="1">
        <v>2046</v>
      </c>
      <c r="C53" s="4">
        <v>33.000176696856151</v>
      </c>
      <c r="D53" s="4">
        <v>24.884354172990751</v>
      </c>
      <c r="E53" s="4">
        <v>26.73378126741483</v>
      </c>
    </row>
    <row r="54" spans="2:5" x14ac:dyDescent="0.3">
      <c r="B54" s="1">
        <v>2047</v>
      </c>
      <c r="C54" s="4">
        <v>32.999938368888614</v>
      </c>
      <c r="D54" s="4">
        <v>24.662129442942799</v>
      </c>
      <c r="E54" s="4">
        <v>26.733815229928069</v>
      </c>
    </row>
    <row r="55" spans="2:5" x14ac:dyDescent="0.3">
      <c r="B55" s="1">
        <v>2048</v>
      </c>
      <c r="C55" s="4">
        <v>32.999837458188253</v>
      </c>
      <c r="D55" s="4">
        <v>24.442011069952859</v>
      </c>
      <c r="E55" s="4">
        <v>26.733850615520176</v>
      </c>
    </row>
    <row r="56" spans="2:5" x14ac:dyDescent="0.3">
      <c r="B56" s="1">
        <v>2049</v>
      </c>
      <c r="C56" s="4">
        <v>33.000149620960237</v>
      </c>
      <c r="D56" s="4">
        <v>24.224049075674959</v>
      </c>
      <c r="E56" s="4">
        <v>26.733940683601542</v>
      </c>
    </row>
    <row r="57" spans="2:5" x14ac:dyDescent="0.3">
      <c r="B57" s="1">
        <v>2050</v>
      </c>
      <c r="C57" s="4">
        <v>33.000173646866884</v>
      </c>
      <c r="D57" s="4">
        <v>24.008092751656712</v>
      </c>
      <c r="E57" s="4">
        <v>26.73394473183674</v>
      </c>
    </row>
    <row r="58" spans="2:5" x14ac:dyDescent="0.3">
      <c r="B58" s="1">
        <v>2051</v>
      </c>
      <c r="C58" s="4">
        <v>32.999941143002879</v>
      </c>
      <c r="D58" s="4">
        <v>23.793922034097818</v>
      </c>
      <c r="E58" s="4">
        <v>26.734025230032763</v>
      </c>
    </row>
    <row r="59" spans="2:5" x14ac:dyDescent="0.3">
      <c r="B59" s="1">
        <v>2052</v>
      </c>
      <c r="C59" s="4">
        <v>32.999862748387294</v>
      </c>
      <c r="D59" s="4">
        <v>23.581733335366689</v>
      </c>
      <c r="E59" s="4">
        <v>26.733945373858141</v>
      </c>
    </row>
    <row r="60" spans="2:5" x14ac:dyDescent="0.3">
      <c r="B60" s="1">
        <v>2053</v>
      </c>
      <c r="C60" s="4">
        <v>32.999933319997332</v>
      </c>
      <c r="D60" s="4">
        <v>23.371340934853638</v>
      </c>
      <c r="E60" s="4">
        <v>26.733865291576834</v>
      </c>
    </row>
    <row r="61" spans="2:5" x14ac:dyDescent="0.3">
      <c r="B61" s="1">
        <v>2054</v>
      </c>
      <c r="C61" s="4">
        <v>33.00014757597463</v>
      </c>
      <c r="D61" s="4">
        <v>23.162949071891095</v>
      </c>
      <c r="E61" s="4">
        <v>26.733927716567742</v>
      </c>
    </row>
    <row r="62" spans="2:5" x14ac:dyDescent="0.3">
      <c r="B62" s="1">
        <v>2055</v>
      </c>
      <c r="C62" s="4">
        <v>33.000034973594936</v>
      </c>
      <c r="D62" s="4">
        <v>22.956317979925156</v>
      </c>
      <c r="E62" s="4">
        <v>26.733815968943446</v>
      </c>
    </row>
    <row r="63" spans="2:5" x14ac:dyDescent="0.3">
      <c r="B63" s="1">
        <v>2056</v>
      </c>
      <c r="C63" s="4">
        <v>32.999969416154386</v>
      </c>
      <c r="D63" s="4">
        <v>22.751662571829559</v>
      </c>
      <c r="E63" s="4">
        <v>26.734019091116071</v>
      </c>
    </row>
    <row r="64" spans="2:5" x14ac:dyDescent="0.3">
      <c r="B64" s="1">
        <v>2057</v>
      </c>
      <c r="C64" s="4">
        <v>33.000066037112859</v>
      </c>
      <c r="D64" s="4">
        <v>22.548702370732354</v>
      </c>
      <c r="E64" s="4">
        <v>26.734134583636003</v>
      </c>
    </row>
    <row r="65" spans="2:5" x14ac:dyDescent="0.3">
      <c r="B65" s="1">
        <v>2058</v>
      </c>
      <c r="C65" s="4">
        <v>32.999996791756097</v>
      </c>
      <c r="D65" s="4">
        <v>22.347664558850422</v>
      </c>
      <c r="E65" s="4">
        <v>26.734296448153177</v>
      </c>
    </row>
    <row r="66" spans="2:5" x14ac:dyDescent="0.3">
      <c r="B66" s="1">
        <v>2059</v>
      </c>
      <c r="C66" s="4">
        <v>32.999887777750061</v>
      </c>
      <c r="D66" s="4">
        <v>22.148307937853811</v>
      </c>
      <c r="E66" s="4">
        <v>26.734457218384499</v>
      </c>
    </row>
    <row r="67" spans="2:5" x14ac:dyDescent="0.3">
      <c r="B67" s="1">
        <v>2060</v>
      </c>
      <c r="C67" s="4">
        <v>32.999851583962588</v>
      </c>
      <c r="D67" s="4">
        <v>21.950731933376343</v>
      </c>
      <c r="E67" s="4">
        <v>26.7345745760299</v>
      </c>
    </row>
    <row r="68" spans="2:5" x14ac:dyDescent="0.3">
      <c r="B68" s="1">
        <v>2061</v>
      </c>
      <c r="C68" s="4">
        <v>33.000085347585397</v>
      </c>
      <c r="D68" s="4">
        <v>21.754805216208979</v>
      </c>
      <c r="E68" s="4">
        <v>26.73468967323647</v>
      </c>
    </row>
    <row r="69" spans="2:5" x14ac:dyDescent="0.3">
      <c r="B69" s="1">
        <v>2062</v>
      </c>
      <c r="C69" s="4">
        <v>33.00009722563783</v>
      </c>
      <c r="D69" s="4">
        <v>21.56064306180691</v>
      </c>
      <c r="E69" s="4">
        <v>26.734762740847923</v>
      </c>
    </row>
    <row r="70" spans="2:5" x14ac:dyDescent="0.3">
      <c r="B70" s="1">
        <v>2063</v>
      </c>
      <c r="C70" s="4">
        <v>33.000005557006553</v>
      </c>
      <c r="D70" s="4">
        <v>21.368357293293251</v>
      </c>
      <c r="E70" s="4">
        <v>26.734758520280295</v>
      </c>
    </row>
    <row r="71" spans="2:5" x14ac:dyDescent="0.3">
      <c r="B71" s="1">
        <v>2064</v>
      </c>
      <c r="C71" s="4">
        <v>33.00009719012548</v>
      </c>
      <c r="D71" s="4">
        <v>21.177728342800371</v>
      </c>
      <c r="E71" s="4">
        <v>26.73484373987603</v>
      </c>
    </row>
    <row r="72" spans="2:5" x14ac:dyDescent="0.3">
      <c r="B72" s="1">
        <v>2065</v>
      </c>
      <c r="C72" s="4">
        <v>33.000102303937126</v>
      </c>
      <c r="D72" s="4">
        <v>20.988833131785832</v>
      </c>
      <c r="E72" s="4">
        <v>26.734904267123447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D993-AF73-4F61-A770-2C76AE982302}">
  <sheetPr codeName="Sheet82"/>
  <dimension ref="B2:J45"/>
  <sheetViews>
    <sheetView showGridLines="0" workbookViewId="0"/>
  </sheetViews>
  <sheetFormatPr defaultColWidth="8.7109375" defaultRowHeight="16.5" x14ac:dyDescent="0.3"/>
  <cols>
    <col min="1" max="1" width="8.7109375" style="1"/>
    <col min="2" max="2" width="13.140625" style="1" customWidth="1"/>
    <col min="3" max="16384" width="8.7109375" style="1"/>
  </cols>
  <sheetData>
    <row r="2" spans="2:10" x14ac:dyDescent="0.3">
      <c r="B2" s="9" t="s">
        <v>308</v>
      </c>
      <c r="C2" s="8"/>
      <c r="D2" s="8"/>
      <c r="E2" s="8"/>
      <c r="F2" s="8"/>
      <c r="G2" s="8"/>
      <c r="H2" s="8"/>
      <c r="I2" s="8"/>
      <c r="J2" s="8"/>
    </row>
    <row r="3" spans="2:10" x14ac:dyDescent="0.3">
      <c r="B3" s="8" t="s">
        <v>58</v>
      </c>
      <c r="C3" s="8"/>
      <c r="D3" s="8"/>
      <c r="E3" s="8"/>
      <c r="F3" s="8"/>
      <c r="G3" s="8"/>
      <c r="H3" s="8"/>
      <c r="I3" s="8"/>
      <c r="J3" s="8"/>
    </row>
    <row r="5" spans="2:10" x14ac:dyDescent="0.3">
      <c r="C5" s="1" t="s">
        <v>169</v>
      </c>
    </row>
    <row r="6" spans="2:10" x14ac:dyDescent="0.3">
      <c r="C6" s="1" t="s">
        <v>3</v>
      </c>
    </row>
    <row r="7" spans="2:10" x14ac:dyDescent="0.3">
      <c r="B7" s="1" t="s">
        <v>67</v>
      </c>
      <c r="C7" s="4">
        <v>16.800999999999998</v>
      </c>
    </row>
    <row r="8" spans="2:10" x14ac:dyDescent="0.3">
      <c r="B8" s="1" t="s">
        <v>68</v>
      </c>
      <c r="C8" s="4">
        <v>19.652000000000001</v>
      </c>
    </row>
    <row r="9" spans="2:10" x14ac:dyDescent="0.3">
      <c r="B9" s="1" t="s">
        <v>69</v>
      </c>
      <c r="C9" s="4">
        <v>20.254999999999999</v>
      </c>
    </row>
    <row r="10" spans="2:10" x14ac:dyDescent="0.3">
      <c r="B10" s="1" t="s">
        <v>70</v>
      </c>
      <c r="C10" s="4">
        <v>20.945</v>
      </c>
    </row>
    <row r="11" spans="2:10" x14ac:dyDescent="0.3">
      <c r="B11" s="1" t="s">
        <v>71</v>
      </c>
      <c r="C11" s="4">
        <v>23.841000000000001</v>
      </c>
    </row>
    <row r="12" spans="2:10" x14ac:dyDescent="0.3">
      <c r="B12" s="1" t="s">
        <v>72</v>
      </c>
      <c r="C12" s="4">
        <v>25.186</v>
      </c>
    </row>
    <row r="13" spans="2:10" x14ac:dyDescent="0.3">
      <c r="B13" s="1" t="s">
        <v>73</v>
      </c>
      <c r="C13" s="4">
        <v>26.91</v>
      </c>
    </row>
    <row r="14" spans="2:10" x14ac:dyDescent="0.3">
      <c r="B14" s="1" t="s">
        <v>74</v>
      </c>
      <c r="C14" s="4">
        <v>27.606999999999999</v>
      </c>
    </row>
    <row r="15" spans="2:10" x14ac:dyDescent="0.3">
      <c r="B15" s="1" t="s">
        <v>75</v>
      </c>
      <c r="C15" s="4">
        <v>29.398</v>
      </c>
    </row>
    <row r="16" spans="2:10" x14ac:dyDescent="0.3">
      <c r="B16" s="1" t="s">
        <v>76</v>
      </c>
      <c r="C16" s="4">
        <v>30.762</v>
      </c>
    </row>
    <row r="17" spans="2:3" x14ac:dyDescent="0.3">
      <c r="B17" s="1" t="s">
        <v>77</v>
      </c>
      <c r="C17" s="4">
        <v>31.555</v>
      </c>
    </row>
    <row r="18" spans="2:3" x14ac:dyDescent="0.3">
      <c r="B18" s="1" t="s">
        <v>78</v>
      </c>
      <c r="C18" s="4">
        <v>31.975999999999999</v>
      </c>
    </row>
    <row r="19" spans="2:3" x14ac:dyDescent="0.3">
      <c r="B19" s="1" t="s">
        <v>79</v>
      </c>
      <c r="C19" s="4">
        <v>32.554000000000002</v>
      </c>
    </row>
    <row r="20" spans="2:3" x14ac:dyDescent="0.3">
      <c r="B20" s="1" t="s">
        <v>80</v>
      </c>
      <c r="C20" s="4">
        <v>32.78</v>
      </c>
    </row>
    <row r="21" spans="2:3" x14ac:dyDescent="0.3">
      <c r="B21" s="1" t="s">
        <v>81</v>
      </c>
      <c r="C21" s="4">
        <v>33.119999999999997</v>
      </c>
    </row>
    <row r="22" spans="2:3" x14ac:dyDescent="0.3">
      <c r="B22" s="1" t="s">
        <v>82</v>
      </c>
      <c r="C22" s="4">
        <v>33.186999999999998</v>
      </c>
    </row>
    <row r="23" spans="2:3" x14ac:dyDescent="0.3">
      <c r="B23" s="1" t="s">
        <v>83</v>
      </c>
      <c r="C23" s="4">
        <v>33.832000000000001</v>
      </c>
    </row>
    <row r="24" spans="2:3" x14ac:dyDescent="0.3">
      <c r="B24" s="1" t="s">
        <v>84</v>
      </c>
      <c r="C24" s="4">
        <v>34.034999999999997</v>
      </c>
    </row>
    <row r="25" spans="2:3" x14ac:dyDescent="0.3">
      <c r="B25" s="1" t="s">
        <v>85</v>
      </c>
      <c r="C25" s="4">
        <v>34.380000000000003</v>
      </c>
    </row>
    <row r="26" spans="2:3" x14ac:dyDescent="0.3">
      <c r="B26" s="1" t="s">
        <v>86</v>
      </c>
      <c r="C26" s="4">
        <v>34.441000000000003</v>
      </c>
    </row>
    <row r="27" spans="2:3" x14ac:dyDescent="0.3">
      <c r="B27" s="1" t="s">
        <v>87</v>
      </c>
      <c r="C27" s="4">
        <v>35.011000000000003</v>
      </c>
    </row>
    <row r="28" spans="2:3" x14ac:dyDescent="0.3">
      <c r="B28" s="1" t="s">
        <v>88</v>
      </c>
      <c r="C28" s="4">
        <v>35.149000000000001</v>
      </c>
    </row>
    <row r="29" spans="2:3" x14ac:dyDescent="0.3">
      <c r="B29" s="1" t="s">
        <v>89</v>
      </c>
      <c r="C29" s="4">
        <v>35.165999999999997</v>
      </c>
    </row>
    <row r="30" spans="2:3" x14ac:dyDescent="0.3">
      <c r="B30" s="1" t="s">
        <v>90</v>
      </c>
      <c r="C30" s="4">
        <v>35.42</v>
      </c>
    </row>
    <row r="31" spans="2:3" x14ac:dyDescent="0.3">
      <c r="B31" s="1" t="s">
        <v>91</v>
      </c>
      <c r="C31" s="4">
        <v>36.014000000000003</v>
      </c>
    </row>
    <row r="32" spans="2:3" x14ac:dyDescent="0.3">
      <c r="B32" s="1" t="s">
        <v>92</v>
      </c>
      <c r="C32" s="4">
        <v>37.402000000000001</v>
      </c>
    </row>
    <row r="33" spans="2:3" x14ac:dyDescent="0.3">
      <c r="B33" s="1" t="s">
        <v>93</v>
      </c>
      <c r="C33" s="4">
        <v>37.590000000000003</v>
      </c>
    </row>
    <row r="34" spans="2:3" x14ac:dyDescent="0.3">
      <c r="B34" s="1" t="s">
        <v>94</v>
      </c>
      <c r="C34" s="4">
        <v>38.066000000000003</v>
      </c>
    </row>
    <row r="35" spans="2:3" x14ac:dyDescent="0.3">
      <c r="B35" s="1" t="s">
        <v>95</v>
      </c>
      <c r="C35" s="4">
        <v>38.256999999999998</v>
      </c>
    </row>
    <row r="36" spans="2:3" x14ac:dyDescent="0.3">
      <c r="B36" s="1" t="s">
        <v>96</v>
      </c>
      <c r="C36" s="4">
        <v>39.646999999999998</v>
      </c>
    </row>
    <row r="37" spans="2:3" x14ac:dyDescent="0.3">
      <c r="B37" s="1" t="s">
        <v>97</v>
      </c>
      <c r="C37" s="4">
        <v>41.212000000000003</v>
      </c>
    </row>
    <row r="38" spans="2:3" x14ac:dyDescent="0.3">
      <c r="B38" s="1" t="s">
        <v>98</v>
      </c>
      <c r="C38" s="4">
        <v>41.933999999999997</v>
      </c>
    </row>
    <row r="39" spans="2:3" x14ac:dyDescent="0.3">
      <c r="B39" s="1" t="s">
        <v>99</v>
      </c>
      <c r="C39" s="4">
        <v>42.377000000000002</v>
      </c>
    </row>
    <row r="40" spans="2:3" x14ac:dyDescent="0.3">
      <c r="B40" s="1" t="s">
        <v>100</v>
      </c>
      <c r="C40" s="4">
        <v>42.512</v>
      </c>
    </row>
    <row r="41" spans="2:3" x14ac:dyDescent="0.3">
      <c r="B41" s="1" t="s">
        <v>101</v>
      </c>
      <c r="C41" s="4">
        <v>42.837000000000003</v>
      </c>
    </row>
    <row r="42" spans="2:3" x14ac:dyDescent="0.3">
      <c r="B42" s="1" t="s">
        <v>102</v>
      </c>
      <c r="C42" s="4">
        <v>43.174999999999997</v>
      </c>
    </row>
    <row r="43" spans="2:3" x14ac:dyDescent="0.3">
      <c r="B43" s="1" t="s">
        <v>103</v>
      </c>
      <c r="C43" s="4">
        <v>43.180999999999997</v>
      </c>
    </row>
    <row r="44" spans="2:3" x14ac:dyDescent="0.3">
      <c r="B44" s="1" t="s">
        <v>104</v>
      </c>
      <c r="C44" s="4">
        <v>43.436999999999998</v>
      </c>
    </row>
    <row r="45" spans="2:3" x14ac:dyDescent="0.3">
      <c r="B45" s="1" t="s">
        <v>105</v>
      </c>
      <c r="C45" s="4">
        <v>45.774000000000001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B068-F98F-42C7-B335-29F0CA6B8B20}">
  <sheetPr codeName="Sheet84"/>
  <dimension ref="B2:M47"/>
  <sheetViews>
    <sheetView workbookViewId="0"/>
  </sheetViews>
  <sheetFormatPr defaultColWidth="8.7109375" defaultRowHeight="16.5" x14ac:dyDescent="0.3"/>
  <cols>
    <col min="1" max="2" width="8.7109375" style="1"/>
    <col min="3" max="4" width="15.42578125" style="1" customWidth="1"/>
    <col min="5" max="16384" width="8.7109375" style="1"/>
  </cols>
  <sheetData>
    <row r="2" spans="2:13" x14ac:dyDescent="0.3">
      <c r="B2" s="9" t="s">
        <v>309</v>
      </c>
      <c r="C2" s="8"/>
      <c r="D2" s="8"/>
      <c r="E2" s="8"/>
      <c r="F2" s="8"/>
      <c r="G2" s="8"/>
      <c r="H2" s="8"/>
      <c r="I2" s="8"/>
      <c r="J2" s="8"/>
      <c r="K2" s="8"/>
      <c r="L2" s="8"/>
      <c r="M2" s="8"/>
    </row>
    <row r="3" spans="2:13" x14ac:dyDescent="0.3">
      <c r="B3" s="8" t="s">
        <v>293</v>
      </c>
      <c r="C3" s="8"/>
      <c r="D3" s="8"/>
      <c r="E3" s="8"/>
      <c r="F3" s="8"/>
      <c r="G3" s="8"/>
      <c r="H3" s="8"/>
      <c r="I3" s="8"/>
      <c r="J3" s="8"/>
      <c r="K3" s="8"/>
      <c r="L3" s="8"/>
      <c r="M3" s="8"/>
    </row>
    <row r="5" spans="2:13" s="35" customFormat="1" ht="49.5" x14ac:dyDescent="0.3">
      <c r="C5" s="35" t="s">
        <v>120</v>
      </c>
      <c r="D5" s="35" t="s">
        <v>121</v>
      </c>
    </row>
    <row r="6" spans="2:13" s="35" customFormat="1" x14ac:dyDescent="0.3">
      <c r="C6" s="35" t="s">
        <v>3</v>
      </c>
      <c r="D6" s="35" t="s">
        <v>3</v>
      </c>
    </row>
    <row r="7" spans="2:13" x14ac:dyDescent="0.3">
      <c r="B7" s="1">
        <v>2025</v>
      </c>
      <c r="C7" s="4">
        <v>5.6196707083363799</v>
      </c>
      <c r="D7" s="4">
        <v>5.6097557205157003</v>
      </c>
      <c r="F7" s="4"/>
      <c r="G7" s="4"/>
    </row>
    <row r="8" spans="2:13" x14ac:dyDescent="0.3">
      <c r="B8" s="1">
        <v>2026</v>
      </c>
      <c r="C8" s="4">
        <v>5.7404282508576401</v>
      </c>
      <c r="D8" s="4">
        <v>5.7748866736950903</v>
      </c>
      <c r="F8" s="4"/>
      <c r="G8" s="4"/>
    </row>
    <row r="9" spans="2:13" x14ac:dyDescent="0.3">
      <c r="B9" s="1">
        <v>2027</v>
      </c>
      <c r="C9" s="4">
        <v>5.8737923191089401</v>
      </c>
      <c r="D9" s="4">
        <v>5.9383922088549497</v>
      </c>
      <c r="F9" s="4"/>
      <c r="G9" s="4"/>
    </row>
    <row r="10" spans="2:13" x14ac:dyDescent="0.3">
      <c r="B10" s="1">
        <v>2028</v>
      </c>
      <c r="C10" s="4">
        <v>5.9987272675829901</v>
      </c>
      <c r="D10" s="4">
        <v>6.0875902437087497</v>
      </c>
      <c r="F10" s="4"/>
      <c r="G10" s="4"/>
    </row>
    <row r="11" spans="2:13" x14ac:dyDescent="0.3">
      <c r="B11" s="1">
        <v>2029</v>
      </c>
      <c r="C11" s="4">
        <v>6.10317953349647</v>
      </c>
      <c r="D11" s="4">
        <v>6.21461540630201</v>
      </c>
      <c r="F11" s="4"/>
      <c r="G11" s="4"/>
    </row>
    <row r="12" spans="2:13" x14ac:dyDescent="0.3">
      <c r="B12" s="1">
        <v>2030</v>
      </c>
      <c r="C12" s="4">
        <v>6.18780247703274</v>
      </c>
      <c r="D12" s="4">
        <v>6.3215592130128302</v>
      </c>
      <c r="F12" s="4"/>
      <c r="G12" s="4"/>
    </row>
    <row r="13" spans="2:13" x14ac:dyDescent="0.3">
      <c r="B13" s="1">
        <v>2031</v>
      </c>
      <c r="C13" s="4">
        <v>6.2570195891705698</v>
      </c>
      <c r="D13" s="4">
        <v>6.4117137150315404</v>
      </c>
      <c r="F13" s="4"/>
      <c r="G13" s="4"/>
    </row>
    <row r="14" spans="2:13" x14ac:dyDescent="0.3">
      <c r="B14" s="1">
        <v>2032</v>
      </c>
      <c r="C14" s="4">
        <v>6.3208897923174501</v>
      </c>
      <c r="D14" s="4">
        <v>6.4989963949678398</v>
      </c>
      <c r="F14" s="4"/>
      <c r="G14" s="4"/>
    </row>
    <row r="15" spans="2:13" x14ac:dyDescent="0.3">
      <c r="B15" s="1">
        <v>2033</v>
      </c>
      <c r="C15" s="4">
        <v>6.3842847990056999</v>
      </c>
      <c r="D15" s="4">
        <v>6.5859114554013098</v>
      </c>
      <c r="F15" s="4"/>
      <c r="G15" s="4"/>
    </row>
    <row r="16" spans="2:13" x14ac:dyDescent="0.3">
      <c r="B16" s="1">
        <v>2034</v>
      </c>
      <c r="C16" s="4">
        <v>6.4489107475698599</v>
      </c>
      <c r="D16" s="4">
        <v>6.6748489556088204</v>
      </c>
      <c r="F16" s="4"/>
      <c r="G16" s="4"/>
    </row>
    <row r="17" spans="2:7" x14ac:dyDescent="0.3">
      <c r="B17" s="1">
        <v>2035</v>
      </c>
      <c r="C17" s="4">
        <v>6.5079991232846801</v>
      </c>
      <c r="D17" s="4">
        <v>6.7580506751425604</v>
      </c>
      <c r="F17" s="4"/>
      <c r="G17" s="4"/>
    </row>
    <row r="18" spans="2:7" x14ac:dyDescent="0.3">
      <c r="B18" s="1">
        <v>2036</v>
      </c>
      <c r="C18" s="4">
        <v>6.5740943110448598</v>
      </c>
      <c r="D18" s="4">
        <v>6.8501554298168497</v>
      </c>
      <c r="F18" s="4"/>
      <c r="G18" s="4"/>
    </row>
    <row r="19" spans="2:7" x14ac:dyDescent="0.3">
      <c r="B19" s="1">
        <v>2037</v>
      </c>
      <c r="C19" s="4">
        <v>6.6302974542821298</v>
      </c>
      <c r="D19" s="4">
        <v>6.93134738366434</v>
      </c>
      <c r="F19" s="4"/>
      <c r="G19" s="4"/>
    </row>
    <row r="20" spans="2:7" x14ac:dyDescent="0.3">
      <c r="B20" s="1">
        <v>2038</v>
      </c>
      <c r="C20" s="4">
        <v>6.6717814240523801</v>
      </c>
      <c r="D20" s="4">
        <v>6.9942686178846198</v>
      </c>
      <c r="F20" s="4"/>
      <c r="G20" s="4"/>
    </row>
    <row r="21" spans="2:7" x14ac:dyDescent="0.3">
      <c r="B21" s="1">
        <v>2039</v>
      </c>
      <c r="C21" s="4">
        <v>6.7017543335747796</v>
      </c>
      <c r="D21" s="4">
        <v>7.0442558956297701</v>
      </c>
      <c r="F21" s="4"/>
      <c r="G21" s="4"/>
    </row>
    <row r="22" spans="2:7" x14ac:dyDescent="0.3">
      <c r="B22" s="1">
        <v>2040</v>
      </c>
      <c r="C22" s="4">
        <v>6.7129598275884801</v>
      </c>
      <c r="D22" s="4">
        <v>7.0717913895304196</v>
      </c>
      <c r="F22" s="4"/>
      <c r="G22" s="4"/>
    </row>
    <row r="23" spans="2:7" x14ac:dyDescent="0.3">
      <c r="B23" s="1">
        <v>2041</v>
      </c>
      <c r="C23" s="4">
        <v>6.7128141973032802</v>
      </c>
      <c r="D23" s="4">
        <v>7.0872417553743601</v>
      </c>
      <c r="F23" s="4"/>
      <c r="G23" s="4"/>
    </row>
    <row r="24" spans="2:7" x14ac:dyDescent="0.3">
      <c r="B24" s="1">
        <v>2042</v>
      </c>
      <c r="C24" s="4">
        <v>6.7110574396309204</v>
      </c>
      <c r="D24" s="4">
        <v>7.1009387094579397</v>
      </c>
      <c r="F24" s="4"/>
      <c r="G24" s="4"/>
    </row>
    <row r="25" spans="2:7" x14ac:dyDescent="0.3">
      <c r="B25" s="1">
        <v>2043</v>
      </c>
      <c r="C25" s="4">
        <v>6.7011737293091302</v>
      </c>
      <c r="D25" s="4">
        <v>7.1053345415962301</v>
      </c>
      <c r="F25" s="4"/>
      <c r="G25" s="4"/>
    </row>
    <row r="26" spans="2:7" x14ac:dyDescent="0.3">
      <c r="B26" s="1">
        <v>2044</v>
      </c>
      <c r="C26" s="4">
        <v>6.7065257444010999</v>
      </c>
      <c r="D26" s="4">
        <v>7.13117846870135</v>
      </c>
      <c r="F26" s="4"/>
      <c r="G26" s="4"/>
    </row>
    <row r="27" spans="2:7" x14ac:dyDescent="0.3">
      <c r="B27" s="1">
        <v>2045</v>
      </c>
      <c r="C27" s="4">
        <v>6.7217978067030604</v>
      </c>
      <c r="D27" s="4">
        <v>7.1677855895698404</v>
      </c>
      <c r="F27" s="4"/>
      <c r="G27" s="4"/>
    </row>
    <row r="28" spans="2:7" x14ac:dyDescent="0.3">
      <c r="B28" s="1">
        <v>2046</v>
      </c>
      <c r="C28" s="4">
        <v>6.7414941477366597</v>
      </c>
      <c r="D28" s="4">
        <v>7.2084634202019604</v>
      </c>
      <c r="F28" s="4"/>
      <c r="G28" s="4"/>
    </row>
    <row r="29" spans="2:7" x14ac:dyDescent="0.3">
      <c r="B29" s="1">
        <v>2047</v>
      </c>
      <c r="C29" s="4">
        <v>6.7695177153328903</v>
      </c>
      <c r="D29" s="4">
        <v>7.2603770706271096</v>
      </c>
      <c r="F29" s="4"/>
      <c r="G29" s="4"/>
    </row>
    <row r="30" spans="2:7" x14ac:dyDescent="0.3">
      <c r="B30" s="1">
        <v>2048</v>
      </c>
      <c r="C30" s="4">
        <v>6.8066831074867604</v>
      </c>
      <c r="D30" s="4">
        <v>7.3242179416613604</v>
      </c>
      <c r="F30" s="4"/>
      <c r="G30" s="4"/>
    </row>
    <row r="31" spans="2:7" x14ac:dyDescent="0.3">
      <c r="B31" s="1">
        <v>2049</v>
      </c>
      <c r="C31" s="4">
        <v>6.8497415767005601</v>
      </c>
      <c r="D31" s="4">
        <v>7.3954874781786604</v>
      </c>
      <c r="F31" s="4"/>
      <c r="G31" s="4"/>
    </row>
    <row r="32" spans="2:7" x14ac:dyDescent="0.3">
      <c r="B32" s="1">
        <v>2050</v>
      </c>
      <c r="C32" s="4">
        <v>6.89889827366133</v>
      </c>
      <c r="D32" s="4">
        <v>7.47479064227677</v>
      </c>
      <c r="F32" s="4"/>
      <c r="G32" s="4"/>
    </row>
    <row r="33" spans="2:7" x14ac:dyDescent="0.3">
      <c r="B33" s="1">
        <v>2051</v>
      </c>
      <c r="C33" s="4">
        <v>6.9540617205715698</v>
      </c>
      <c r="D33" s="4">
        <v>7.5622776515701</v>
      </c>
      <c r="F33" s="4"/>
      <c r="G33" s="4"/>
    </row>
    <row r="34" spans="2:7" x14ac:dyDescent="0.3">
      <c r="B34" s="1">
        <v>2052</v>
      </c>
      <c r="C34" s="4">
        <v>7.0237525802960104</v>
      </c>
      <c r="D34" s="4">
        <v>7.6693441531143796</v>
      </c>
      <c r="F34" s="4"/>
      <c r="G34" s="4"/>
    </row>
    <row r="35" spans="2:7" x14ac:dyDescent="0.3">
      <c r="B35" s="1">
        <v>2053</v>
      </c>
      <c r="C35" s="4">
        <v>7.1077869247074599</v>
      </c>
      <c r="D35" s="4">
        <v>7.79526015087432</v>
      </c>
      <c r="F35" s="4"/>
      <c r="G35" s="4"/>
    </row>
    <row r="36" spans="2:7" x14ac:dyDescent="0.3">
      <c r="B36" s="1">
        <v>2054</v>
      </c>
      <c r="C36" s="4">
        <v>7.1980731001903804</v>
      </c>
      <c r="D36" s="4">
        <v>7.9294511042333102</v>
      </c>
      <c r="F36" s="4"/>
      <c r="G36" s="4"/>
    </row>
    <row r="37" spans="2:7" x14ac:dyDescent="0.3">
      <c r="B37" s="1">
        <v>2055</v>
      </c>
      <c r="C37" s="4">
        <v>7.30113136862491</v>
      </c>
      <c r="D37" s="4">
        <v>8.08143347352852</v>
      </c>
      <c r="F37" s="4"/>
      <c r="G37" s="4"/>
    </row>
    <row r="38" spans="2:7" x14ac:dyDescent="0.3">
      <c r="B38" s="1">
        <v>2056</v>
      </c>
      <c r="C38" s="4">
        <v>7.40973204414815</v>
      </c>
      <c r="D38" s="4">
        <v>8.2413794845020991</v>
      </c>
      <c r="F38" s="4"/>
      <c r="G38" s="4"/>
    </row>
    <row r="39" spans="2:7" x14ac:dyDescent="0.3">
      <c r="B39" s="1">
        <v>2057</v>
      </c>
      <c r="C39" s="4">
        <v>7.5129314740019399</v>
      </c>
      <c r="D39" s="4">
        <v>8.3948250980991101</v>
      </c>
      <c r="F39" s="4"/>
      <c r="G39" s="4"/>
    </row>
    <row r="40" spans="2:7" x14ac:dyDescent="0.3">
      <c r="B40" s="1">
        <v>2058</v>
      </c>
      <c r="C40" s="4">
        <v>7.6068031209675002</v>
      </c>
      <c r="D40" s="4">
        <v>8.5368211301596997</v>
      </c>
      <c r="F40" s="4"/>
      <c r="G40" s="4"/>
    </row>
    <row r="41" spans="2:7" x14ac:dyDescent="0.3">
      <c r="B41" s="1">
        <v>2059</v>
      </c>
      <c r="C41" s="4">
        <v>7.6870241057120401</v>
      </c>
      <c r="D41" s="4">
        <v>8.6614355653204491</v>
      </c>
      <c r="F41" s="4"/>
      <c r="G41" s="4"/>
    </row>
    <row r="42" spans="2:7" x14ac:dyDescent="0.3">
      <c r="B42" s="1">
        <v>2060</v>
      </c>
      <c r="C42" s="4">
        <v>7.7613281744006501</v>
      </c>
      <c r="D42" s="4">
        <v>8.7798587309823102</v>
      </c>
      <c r="F42" s="4"/>
      <c r="G42" s="4"/>
    </row>
    <row r="43" spans="2:7" x14ac:dyDescent="0.3">
      <c r="B43" s="1">
        <v>2061</v>
      </c>
      <c r="C43" s="4">
        <v>7.8262069009444302</v>
      </c>
      <c r="D43" s="4">
        <v>8.8861021003565899</v>
      </c>
      <c r="F43" s="4"/>
      <c r="G43" s="4"/>
    </row>
    <row r="44" spans="2:7" x14ac:dyDescent="0.3">
      <c r="B44" s="1">
        <v>2062</v>
      </c>
      <c r="C44" s="4">
        <v>7.8799338917638</v>
      </c>
      <c r="D44" s="4">
        <v>8.9785304454236208</v>
      </c>
      <c r="F44" s="4"/>
      <c r="G44" s="4"/>
    </row>
    <row r="45" spans="2:7" x14ac:dyDescent="0.3">
      <c r="B45" s="1">
        <v>2063</v>
      </c>
      <c r="C45" s="4">
        <v>7.9256463208779797</v>
      </c>
      <c r="D45" s="4">
        <v>9.0618460370098699</v>
      </c>
      <c r="F45" s="4"/>
      <c r="G45" s="4"/>
    </row>
    <row r="46" spans="2:7" x14ac:dyDescent="0.3">
      <c r="B46" s="1">
        <v>2064</v>
      </c>
      <c r="C46" s="4">
        <v>7.9589175049837202</v>
      </c>
      <c r="D46" s="4">
        <v>9.12895464413163</v>
      </c>
      <c r="F46" s="4"/>
      <c r="G46" s="4"/>
    </row>
    <row r="47" spans="2:7" x14ac:dyDescent="0.3">
      <c r="B47" s="1">
        <v>2065</v>
      </c>
      <c r="C47" s="4">
        <v>7.9971588670221703</v>
      </c>
      <c r="D47" s="4">
        <v>9.2060567138408906</v>
      </c>
      <c r="F47" s="4"/>
      <c r="G47" s="4"/>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AEA4-A45E-4DED-8FA8-C23147A69BAA}">
  <sheetPr codeName="Sheet88"/>
  <dimension ref="B2:O48"/>
  <sheetViews>
    <sheetView workbookViewId="0"/>
  </sheetViews>
  <sheetFormatPr defaultRowHeight="15" x14ac:dyDescent="0.25"/>
  <cols>
    <col min="3" max="3" width="16.7109375" customWidth="1"/>
    <col min="4" max="4" width="16.42578125" customWidth="1"/>
    <col min="5" max="5" width="17" customWidth="1"/>
  </cols>
  <sheetData>
    <row r="2" spans="2:15" ht="16.5" x14ac:dyDescent="0.3">
      <c r="B2" s="18" t="s">
        <v>310</v>
      </c>
      <c r="C2" s="19"/>
      <c r="D2" s="19"/>
      <c r="E2" s="19"/>
      <c r="F2" s="19"/>
      <c r="G2" s="19"/>
      <c r="H2" s="19"/>
      <c r="I2" s="19"/>
    </row>
    <row r="3" spans="2:15" ht="16.5" x14ac:dyDescent="0.3">
      <c r="B3" s="32" t="s">
        <v>293</v>
      </c>
      <c r="C3" s="19"/>
      <c r="D3" s="19"/>
      <c r="E3" s="19"/>
      <c r="F3" s="19"/>
      <c r="G3" s="19"/>
      <c r="H3" s="19"/>
      <c r="I3" s="19"/>
    </row>
    <row r="5" spans="2:15" s="20" customFormat="1" ht="49.5" x14ac:dyDescent="0.3">
      <c r="B5" s="35"/>
      <c r="C5" s="35" t="s">
        <v>117</v>
      </c>
      <c r="D5" s="35" t="s">
        <v>118</v>
      </c>
      <c r="E5" s="35" t="s">
        <v>119</v>
      </c>
    </row>
    <row r="6" spans="2:15" s="20" customFormat="1" ht="16.5" x14ac:dyDescent="0.3">
      <c r="B6" s="35"/>
      <c r="C6" s="35" t="s">
        <v>3</v>
      </c>
      <c r="D6" s="35" t="s">
        <v>3</v>
      </c>
      <c r="E6" s="35" t="s">
        <v>3</v>
      </c>
    </row>
    <row r="7" spans="2:15" ht="16.5" x14ac:dyDescent="0.3">
      <c r="B7" s="1">
        <v>2024</v>
      </c>
      <c r="C7" s="4">
        <v>5.6188667388709197</v>
      </c>
      <c r="D7" s="4">
        <v>5.6188667398471503</v>
      </c>
      <c r="E7" s="4">
        <v>5.6104688613622598</v>
      </c>
      <c r="M7" s="5"/>
      <c r="N7" s="5"/>
      <c r="O7" s="5"/>
    </row>
    <row r="8" spans="2:15" ht="16.5" x14ac:dyDescent="0.3">
      <c r="B8" s="1">
        <v>2025</v>
      </c>
      <c r="C8" s="4">
        <v>5.6196707083363799</v>
      </c>
      <c r="D8" s="4">
        <v>5.6097557205157003</v>
      </c>
      <c r="E8" s="4">
        <v>5.6017531723304597</v>
      </c>
      <c r="M8" s="5"/>
      <c r="N8" s="5"/>
      <c r="O8" s="5"/>
    </row>
    <row r="9" spans="2:15" ht="16.5" x14ac:dyDescent="0.3">
      <c r="B9" s="1">
        <v>2026</v>
      </c>
      <c r="C9" s="4">
        <v>5.7404282508576401</v>
      </c>
      <c r="D9" s="4">
        <v>5.7748866736950903</v>
      </c>
      <c r="E9" s="4">
        <v>5.76654219422187</v>
      </c>
      <c r="M9" s="5"/>
      <c r="N9" s="5"/>
      <c r="O9" s="5"/>
    </row>
    <row r="10" spans="2:15" ht="16.5" x14ac:dyDescent="0.3">
      <c r="B10" s="1">
        <v>2027</v>
      </c>
      <c r="C10" s="4">
        <v>5.8737923191089401</v>
      </c>
      <c r="D10" s="4">
        <v>5.9383922088549497</v>
      </c>
      <c r="E10" s="4">
        <v>5.9294736602217304</v>
      </c>
      <c r="M10" s="5"/>
      <c r="N10" s="5"/>
      <c r="O10" s="5"/>
    </row>
    <row r="11" spans="2:15" ht="16.5" x14ac:dyDescent="0.3">
      <c r="B11" s="1">
        <v>2028</v>
      </c>
      <c r="C11" s="4">
        <v>5.9987272675829901</v>
      </c>
      <c r="D11" s="4">
        <v>6.0875902437087497</v>
      </c>
      <c r="E11" s="4">
        <v>6.07822306319754</v>
      </c>
      <c r="M11" s="5"/>
      <c r="N11" s="5"/>
      <c r="O11" s="5"/>
    </row>
    <row r="12" spans="2:15" ht="16.5" x14ac:dyDescent="0.3">
      <c r="B12" s="1">
        <v>2029</v>
      </c>
      <c r="C12" s="4">
        <v>6.10317953349647</v>
      </c>
      <c r="D12" s="4">
        <v>6.21461540630201</v>
      </c>
      <c r="E12" s="4">
        <v>6.2051122737432296</v>
      </c>
      <c r="M12" s="5"/>
      <c r="N12" s="5"/>
      <c r="O12" s="5"/>
    </row>
    <row r="13" spans="2:15" ht="16.5" x14ac:dyDescent="0.3">
      <c r="B13" s="1">
        <v>2030</v>
      </c>
      <c r="C13" s="4">
        <v>6.18780247703274</v>
      </c>
      <c r="D13" s="4">
        <v>6.3215592130128302</v>
      </c>
      <c r="E13" s="4">
        <v>5.9460364268996502</v>
      </c>
      <c r="M13" s="5"/>
      <c r="N13" s="5"/>
      <c r="O13" s="5"/>
    </row>
    <row r="14" spans="2:15" ht="16.5" x14ac:dyDescent="0.3">
      <c r="B14" s="1">
        <v>2031</v>
      </c>
      <c r="C14" s="4">
        <v>6.2570195891705698</v>
      </c>
      <c r="D14" s="4">
        <v>6.4117137150315404</v>
      </c>
      <c r="E14" s="4">
        <v>6.0440175868341104</v>
      </c>
      <c r="M14" s="5"/>
      <c r="N14" s="5"/>
      <c r="O14" s="5"/>
    </row>
    <row r="15" spans="2:15" ht="16.5" x14ac:dyDescent="0.3">
      <c r="B15" s="1">
        <v>2032</v>
      </c>
      <c r="C15" s="4">
        <v>6.3208897923174501</v>
      </c>
      <c r="D15" s="4">
        <v>6.4989963949678398</v>
      </c>
      <c r="E15" s="4">
        <v>6.1302466876280501</v>
      </c>
      <c r="M15" s="5"/>
      <c r="N15" s="5"/>
      <c r="O15" s="5"/>
    </row>
    <row r="16" spans="2:15" ht="16.5" x14ac:dyDescent="0.3">
      <c r="B16" s="1">
        <v>2033</v>
      </c>
      <c r="C16" s="4">
        <v>6.3842847990056999</v>
      </c>
      <c r="D16" s="4">
        <v>6.5859114554013098</v>
      </c>
      <c r="E16" s="4">
        <v>6.2143159178156404</v>
      </c>
      <c r="M16" s="5"/>
      <c r="N16" s="5"/>
      <c r="O16" s="5"/>
    </row>
    <row r="17" spans="2:15" ht="16.5" x14ac:dyDescent="0.3">
      <c r="B17" s="1">
        <v>2034</v>
      </c>
      <c r="C17" s="4">
        <v>6.4489107475698599</v>
      </c>
      <c r="D17" s="4">
        <v>6.6748489556088204</v>
      </c>
      <c r="E17" s="4">
        <v>6.2975876873202399</v>
      </c>
      <c r="M17" s="5"/>
      <c r="N17" s="5"/>
      <c r="O17" s="5"/>
    </row>
    <row r="18" spans="2:15" ht="16.5" x14ac:dyDescent="0.3">
      <c r="B18" s="1">
        <v>2035</v>
      </c>
      <c r="C18" s="4">
        <v>6.5079991232846801</v>
      </c>
      <c r="D18" s="4">
        <v>6.7580506751425604</v>
      </c>
      <c r="E18" s="4">
        <v>6.0212592323793102</v>
      </c>
      <c r="M18" s="5"/>
      <c r="N18" s="5"/>
      <c r="O18" s="5"/>
    </row>
    <row r="19" spans="2:15" ht="16.5" x14ac:dyDescent="0.3">
      <c r="B19" s="1">
        <v>2036</v>
      </c>
      <c r="C19" s="4">
        <v>6.5740943110448598</v>
      </c>
      <c r="D19" s="4">
        <v>6.8501554298168497</v>
      </c>
      <c r="E19" s="4">
        <v>6.1042643753481398</v>
      </c>
      <c r="M19" s="5"/>
      <c r="N19" s="5"/>
      <c r="O19" s="5"/>
    </row>
    <row r="20" spans="2:15" ht="16.5" x14ac:dyDescent="0.3">
      <c r="B20" s="1">
        <v>2037</v>
      </c>
      <c r="C20" s="4">
        <v>6.6302974542821298</v>
      </c>
      <c r="D20" s="4">
        <v>6.93134738366434</v>
      </c>
      <c r="E20" s="4">
        <v>6.18002135987145</v>
      </c>
      <c r="M20" s="5"/>
      <c r="N20" s="5"/>
      <c r="O20" s="5"/>
    </row>
    <row r="21" spans="2:15" ht="16.5" x14ac:dyDescent="0.3">
      <c r="B21" s="1">
        <v>2038</v>
      </c>
      <c r="C21" s="4">
        <v>6.6717814240523801</v>
      </c>
      <c r="D21" s="4">
        <v>6.9942686178846198</v>
      </c>
      <c r="E21" s="4">
        <v>6.2610237556278001</v>
      </c>
      <c r="M21" s="5"/>
      <c r="N21" s="5"/>
      <c r="O21" s="5"/>
    </row>
    <row r="22" spans="2:15" ht="16.5" x14ac:dyDescent="0.3">
      <c r="B22" s="1">
        <v>2039</v>
      </c>
      <c r="C22" s="4">
        <v>6.7017543335747796</v>
      </c>
      <c r="D22" s="4">
        <v>7.0442558956297701</v>
      </c>
      <c r="E22" s="4">
        <v>6.33404030187556</v>
      </c>
      <c r="M22" s="5"/>
      <c r="N22" s="5"/>
      <c r="O22" s="5"/>
    </row>
    <row r="23" spans="2:15" ht="16.5" x14ac:dyDescent="0.3">
      <c r="B23" s="1">
        <v>2040</v>
      </c>
      <c r="C23" s="4">
        <v>6.7129598275884801</v>
      </c>
      <c r="D23" s="4">
        <v>7.0717913895304196</v>
      </c>
      <c r="E23" s="4">
        <v>6.04190155263991</v>
      </c>
      <c r="M23" s="5"/>
      <c r="N23" s="5"/>
      <c r="O23" s="5"/>
    </row>
    <row r="24" spans="2:15" ht="16.5" x14ac:dyDescent="0.3">
      <c r="B24" s="1">
        <v>2041</v>
      </c>
      <c r="C24" s="4">
        <v>6.7128141973032802</v>
      </c>
      <c r="D24" s="4">
        <v>7.0872417553743601</v>
      </c>
      <c r="E24" s="4">
        <v>6.0908074742846701</v>
      </c>
      <c r="M24" s="5"/>
      <c r="N24" s="5"/>
      <c r="O24" s="5"/>
    </row>
    <row r="25" spans="2:15" ht="16.5" x14ac:dyDescent="0.3">
      <c r="B25" s="1">
        <v>2042</v>
      </c>
      <c r="C25" s="4">
        <v>6.7110574396309204</v>
      </c>
      <c r="D25" s="4">
        <v>7.1009387094579397</v>
      </c>
      <c r="E25" s="4">
        <v>6.1241296459140004</v>
      </c>
      <c r="M25" s="5"/>
      <c r="N25" s="5"/>
      <c r="O25" s="5"/>
    </row>
    <row r="26" spans="2:15" ht="16.5" x14ac:dyDescent="0.3">
      <c r="B26" s="1">
        <v>2043</v>
      </c>
      <c r="C26" s="4">
        <v>6.7011737293091302</v>
      </c>
      <c r="D26" s="4">
        <v>7.1053345415962301</v>
      </c>
      <c r="E26" s="4">
        <v>6.1385247742846598</v>
      </c>
      <c r="M26" s="5"/>
      <c r="N26" s="5"/>
      <c r="O26" s="5"/>
    </row>
    <row r="27" spans="2:15" ht="16.5" x14ac:dyDescent="0.3">
      <c r="B27" s="1">
        <v>2044</v>
      </c>
      <c r="C27" s="4">
        <v>6.7065257444010999</v>
      </c>
      <c r="D27" s="4">
        <v>7.13117846870135</v>
      </c>
      <c r="E27" s="4">
        <v>6.1531957369475698</v>
      </c>
      <c r="M27" s="5"/>
      <c r="N27" s="5"/>
      <c r="O27" s="5"/>
    </row>
    <row r="28" spans="2:15" ht="16.5" x14ac:dyDescent="0.3">
      <c r="B28" s="1">
        <v>2045</v>
      </c>
      <c r="C28" s="4">
        <v>6.7217978067030604</v>
      </c>
      <c r="D28" s="4">
        <v>7.1677855895698404</v>
      </c>
      <c r="E28" s="4">
        <v>6.1728606381721596</v>
      </c>
      <c r="M28" s="5"/>
      <c r="N28" s="5"/>
      <c r="O28" s="5"/>
    </row>
    <row r="29" spans="2:15" ht="16.5" x14ac:dyDescent="0.3">
      <c r="B29" s="1">
        <v>2046</v>
      </c>
      <c r="C29" s="4">
        <v>6.7414941477366597</v>
      </c>
      <c r="D29" s="4">
        <v>7.2084634202019604</v>
      </c>
      <c r="E29" s="4">
        <v>6.1869729736456902</v>
      </c>
      <c r="M29" s="5"/>
      <c r="N29" s="5"/>
      <c r="O29" s="5"/>
    </row>
    <row r="30" spans="2:15" ht="16.5" x14ac:dyDescent="0.3">
      <c r="B30" s="1">
        <v>2047</v>
      </c>
      <c r="C30" s="4">
        <v>6.7695177153328903</v>
      </c>
      <c r="D30" s="4">
        <v>7.2603770706271096</v>
      </c>
      <c r="E30" s="4">
        <v>6.2136743943020099</v>
      </c>
      <c r="M30" s="5"/>
      <c r="N30" s="5"/>
      <c r="O30" s="5"/>
    </row>
    <row r="31" spans="2:15" ht="16.5" x14ac:dyDescent="0.3">
      <c r="B31" s="1">
        <v>2048</v>
      </c>
      <c r="C31" s="4">
        <v>6.8066831074867604</v>
      </c>
      <c r="D31" s="4">
        <v>7.3242179416613604</v>
      </c>
      <c r="E31" s="4">
        <v>6.2484525708519296</v>
      </c>
      <c r="M31" s="5"/>
      <c r="N31" s="5"/>
      <c r="O31" s="5"/>
    </row>
    <row r="32" spans="2:15" ht="16.5" x14ac:dyDescent="0.3">
      <c r="B32" s="1">
        <v>2049</v>
      </c>
      <c r="C32" s="4">
        <v>6.8497415767005601</v>
      </c>
      <c r="D32" s="4">
        <v>7.3954874781786604</v>
      </c>
      <c r="E32" s="4">
        <v>6.2908741598057301</v>
      </c>
      <c r="M32" s="5"/>
      <c r="N32" s="5"/>
      <c r="O32" s="5"/>
    </row>
    <row r="33" spans="2:15" ht="16.5" x14ac:dyDescent="0.3">
      <c r="B33" s="1">
        <v>2050</v>
      </c>
      <c r="C33" s="4">
        <v>6.89889827366133</v>
      </c>
      <c r="D33" s="4">
        <v>7.47479064227677</v>
      </c>
      <c r="E33" s="4">
        <v>6.3425156406263303</v>
      </c>
      <c r="M33" s="5"/>
      <c r="N33" s="5"/>
      <c r="O33" s="5"/>
    </row>
    <row r="34" spans="2:15" ht="16.5" x14ac:dyDescent="0.3">
      <c r="B34" s="1">
        <v>2051</v>
      </c>
      <c r="C34" s="4">
        <v>6.9540617205715698</v>
      </c>
      <c r="D34" s="4">
        <v>7.5622776515701</v>
      </c>
      <c r="E34" s="4">
        <v>6.4052187702907704</v>
      </c>
      <c r="M34" s="5"/>
      <c r="N34" s="5"/>
      <c r="O34" s="5"/>
    </row>
    <row r="35" spans="2:15" ht="16.5" x14ac:dyDescent="0.3">
      <c r="B35" s="1">
        <v>2052</v>
      </c>
      <c r="C35" s="4">
        <v>7.0237525802960104</v>
      </c>
      <c r="D35" s="4">
        <v>7.6693441531143796</v>
      </c>
      <c r="E35" s="4">
        <v>6.47694380421032</v>
      </c>
      <c r="M35" s="5"/>
      <c r="N35" s="5"/>
      <c r="O35" s="5"/>
    </row>
    <row r="36" spans="2:15" ht="16.5" x14ac:dyDescent="0.3">
      <c r="B36" s="1">
        <v>2053</v>
      </c>
      <c r="C36" s="4">
        <v>7.1077869247074599</v>
      </c>
      <c r="D36" s="4">
        <v>7.79526015087432</v>
      </c>
      <c r="E36" s="4">
        <v>6.5590977105355099</v>
      </c>
      <c r="M36" s="5"/>
      <c r="N36" s="5"/>
      <c r="O36" s="5"/>
    </row>
    <row r="37" spans="2:15" ht="16.5" x14ac:dyDescent="0.3">
      <c r="B37" s="1">
        <v>2054</v>
      </c>
      <c r="C37" s="4">
        <v>7.1980731001903804</v>
      </c>
      <c r="D37" s="4">
        <v>7.9294511042333102</v>
      </c>
      <c r="E37" s="4">
        <v>6.6498257262670304</v>
      </c>
      <c r="M37" s="5"/>
      <c r="N37" s="5"/>
      <c r="O37" s="5"/>
    </row>
    <row r="38" spans="2:15" ht="16.5" x14ac:dyDescent="0.3">
      <c r="B38" s="1">
        <v>2055</v>
      </c>
      <c r="C38" s="4">
        <v>7.30113136862491</v>
      </c>
      <c r="D38" s="4">
        <v>8.08143347352852</v>
      </c>
      <c r="E38" s="4">
        <v>6.75902035979977</v>
      </c>
      <c r="M38" s="5"/>
      <c r="N38" s="5"/>
      <c r="O38" s="5"/>
    </row>
    <row r="39" spans="2:15" ht="16.5" x14ac:dyDescent="0.3">
      <c r="B39" s="1">
        <v>2056</v>
      </c>
      <c r="C39" s="4">
        <v>7.40973204414815</v>
      </c>
      <c r="D39" s="4">
        <v>8.2413794845020991</v>
      </c>
      <c r="E39" s="4">
        <v>6.8849331371967102</v>
      </c>
      <c r="M39" s="5"/>
      <c r="N39" s="5"/>
      <c r="O39" s="5"/>
    </row>
    <row r="40" spans="2:15" ht="16.5" x14ac:dyDescent="0.3">
      <c r="B40" s="1">
        <v>2057</v>
      </c>
      <c r="C40" s="4">
        <v>7.5129314740019399</v>
      </c>
      <c r="D40" s="4">
        <v>8.3948250980991101</v>
      </c>
      <c r="E40" s="4">
        <v>7.0157816122787997</v>
      </c>
      <c r="M40" s="5"/>
      <c r="N40" s="5"/>
      <c r="O40" s="5"/>
    </row>
    <row r="41" spans="2:15" ht="16.5" x14ac:dyDescent="0.3">
      <c r="B41" s="1">
        <v>2058</v>
      </c>
      <c r="C41" s="4">
        <v>7.6068031209675002</v>
      </c>
      <c r="D41" s="4">
        <v>8.5368211301596997</v>
      </c>
      <c r="E41" s="4">
        <v>7.1585529263240497</v>
      </c>
      <c r="M41" s="5"/>
      <c r="N41" s="5"/>
      <c r="O41" s="5"/>
    </row>
    <row r="42" spans="2:15" ht="16.5" x14ac:dyDescent="0.3">
      <c r="B42" s="1">
        <v>2059</v>
      </c>
      <c r="C42" s="4">
        <v>7.6870241057120401</v>
      </c>
      <c r="D42" s="4">
        <v>8.6614355653204491</v>
      </c>
      <c r="E42" s="4">
        <v>7.3037511451266299</v>
      </c>
      <c r="M42" s="5"/>
      <c r="N42" s="5"/>
      <c r="O42" s="5"/>
    </row>
    <row r="43" spans="2:15" ht="16.5" x14ac:dyDescent="0.3">
      <c r="B43" s="1">
        <v>2060</v>
      </c>
      <c r="C43" s="4">
        <v>7.7613281744006501</v>
      </c>
      <c r="D43" s="4">
        <v>8.7798587309823102</v>
      </c>
      <c r="E43" s="4">
        <v>7.44417498747372</v>
      </c>
      <c r="M43" s="5"/>
      <c r="N43" s="5"/>
      <c r="O43" s="5"/>
    </row>
    <row r="44" spans="2:15" ht="16.5" x14ac:dyDescent="0.3">
      <c r="B44" s="1">
        <v>2061</v>
      </c>
      <c r="C44" s="4">
        <v>7.8262069009444302</v>
      </c>
      <c r="D44" s="4">
        <v>8.8861021003565899</v>
      </c>
      <c r="E44" s="4">
        <v>7.5745900118920799</v>
      </c>
      <c r="M44" s="5"/>
      <c r="N44" s="5"/>
      <c r="O44" s="5"/>
    </row>
    <row r="45" spans="2:15" ht="16.5" x14ac:dyDescent="0.3">
      <c r="B45" s="1">
        <v>2062</v>
      </c>
      <c r="C45" s="4">
        <v>7.8799338917638</v>
      </c>
      <c r="D45" s="4">
        <v>8.9785304454236208</v>
      </c>
      <c r="E45" s="4">
        <v>7.6888490560145604</v>
      </c>
      <c r="M45" s="5"/>
      <c r="N45" s="5"/>
      <c r="O45" s="5"/>
    </row>
    <row r="46" spans="2:15" ht="16.5" x14ac:dyDescent="0.3">
      <c r="B46" s="1">
        <v>2063</v>
      </c>
      <c r="C46" s="4">
        <v>7.9256463208779797</v>
      </c>
      <c r="D46" s="4">
        <v>9.0618460370098699</v>
      </c>
      <c r="E46" s="4">
        <v>7.7940634926811097</v>
      </c>
      <c r="M46" s="5"/>
      <c r="N46" s="5"/>
      <c r="O46" s="5"/>
    </row>
    <row r="47" spans="2:15" ht="16.5" x14ac:dyDescent="0.3">
      <c r="B47" s="1">
        <v>2064</v>
      </c>
      <c r="C47" s="4">
        <v>7.9589175049837202</v>
      </c>
      <c r="D47" s="4">
        <v>9.12895464413163</v>
      </c>
      <c r="E47" s="4">
        <v>7.8847660556295303</v>
      </c>
      <c r="M47" s="5"/>
      <c r="N47" s="5"/>
      <c r="O47" s="5"/>
    </row>
    <row r="48" spans="2:15" ht="16.5" x14ac:dyDescent="0.3">
      <c r="B48" s="1">
        <v>2065</v>
      </c>
      <c r="C48" s="4">
        <v>7.9971588670221703</v>
      </c>
      <c r="D48" s="4">
        <v>9.2060567138408906</v>
      </c>
      <c r="E48" s="4">
        <v>7.9656282981581397</v>
      </c>
      <c r="M48" s="5"/>
      <c r="N48" s="5"/>
      <c r="O48" s="5"/>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599B2-381D-43FA-A63F-8600A064BC79}">
  <sheetPr codeName="Sheet85"/>
  <dimension ref="B2:I48"/>
  <sheetViews>
    <sheetView workbookViewId="0"/>
  </sheetViews>
  <sheetFormatPr defaultColWidth="8.7109375" defaultRowHeight="16.5" x14ac:dyDescent="0.3"/>
  <cols>
    <col min="1" max="2" width="8.7109375" style="1"/>
    <col min="3" max="3" width="15.7109375" style="1" customWidth="1"/>
    <col min="4" max="4" width="14.85546875" style="1" customWidth="1"/>
    <col min="5" max="5" width="17.85546875" style="1" customWidth="1"/>
    <col min="6" max="16384" width="8.7109375" style="1"/>
  </cols>
  <sheetData>
    <row r="2" spans="2:9" x14ac:dyDescent="0.3">
      <c r="B2" s="18" t="s">
        <v>311</v>
      </c>
      <c r="C2" s="32"/>
      <c r="D2" s="32"/>
      <c r="E2" s="32"/>
      <c r="F2" s="32"/>
      <c r="G2" s="32"/>
      <c r="H2" s="32"/>
      <c r="I2" s="32"/>
    </row>
    <row r="3" spans="2:9" x14ac:dyDescent="0.3">
      <c r="B3" s="32" t="s">
        <v>293</v>
      </c>
      <c r="C3" s="32"/>
      <c r="D3" s="32"/>
      <c r="E3" s="32"/>
      <c r="F3" s="32"/>
      <c r="G3" s="32"/>
      <c r="H3" s="32"/>
      <c r="I3" s="32"/>
    </row>
    <row r="5" spans="2:9" s="35" customFormat="1" ht="33" x14ac:dyDescent="0.3">
      <c r="C5" s="35" t="s">
        <v>111</v>
      </c>
      <c r="D5" s="35" t="s">
        <v>112</v>
      </c>
      <c r="E5" s="35" t="s">
        <v>113</v>
      </c>
    </row>
    <row r="6" spans="2:9" s="35" customFormat="1" x14ac:dyDescent="0.3">
      <c r="C6" s="35" t="s">
        <v>3</v>
      </c>
      <c r="D6" s="35" t="s">
        <v>3</v>
      </c>
      <c r="E6" s="35" t="s">
        <v>3</v>
      </c>
    </row>
    <row r="7" spans="2:9" x14ac:dyDescent="0.3">
      <c r="B7" s="1">
        <v>2024</v>
      </c>
      <c r="C7" s="4">
        <v>7</v>
      </c>
      <c r="D7" s="4">
        <v>7</v>
      </c>
      <c r="E7" s="4">
        <v>7</v>
      </c>
      <c r="G7" s="4"/>
      <c r="H7" s="4"/>
      <c r="I7" s="4"/>
    </row>
    <row r="8" spans="2:9" x14ac:dyDescent="0.3">
      <c r="B8" s="1">
        <v>2025</v>
      </c>
      <c r="C8" s="4">
        <v>6.93035268827518</v>
      </c>
      <c r="D8" s="4">
        <v>6.9860650837762899</v>
      </c>
      <c r="E8" s="4">
        <v>6.9660787086476104</v>
      </c>
      <c r="G8" s="4"/>
      <c r="H8" s="4"/>
      <c r="I8" s="4"/>
    </row>
    <row r="9" spans="2:9" x14ac:dyDescent="0.3">
      <c r="B9" s="1">
        <v>2026</v>
      </c>
      <c r="C9" s="4">
        <v>7.0572301364629899</v>
      </c>
      <c r="D9" s="4">
        <v>7.0981143988763504</v>
      </c>
      <c r="E9" s="4">
        <v>7.0576023716162402</v>
      </c>
      <c r="G9" s="4"/>
      <c r="H9" s="4"/>
      <c r="I9" s="4"/>
    </row>
    <row r="10" spans="2:9" x14ac:dyDescent="0.3">
      <c r="B10" s="1">
        <v>2027</v>
      </c>
      <c r="C10" s="4">
        <v>7.1813314038995699</v>
      </c>
      <c r="D10" s="4">
        <v>7.2162774122779103</v>
      </c>
      <c r="E10" s="4">
        <v>7.1527070491264499</v>
      </c>
      <c r="G10" s="4"/>
      <c r="H10" s="4"/>
      <c r="I10" s="4"/>
    </row>
    <row r="11" spans="2:9" x14ac:dyDescent="0.3">
      <c r="B11" s="1">
        <v>2028</v>
      </c>
      <c r="C11" s="4">
        <v>7.2890444048016203</v>
      </c>
      <c r="D11" s="4">
        <v>7.3207602741283102</v>
      </c>
      <c r="E11" s="4">
        <v>7.2330905816747197</v>
      </c>
      <c r="G11" s="4"/>
      <c r="H11" s="4"/>
      <c r="I11" s="4"/>
    </row>
    <row r="12" spans="2:9" x14ac:dyDescent="0.3">
      <c r="B12" s="1">
        <v>2029</v>
      </c>
      <c r="C12" s="4">
        <v>7.3926353779531402</v>
      </c>
      <c r="D12" s="4">
        <v>7.4209643658268201</v>
      </c>
      <c r="E12" s="4">
        <v>7.3095731972801303</v>
      </c>
      <c r="G12" s="4"/>
      <c r="H12" s="4"/>
      <c r="I12" s="4"/>
    </row>
    <row r="13" spans="2:9" x14ac:dyDescent="0.3">
      <c r="B13" s="1">
        <v>2030</v>
      </c>
      <c r="C13" s="4">
        <v>7.49454378468677</v>
      </c>
      <c r="D13" s="4">
        <v>7.51897004645111</v>
      </c>
      <c r="E13" s="4">
        <v>7.3710087127850699</v>
      </c>
      <c r="G13" s="4"/>
      <c r="H13" s="4"/>
      <c r="I13" s="4"/>
    </row>
    <row r="14" spans="2:9" x14ac:dyDescent="0.3">
      <c r="B14" s="1">
        <v>2031</v>
      </c>
      <c r="C14" s="4">
        <v>7.5922724850593903</v>
      </c>
      <c r="D14" s="4">
        <v>7.6132184483734999</v>
      </c>
      <c r="E14" s="4">
        <v>7.4433232882950202</v>
      </c>
      <c r="G14" s="4"/>
      <c r="H14" s="4"/>
      <c r="I14" s="4"/>
    </row>
    <row r="15" spans="2:9" x14ac:dyDescent="0.3">
      <c r="B15" s="1">
        <v>2032</v>
      </c>
      <c r="C15" s="4">
        <v>7.6994295611724199</v>
      </c>
      <c r="D15" s="4">
        <v>7.7162128346480801</v>
      </c>
      <c r="E15" s="4">
        <v>7.52327612966105</v>
      </c>
      <c r="G15" s="4"/>
      <c r="H15" s="4"/>
      <c r="I15" s="4"/>
    </row>
    <row r="16" spans="2:9" x14ac:dyDescent="0.3">
      <c r="B16" s="1">
        <v>2033</v>
      </c>
      <c r="C16" s="4">
        <v>7.7992209935864896</v>
      </c>
      <c r="D16" s="4">
        <v>7.8119505192206802</v>
      </c>
      <c r="E16" s="4">
        <v>7.59514087222672</v>
      </c>
      <c r="G16" s="4"/>
      <c r="H16" s="4"/>
      <c r="I16" s="4"/>
    </row>
    <row r="17" spans="2:9" x14ac:dyDescent="0.3">
      <c r="B17" s="1">
        <v>2034</v>
      </c>
      <c r="C17" s="4">
        <v>7.89798683965323</v>
      </c>
      <c r="D17" s="4">
        <v>7.9067416785067701</v>
      </c>
      <c r="E17" s="4">
        <v>7.6644032165711504</v>
      </c>
      <c r="G17" s="4"/>
      <c r="H17" s="4"/>
      <c r="I17" s="4"/>
    </row>
    <row r="18" spans="2:9" x14ac:dyDescent="0.3">
      <c r="B18" s="1">
        <v>2035</v>
      </c>
      <c r="C18" s="4">
        <v>7.9965879523866299</v>
      </c>
      <c r="D18" s="4">
        <v>8.0016356885037592</v>
      </c>
      <c r="E18" s="4">
        <v>7.7190859857074399</v>
      </c>
      <c r="G18" s="4"/>
      <c r="H18" s="4"/>
      <c r="I18" s="4"/>
    </row>
    <row r="19" spans="2:9" x14ac:dyDescent="0.3">
      <c r="B19" s="1">
        <v>2036</v>
      </c>
      <c r="C19" s="4">
        <v>8.0965199731822395</v>
      </c>
      <c r="D19" s="4">
        <v>8.0976340238530806</v>
      </c>
      <c r="E19" s="4">
        <v>7.7862061803483202</v>
      </c>
      <c r="G19" s="4"/>
      <c r="H19" s="4"/>
      <c r="I19" s="4"/>
    </row>
    <row r="20" spans="2:9" x14ac:dyDescent="0.3">
      <c r="B20" s="1">
        <v>2037</v>
      </c>
      <c r="C20" s="4">
        <v>8.1992935339856192</v>
      </c>
      <c r="D20" s="4">
        <v>8.1971211386610108</v>
      </c>
      <c r="E20" s="4">
        <v>7.8552455993972803</v>
      </c>
      <c r="G20" s="4"/>
      <c r="H20" s="4"/>
      <c r="I20" s="4"/>
    </row>
    <row r="21" spans="2:9" x14ac:dyDescent="0.3">
      <c r="B21" s="1">
        <v>2038</v>
      </c>
      <c r="C21" s="4">
        <v>8.29326495780575</v>
      </c>
      <c r="D21" s="4">
        <v>8.2889633680671206</v>
      </c>
      <c r="E21" s="4">
        <v>7.9183378378720803</v>
      </c>
      <c r="G21" s="4"/>
      <c r="H21" s="4"/>
      <c r="I21" s="4"/>
    </row>
    <row r="22" spans="2:9" x14ac:dyDescent="0.3">
      <c r="B22" s="1">
        <v>2039</v>
      </c>
      <c r="C22" s="4">
        <v>8.3832007882542001</v>
      </c>
      <c r="D22" s="4">
        <v>8.37712127174707</v>
      </c>
      <c r="E22" s="4">
        <v>7.9780085874597697</v>
      </c>
      <c r="G22" s="4"/>
      <c r="H22" s="4"/>
      <c r="I22" s="4"/>
    </row>
    <row r="23" spans="2:9" x14ac:dyDescent="0.3">
      <c r="B23" s="1">
        <v>2040</v>
      </c>
      <c r="C23" s="4">
        <v>8.4671899951226095</v>
      </c>
      <c r="D23" s="4">
        <v>8.4604402879423901</v>
      </c>
      <c r="E23" s="4">
        <v>8.0239638697188305</v>
      </c>
      <c r="G23" s="4"/>
      <c r="H23" s="4"/>
      <c r="I23" s="4"/>
    </row>
    <row r="24" spans="2:9" x14ac:dyDescent="0.3">
      <c r="B24" s="1">
        <v>2041</v>
      </c>
      <c r="C24" s="4">
        <v>8.5507327031224207</v>
      </c>
      <c r="D24" s="4">
        <v>8.5430651707080294</v>
      </c>
      <c r="E24" s="4">
        <v>8.0807483092917103</v>
      </c>
      <c r="G24" s="4"/>
      <c r="H24" s="4"/>
      <c r="I24" s="4"/>
    </row>
    <row r="25" spans="2:9" x14ac:dyDescent="0.3">
      <c r="B25" s="1">
        <v>2042</v>
      </c>
      <c r="C25" s="4">
        <v>8.6327976708907705</v>
      </c>
      <c r="D25" s="4">
        <v>8.6241630427408502</v>
      </c>
      <c r="E25" s="4">
        <v>8.1349388009289108</v>
      </c>
      <c r="G25" s="4"/>
      <c r="H25" s="4"/>
      <c r="I25" s="4"/>
    </row>
    <row r="26" spans="2:9" x14ac:dyDescent="0.3">
      <c r="B26" s="1">
        <v>2043</v>
      </c>
      <c r="C26" s="4">
        <v>8.7129712595600601</v>
      </c>
      <c r="D26" s="4">
        <v>8.7036620934197906</v>
      </c>
      <c r="E26" s="4">
        <v>8.1880803880952406</v>
      </c>
      <c r="G26" s="4"/>
      <c r="H26" s="4"/>
      <c r="I26" s="4"/>
    </row>
    <row r="27" spans="2:9" x14ac:dyDescent="0.3">
      <c r="B27" s="1">
        <v>2044</v>
      </c>
      <c r="C27" s="4">
        <v>8.8037720579040606</v>
      </c>
      <c r="D27" s="4">
        <v>8.7918989033011297</v>
      </c>
      <c r="E27" s="4">
        <v>8.2477439330170803</v>
      </c>
      <c r="G27" s="4"/>
      <c r="H27" s="4"/>
      <c r="I27" s="4"/>
    </row>
    <row r="28" spans="2:9" x14ac:dyDescent="0.3">
      <c r="B28" s="1">
        <v>2045</v>
      </c>
      <c r="C28" s="4">
        <v>8.8960859002455805</v>
      </c>
      <c r="D28" s="4">
        <v>8.8820970977302398</v>
      </c>
      <c r="E28" s="4">
        <v>8.3085641937323196</v>
      </c>
      <c r="G28" s="4"/>
      <c r="H28" s="4"/>
      <c r="I28" s="4"/>
    </row>
    <row r="29" spans="2:9" x14ac:dyDescent="0.3">
      <c r="B29" s="1">
        <v>2046</v>
      </c>
      <c r="C29" s="4">
        <v>8.9874541059843196</v>
      </c>
      <c r="D29" s="4">
        <v>8.9720467139965301</v>
      </c>
      <c r="E29" s="4">
        <v>8.3688973710422196</v>
      </c>
      <c r="G29" s="4"/>
      <c r="H29" s="4"/>
      <c r="I29" s="4"/>
    </row>
    <row r="30" spans="2:9" x14ac:dyDescent="0.3">
      <c r="B30" s="1">
        <v>2047</v>
      </c>
      <c r="C30" s="4">
        <v>9.0824819578884792</v>
      </c>
      <c r="D30" s="4">
        <v>9.0650561410972799</v>
      </c>
      <c r="E30" s="4">
        <v>8.4314668523987297</v>
      </c>
      <c r="G30" s="4"/>
      <c r="H30" s="4"/>
      <c r="I30" s="4"/>
    </row>
    <row r="31" spans="2:9" x14ac:dyDescent="0.3">
      <c r="B31" s="1">
        <v>2048</v>
      </c>
      <c r="C31" s="4">
        <v>9.1806002960462703</v>
      </c>
      <c r="D31" s="4">
        <v>9.1606700191972106</v>
      </c>
      <c r="E31" s="4">
        <v>8.4955898325019898</v>
      </c>
      <c r="G31" s="4"/>
      <c r="H31" s="4"/>
      <c r="I31" s="4"/>
    </row>
    <row r="32" spans="2:9" x14ac:dyDescent="0.3">
      <c r="B32" s="1">
        <v>2049</v>
      </c>
      <c r="C32" s="4">
        <v>9.2802364419226802</v>
      </c>
      <c r="D32" s="4">
        <v>9.2575621342284808</v>
      </c>
      <c r="E32" s="4">
        <v>8.5611642313762601</v>
      </c>
      <c r="G32" s="4"/>
      <c r="H32" s="4"/>
      <c r="I32" s="4"/>
    </row>
    <row r="33" spans="2:9" x14ac:dyDescent="0.3">
      <c r="B33" s="1">
        <v>2050</v>
      </c>
      <c r="C33" s="4">
        <v>9.3816057922831</v>
      </c>
      <c r="D33" s="4">
        <v>9.3557110542912998</v>
      </c>
      <c r="E33" s="4">
        <v>8.6281388983443392</v>
      </c>
      <c r="G33" s="4"/>
      <c r="H33" s="4"/>
      <c r="I33" s="4"/>
    </row>
    <row r="34" spans="2:9" x14ac:dyDescent="0.3">
      <c r="B34" s="1">
        <v>2051</v>
      </c>
      <c r="C34" s="4">
        <v>9.4863832502306504</v>
      </c>
      <c r="D34" s="4">
        <v>9.4569209940735703</v>
      </c>
      <c r="E34" s="4">
        <v>8.6984438453870503</v>
      </c>
      <c r="G34" s="4"/>
      <c r="H34" s="4"/>
      <c r="I34" s="4"/>
    </row>
    <row r="35" spans="2:9" x14ac:dyDescent="0.3">
      <c r="B35" s="1">
        <v>2052</v>
      </c>
      <c r="C35" s="4">
        <v>9.5977588225832005</v>
      </c>
      <c r="D35" s="4">
        <v>9.56329725876477</v>
      </c>
      <c r="E35" s="4">
        <v>8.77218086714797</v>
      </c>
      <c r="G35" s="4"/>
      <c r="H35" s="4"/>
      <c r="I35" s="4"/>
    </row>
    <row r="36" spans="2:9" x14ac:dyDescent="0.3">
      <c r="B36" s="1">
        <v>2053</v>
      </c>
      <c r="C36" s="4">
        <v>9.7148334984642695</v>
      </c>
      <c r="D36" s="4">
        <v>9.6747123684786605</v>
      </c>
      <c r="E36" s="4">
        <v>8.84862292411791</v>
      </c>
      <c r="G36" s="4"/>
      <c r="H36" s="4"/>
      <c r="I36" s="4"/>
    </row>
    <row r="37" spans="2:9" x14ac:dyDescent="0.3">
      <c r="B37" s="1">
        <v>2054</v>
      </c>
      <c r="C37" s="4">
        <v>9.8350004715770396</v>
      </c>
      <c r="D37" s="4">
        <v>9.7895191911865602</v>
      </c>
      <c r="E37" s="4">
        <v>8.9274106205087698</v>
      </c>
      <c r="G37" s="4"/>
      <c r="H37" s="4"/>
      <c r="I37" s="4"/>
    </row>
    <row r="38" spans="2:9" x14ac:dyDescent="0.3">
      <c r="B38" s="1">
        <v>2055</v>
      </c>
      <c r="C38" s="4">
        <v>9.9611679596601999</v>
      </c>
      <c r="D38" s="4">
        <v>9.9099228557899703</v>
      </c>
      <c r="E38" s="4">
        <v>9.0079027679902897</v>
      </c>
      <c r="G38" s="4"/>
      <c r="H38" s="4"/>
      <c r="I38" s="4"/>
    </row>
    <row r="39" spans="2:9" x14ac:dyDescent="0.3">
      <c r="B39" s="1">
        <v>2056</v>
      </c>
      <c r="C39" s="4">
        <v>10.0912383758556</v>
      </c>
      <c r="D39" s="4">
        <v>10.034143815519601</v>
      </c>
      <c r="E39" s="4">
        <v>9.0896150152097004</v>
      </c>
      <c r="G39" s="4"/>
      <c r="H39" s="4"/>
      <c r="I39" s="4"/>
    </row>
    <row r="40" spans="2:9" x14ac:dyDescent="0.3">
      <c r="B40" s="1">
        <v>2057</v>
      </c>
      <c r="C40" s="4">
        <v>10.221379582268501</v>
      </c>
      <c r="D40" s="4">
        <v>10.158836506241601</v>
      </c>
      <c r="E40" s="4">
        <v>9.1713450476625695</v>
      </c>
      <c r="G40" s="4"/>
      <c r="H40" s="4"/>
      <c r="I40" s="4"/>
    </row>
    <row r="41" spans="2:9" x14ac:dyDescent="0.3">
      <c r="B41" s="1">
        <v>2058</v>
      </c>
      <c r="C41" s="4">
        <v>10.3491030267204</v>
      </c>
      <c r="D41" s="4">
        <v>10.2816404388564</v>
      </c>
      <c r="E41" s="4">
        <v>9.2518078585105901</v>
      </c>
      <c r="G41" s="4"/>
      <c r="H41" s="4"/>
      <c r="I41" s="4"/>
    </row>
    <row r="42" spans="2:9" x14ac:dyDescent="0.3">
      <c r="B42" s="1">
        <v>2059</v>
      </c>
      <c r="C42" s="4">
        <v>10.4722190265951</v>
      </c>
      <c r="D42" s="4">
        <v>10.400837690836701</v>
      </c>
      <c r="E42" s="4">
        <v>9.3298394697587206</v>
      </c>
      <c r="G42" s="4"/>
      <c r="H42" s="4"/>
      <c r="I42" s="4"/>
    </row>
    <row r="43" spans="2:9" x14ac:dyDescent="0.3">
      <c r="B43" s="1">
        <v>2060</v>
      </c>
      <c r="C43" s="4">
        <v>10.5947083656632</v>
      </c>
      <c r="D43" s="4">
        <v>10.519423236125</v>
      </c>
      <c r="E43" s="4">
        <v>9.4058376984089502</v>
      </c>
      <c r="G43" s="4"/>
      <c r="H43" s="4"/>
      <c r="I43" s="4"/>
    </row>
    <row r="44" spans="2:9" x14ac:dyDescent="0.3">
      <c r="B44" s="1">
        <v>2061</v>
      </c>
      <c r="C44" s="4">
        <v>10.712748407020801</v>
      </c>
      <c r="D44" s="4">
        <v>10.6343163902041</v>
      </c>
      <c r="E44" s="4">
        <v>9.4783187537969198</v>
      </c>
      <c r="G44" s="4"/>
      <c r="H44" s="4"/>
      <c r="I44" s="4"/>
    </row>
    <row r="45" spans="2:9" x14ac:dyDescent="0.3">
      <c r="B45" s="1">
        <v>2062</v>
      </c>
      <c r="C45" s="4">
        <v>10.829335077866</v>
      </c>
      <c r="D45" s="4">
        <v>10.7483905195972</v>
      </c>
      <c r="E45" s="4">
        <v>9.5500235529138493</v>
      </c>
      <c r="G45" s="4"/>
      <c r="H45" s="4"/>
      <c r="I45" s="4"/>
    </row>
    <row r="46" spans="2:9" x14ac:dyDescent="0.3">
      <c r="B46" s="1">
        <v>2063</v>
      </c>
      <c r="C46" s="4">
        <v>10.9465882037338</v>
      </c>
      <c r="D46" s="4">
        <v>10.862994737097701</v>
      </c>
      <c r="E46" s="4">
        <v>9.6215145571187204</v>
      </c>
      <c r="G46" s="4"/>
      <c r="H46" s="4"/>
      <c r="I46" s="4"/>
    </row>
    <row r="47" spans="2:9" x14ac:dyDescent="0.3">
      <c r="B47" s="1">
        <v>2064</v>
      </c>
      <c r="C47" s="4">
        <v>11.062025794014501</v>
      </c>
      <c r="D47" s="4">
        <v>10.976538143121701</v>
      </c>
      <c r="E47" s="4">
        <v>9.6926047263411697</v>
      </c>
      <c r="G47" s="4"/>
      <c r="H47" s="4"/>
      <c r="I47" s="4"/>
    </row>
    <row r="48" spans="2:9" x14ac:dyDescent="0.3">
      <c r="B48" s="1">
        <v>2065</v>
      </c>
      <c r="C48" s="4">
        <v>11.186237423478801</v>
      </c>
      <c r="D48" s="4">
        <v>11.097462038665199</v>
      </c>
      <c r="E48" s="4">
        <v>9.7663919426904506</v>
      </c>
      <c r="G48" s="4"/>
      <c r="H48" s="4"/>
      <c r="I48" s="4"/>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144E-F475-4E82-8935-1EC165F4D4DF}">
  <sheetPr codeName="Sheet91"/>
  <dimension ref="B2:K48"/>
  <sheetViews>
    <sheetView workbookViewId="0"/>
  </sheetViews>
  <sheetFormatPr defaultColWidth="8.7109375" defaultRowHeight="16.5" x14ac:dyDescent="0.3"/>
  <cols>
    <col min="1" max="2" width="8.7109375" style="1"/>
    <col min="3" max="3" width="12" style="1" customWidth="1"/>
    <col min="4" max="4" width="14" style="1" customWidth="1"/>
    <col min="5" max="5" width="13.7109375" style="1" customWidth="1"/>
    <col min="6" max="16384" width="8.7109375" style="1"/>
  </cols>
  <sheetData>
    <row r="2" spans="2:11" x14ac:dyDescent="0.3">
      <c r="B2" s="98" t="s">
        <v>312</v>
      </c>
      <c r="C2" s="32"/>
      <c r="D2" s="32"/>
      <c r="E2" s="32"/>
      <c r="F2" s="32"/>
      <c r="G2" s="38"/>
      <c r="H2" s="38"/>
      <c r="I2" s="38"/>
      <c r="J2" s="38"/>
      <c r="K2" s="38"/>
    </row>
    <row r="3" spans="2:11" x14ac:dyDescent="0.3">
      <c r="B3" s="32" t="s">
        <v>293</v>
      </c>
      <c r="C3" s="32"/>
      <c r="D3" s="32"/>
      <c r="E3" s="32"/>
      <c r="F3" s="32"/>
      <c r="G3" s="38"/>
      <c r="H3" s="38"/>
      <c r="I3" s="38"/>
      <c r="J3" s="38"/>
      <c r="K3" s="38"/>
    </row>
    <row r="5" spans="2:11" s="35" customFormat="1" ht="66" x14ac:dyDescent="0.3">
      <c r="C5" s="35" t="s">
        <v>114</v>
      </c>
      <c r="D5" s="35" t="s">
        <v>115</v>
      </c>
      <c r="E5" s="35" t="s">
        <v>116</v>
      </c>
    </row>
    <row r="6" spans="2:11" s="35" customFormat="1" x14ac:dyDescent="0.3">
      <c r="C6" s="35" t="s">
        <v>3</v>
      </c>
      <c r="D6" s="35" t="s">
        <v>3</v>
      </c>
      <c r="E6" s="35" t="s">
        <v>3</v>
      </c>
    </row>
    <row r="7" spans="2:11" x14ac:dyDescent="0.3">
      <c r="B7" s="1">
        <v>2024</v>
      </c>
      <c r="C7" s="4">
        <v>13</v>
      </c>
      <c r="D7" s="4">
        <v>13</v>
      </c>
      <c r="E7" s="4">
        <v>13</v>
      </c>
      <c r="G7" s="4"/>
      <c r="H7" s="4"/>
      <c r="I7" s="4"/>
    </row>
    <row r="8" spans="2:11" x14ac:dyDescent="0.3">
      <c r="B8" s="1">
        <v>2025</v>
      </c>
      <c r="C8" s="4">
        <v>13</v>
      </c>
      <c r="D8" s="4">
        <v>13</v>
      </c>
      <c r="E8" s="4">
        <v>12.9666760662897</v>
      </c>
      <c r="G8" s="4"/>
      <c r="H8" s="4"/>
      <c r="I8" s="4"/>
    </row>
    <row r="9" spans="2:11" x14ac:dyDescent="0.3">
      <c r="B9" s="1">
        <v>2026</v>
      </c>
      <c r="C9" s="4">
        <v>13</v>
      </c>
      <c r="D9" s="4">
        <v>13</v>
      </c>
      <c r="E9" s="4">
        <v>12.933340990181501</v>
      </c>
      <c r="G9" s="4"/>
      <c r="H9" s="4"/>
      <c r="I9" s="4"/>
    </row>
    <row r="10" spans="2:11" x14ac:dyDescent="0.3">
      <c r="B10" s="1">
        <v>2027</v>
      </c>
      <c r="C10" s="4">
        <v>13</v>
      </c>
      <c r="D10" s="4">
        <v>13</v>
      </c>
      <c r="E10" s="4">
        <v>12.9000054197918</v>
      </c>
      <c r="G10" s="4"/>
      <c r="H10" s="4"/>
      <c r="I10" s="4"/>
    </row>
    <row r="11" spans="2:11" x14ac:dyDescent="0.3">
      <c r="B11" s="1">
        <v>2028</v>
      </c>
      <c r="C11" s="4">
        <v>13</v>
      </c>
      <c r="D11" s="4">
        <v>13</v>
      </c>
      <c r="E11" s="4">
        <v>12.866669557726899</v>
      </c>
      <c r="G11" s="4"/>
      <c r="H11" s="4"/>
      <c r="I11" s="4"/>
    </row>
    <row r="12" spans="2:11" x14ac:dyDescent="0.3">
      <c r="B12" s="1">
        <v>2029</v>
      </c>
      <c r="C12" s="4">
        <v>13</v>
      </c>
      <c r="D12" s="4">
        <v>13</v>
      </c>
      <c r="E12" s="4">
        <v>12.833334064182999</v>
      </c>
      <c r="G12" s="4"/>
      <c r="H12" s="4"/>
      <c r="I12" s="4"/>
    </row>
    <row r="13" spans="2:11" x14ac:dyDescent="0.3">
      <c r="B13" s="1">
        <v>2030</v>
      </c>
      <c r="C13" s="4">
        <v>13</v>
      </c>
      <c r="D13" s="4">
        <v>13</v>
      </c>
      <c r="E13" s="4">
        <v>12.8000003661269</v>
      </c>
      <c r="G13" s="4"/>
      <c r="H13" s="4"/>
      <c r="I13" s="4"/>
    </row>
    <row r="14" spans="2:11" x14ac:dyDescent="0.3">
      <c r="B14" s="1">
        <v>2031</v>
      </c>
      <c r="C14" s="4">
        <v>13</v>
      </c>
      <c r="D14" s="4">
        <v>13</v>
      </c>
      <c r="E14" s="4">
        <v>12.7666648269073</v>
      </c>
      <c r="G14" s="4"/>
      <c r="H14" s="4"/>
      <c r="I14" s="4"/>
    </row>
    <row r="15" spans="2:11" x14ac:dyDescent="0.3">
      <c r="B15" s="1">
        <v>2032</v>
      </c>
      <c r="C15" s="4">
        <v>13</v>
      </c>
      <c r="D15" s="4">
        <v>13</v>
      </c>
      <c r="E15" s="4">
        <v>12.7333297748145</v>
      </c>
      <c r="G15" s="4"/>
      <c r="H15" s="4"/>
      <c r="I15" s="4"/>
    </row>
    <row r="16" spans="2:11" x14ac:dyDescent="0.3">
      <c r="B16" s="1">
        <v>2033</v>
      </c>
      <c r="C16" s="4">
        <v>13</v>
      </c>
      <c r="D16" s="4">
        <v>13</v>
      </c>
      <c r="E16" s="4">
        <v>12.6999951371132</v>
      </c>
      <c r="G16" s="4"/>
      <c r="H16" s="4"/>
      <c r="I16" s="4"/>
    </row>
    <row r="17" spans="2:9" x14ac:dyDescent="0.3">
      <c r="B17" s="1">
        <v>2034</v>
      </c>
      <c r="C17" s="4">
        <v>13</v>
      </c>
      <c r="D17" s="4">
        <v>13</v>
      </c>
      <c r="E17" s="4">
        <v>12.666660803519701</v>
      </c>
      <c r="G17" s="4"/>
      <c r="H17" s="4"/>
      <c r="I17" s="4"/>
    </row>
    <row r="18" spans="2:9" x14ac:dyDescent="0.3">
      <c r="B18" s="1">
        <v>2035</v>
      </c>
      <c r="C18" s="4">
        <v>13</v>
      </c>
      <c r="D18" s="4">
        <v>13</v>
      </c>
      <c r="E18" s="4">
        <v>12.6333276778971</v>
      </c>
      <c r="G18" s="4"/>
      <c r="H18" s="4"/>
      <c r="I18" s="4"/>
    </row>
    <row r="19" spans="2:9" x14ac:dyDescent="0.3">
      <c r="B19" s="1">
        <v>2036</v>
      </c>
      <c r="C19" s="4">
        <v>13</v>
      </c>
      <c r="D19" s="4">
        <v>13</v>
      </c>
      <c r="E19" s="4">
        <v>12.5999934894337</v>
      </c>
      <c r="G19" s="4"/>
      <c r="H19" s="4"/>
      <c r="I19" s="4"/>
    </row>
    <row r="20" spans="2:9" x14ac:dyDescent="0.3">
      <c r="B20" s="1">
        <v>2037</v>
      </c>
      <c r="C20" s="4">
        <v>13</v>
      </c>
      <c r="D20" s="4">
        <v>13</v>
      </c>
      <c r="E20" s="4">
        <v>12.5666590855464</v>
      </c>
      <c r="G20" s="4"/>
      <c r="H20" s="4"/>
      <c r="I20" s="4"/>
    </row>
    <row r="21" spans="2:9" x14ac:dyDescent="0.3">
      <c r="B21" s="1">
        <v>2038</v>
      </c>
      <c r="C21" s="4">
        <v>13</v>
      </c>
      <c r="D21" s="4">
        <v>13</v>
      </c>
      <c r="E21" s="4">
        <v>12.533325470495599</v>
      </c>
      <c r="G21" s="4"/>
      <c r="H21" s="4"/>
      <c r="I21" s="4"/>
    </row>
    <row r="22" spans="2:9" x14ac:dyDescent="0.3">
      <c r="B22" s="1">
        <v>2039</v>
      </c>
      <c r="C22" s="4">
        <v>13</v>
      </c>
      <c r="D22" s="4">
        <v>13</v>
      </c>
      <c r="E22" s="4">
        <v>12.4999919205569</v>
      </c>
      <c r="G22" s="4"/>
      <c r="H22" s="4"/>
      <c r="I22" s="4"/>
    </row>
    <row r="23" spans="2:9" x14ac:dyDescent="0.3">
      <c r="B23" s="1">
        <v>2040</v>
      </c>
      <c r="C23" s="4">
        <v>13</v>
      </c>
      <c r="D23" s="4">
        <v>13</v>
      </c>
      <c r="E23" s="4">
        <v>12.4666590285817</v>
      </c>
      <c r="G23" s="4"/>
      <c r="H23" s="4"/>
      <c r="I23" s="4"/>
    </row>
    <row r="24" spans="2:9" x14ac:dyDescent="0.3">
      <c r="B24" s="1">
        <v>2041</v>
      </c>
      <c r="C24" s="4">
        <v>13</v>
      </c>
      <c r="D24" s="4">
        <v>13</v>
      </c>
      <c r="E24" s="4">
        <v>12.4333251433786</v>
      </c>
      <c r="G24" s="4"/>
      <c r="H24" s="4"/>
      <c r="I24" s="4"/>
    </row>
    <row r="25" spans="2:9" x14ac:dyDescent="0.3">
      <c r="B25" s="1">
        <v>2042</v>
      </c>
      <c r="C25" s="4">
        <v>13</v>
      </c>
      <c r="D25" s="4">
        <v>13</v>
      </c>
      <c r="E25" s="4">
        <v>12.3999912808769</v>
      </c>
      <c r="G25" s="4"/>
      <c r="H25" s="4"/>
      <c r="I25" s="4"/>
    </row>
    <row r="26" spans="2:9" x14ac:dyDescent="0.3">
      <c r="B26" s="1">
        <v>2043</v>
      </c>
      <c r="C26" s="4">
        <v>13</v>
      </c>
      <c r="D26" s="4">
        <v>13</v>
      </c>
      <c r="E26" s="4">
        <v>12.366657713419601</v>
      </c>
      <c r="G26" s="4"/>
      <c r="H26" s="4"/>
      <c r="I26" s="4"/>
    </row>
    <row r="27" spans="2:9" x14ac:dyDescent="0.3">
      <c r="B27" s="1">
        <v>2044</v>
      </c>
      <c r="C27" s="4">
        <v>13</v>
      </c>
      <c r="D27" s="4">
        <v>13</v>
      </c>
      <c r="E27" s="4">
        <v>12.333324126638599</v>
      </c>
      <c r="G27" s="4"/>
      <c r="H27" s="4"/>
      <c r="I27" s="4"/>
    </row>
    <row r="28" spans="2:9" x14ac:dyDescent="0.3">
      <c r="B28" s="1">
        <v>2045</v>
      </c>
      <c r="C28" s="4">
        <v>13</v>
      </c>
      <c r="D28" s="4">
        <v>13</v>
      </c>
      <c r="E28" s="4">
        <v>12.2999911240433</v>
      </c>
      <c r="G28" s="4"/>
      <c r="H28" s="4"/>
      <c r="I28" s="4"/>
    </row>
    <row r="29" spans="2:9" x14ac:dyDescent="0.3">
      <c r="B29" s="1">
        <v>2046</v>
      </c>
      <c r="C29" s="4">
        <v>13</v>
      </c>
      <c r="D29" s="4">
        <v>13</v>
      </c>
      <c r="E29" s="4">
        <v>12.266658101506099</v>
      </c>
      <c r="G29" s="4"/>
      <c r="H29" s="4"/>
      <c r="I29" s="4"/>
    </row>
    <row r="30" spans="2:9" x14ac:dyDescent="0.3">
      <c r="B30" s="1">
        <v>2047</v>
      </c>
      <c r="C30" s="4">
        <v>13</v>
      </c>
      <c r="D30" s="4">
        <v>13</v>
      </c>
      <c r="E30" s="4">
        <v>12.2333243961597</v>
      </c>
      <c r="G30" s="4"/>
      <c r="H30" s="4"/>
      <c r="I30" s="4"/>
    </row>
    <row r="31" spans="2:9" x14ac:dyDescent="0.3">
      <c r="B31" s="1">
        <v>2048</v>
      </c>
      <c r="C31" s="4">
        <v>13</v>
      </c>
      <c r="D31" s="4">
        <v>13</v>
      </c>
      <c r="E31" s="4">
        <v>12.1999912294179</v>
      </c>
      <c r="G31" s="4"/>
      <c r="H31" s="4"/>
      <c r="I31" s="4"/>
    </row>
    <row r="32" spans="2:9" x14ac:dyDescent="0.3">
      <c r="B32" s="1">
        <v>2049</v>
      </c>
      <c r="C32" s="4">
        <v>13</v>
      </c>
      <c r="D32" s="4">
        <v>13</v>
      </c>
      <c r="E32" s="4">
        <v>12.1666578983608</v>
      </c>
      <c r="G32" s="4"/>
      <c r="H32" s="4"/>
      <c r="I32" s="4"/>
    </row>
    <row r="33" spans="2:9" x14ac:dyDescent="0.3">
      <c r="B33" s="1">
        <v>2050</v>
      </c>
      <c r="C33" s="4">
        <v>13</v>
      </c>
      <c r="D33" s="4">
        <v>13</v>
      </c>
      <c r="E33" s="4">
        <v>12.133323811442001</v>
      </c>
      <c r="G33" s="4"/>
      <c r="H33" s="4"/>
      <c r="I33" s="4"/>
    </row>
    <row r="34" spans="2:9" x14ac:dyDescent="0.3">
      <c r="B34" s="1">
        <v>2051</v>
      </c>
      <c r="C34" s="4">
        <v>13</v>
      </c>
      <c r="D34" s="4">
        <v>13</v>
      </c>
      <c r="E34" s="4">
        <v>12.099990471590999</v>
      </c>
      <c r="G34" s="4"/>
      <c r="H34" s="4"/>
      <c r="I34" s="4"/>
    </row>
    <row r="35" spans="2:9" x14ac:dyDescent="0.3">
      <c r="B35" s="1">
        <v>2052</v>
      </c>
      <c r="C35" s="4">
        <v>13</v>
      </c>
      <c r="D35" s="4">
        <v>13</v>
      </c>
      <c r="E35" s="4">
        <v>12.0666578560833</v>
      </c>
      <c r="G35" s="4"/>
      <c r="H35" s="4"/>
      <c r="I35" s="4"/>
    </row>
    <row r="36" spans="2:9" x14ac:dyDescent="0.3">
      <c r="B36" s="1">
        <v>2053</v>
      </c>
      <c r="C36" s="4">
        <v>13</v>
      </c>
      <c r="D36" s="4">
        <v>13</v>
      </c>
      <c r="E36" s="4">
        <v>12.0333245913308</v>
      </c>
      <c r="G36" s="4"/>
      <c r="H36" s="4"/>
      <c r="I36" s="4"/>
    </row>
    <row r="37" spans="2:9" x14ac:dyDescent="0.3">
      <c r="B37" s="1">
        <v>2054</v>
      </c>
      <c r="C37" s="4">
        <v>13</v>
      </c>
      <c r="D37" s="4">
        <v>13</v>
      </c>
      <c r="E37" s="4">
        <v>11.9999913573977</v>
      </c>
      <c r="G37" s="4"/>
      <c r="H37" s="4"/>
      <c r="I37" s="4"/>
    </row>
    <row r="38" spans="2:9" x14ac:dyDescent="0.3">
      <c r="B38" s="1">
        <v>2055</v>
      </c>
      <c r="C38" s="4">
        <v>13</v>
      </c>
      <c r="D38" s="4">
        <v>13</v>
      </c>
      <c r="E38" s="4">
        <v>11.9666579156446</v>
      </c>
      <c r="G38" s="4"/>
      <c r="H38" s="4"/>
      <c r="I38" s="4"/>
    </row>
    <row r="39" spans="2:9" x14ac:dyDescent="0.3">
      <c r="B39" s="1">
        <v>2056</v>
      </c>
      <c r="C39" s="4">
        <v>13</v>
      </c>
      <c r="D39" s="4">
        <v>13</v>
      </c>
      <c r="E39" s="4">
        <v>11.933324350344501</v>
      </c>
      <c r="G39" s="4"/>
      <c r="H39" s="4"/>
      <c r="I39" s="4"/>
    </row>
    <row r="40" spans="2:9" x14ac:dyDescent="0.3">
      <c r="B40" s="1">
        <v>2057</v>
      </c>
      <c r="C40" s="4">
        <v>13</v>
      </c>
      <c r="D40" s="4">
        <v>13</v>
      </c>
      <c r="E40" s="4">
        <v>11.899990922691099</v>
      </c>
      <c r="G40" s="4"/>
      <c r="H40" s="4"/>
      <c r="I40" s="4"/>
    </row>
    <row r="41" spans="2:9" x14ac:dyDescent="0.3">
      <c r="B41" s="1">
        <v>2058</v>
      </c>
      <c r="C41" s="4">
        <v>13</v>
      </c>
      <c r="D41" s="4">
        <v>13</v>
      </c>
      <c r="E41" s="4">
        <v>11.8666575862482</v>
      </c>
      <c r="G41" s="4"/>
      <c r="H41" s="4"/>
      <c r="I41" s="4"/>
    </row>
    <row r="42" spans="2:9" x14ac:dyDescent="0.3">
      <c r="B42" s="1">
        <v>2059</v>
      </c>
      <c r="C42" s="4">
        <v>13</v>
      </c>
      <c r="D42" s="4">
        <v>13</v>
      </c>
      <c r="E42" s="4">
        <v>11.8333243576415</v>
      </c>
      <c r="G42" s="4"/>
      <c r="H42" s="4"/>
      <c r="I42" s="4"/>
    </row>
    <row r="43" spans="2:9" x14ac:dyDescent="0.3">
      <c r="B43" s="1">
        <v>2060</v>
      </c>
      <c r="C43" s="4">
        <v>13</v>
      </c>
      <c r="D43" s="4">
        <v>13</v>
      </c>
      <c r="E43" s="4">
        <v>11.7999911871231</v>
      </c>
      <c r="G43" s="4"/>
      <c r="H43" s="4"/>
      <c r="I43" s="4"/>
    </row>
    <row r="44" spans="2:9" x14ac:dyDescent="0.3">
      <c r="B44" s="1">
        <v>2061</v>
      </c>
      <c r="C44" s="4">
        <v>13</v>
      </c>
      <c r="D44" s="4">
        <v>13</v>
      </c>
      <c r="E44" s="4">
        <v>11.766658118983001</v>
      </c>
      <c r="G44" s="4"/>
      <c r="H44" s="4"/>
      <c r="I44" s="4"/>
    </row>
    <row r="45" spans="2:9" x14ac:dyDescent="0.3">
      <c r="B45" s="1">
        <v>2062</v>
      </c>
      <c r="C45" s="4">
        <v>13</v>
      </c>
      <c r="D45" s="4">
        <v>13</v>
      </c>
      <c r="E45" s="4">
        <v>11.7333252754183</v>
      </c>
      <c r="G45" s="4"/>
      <c r="H45" s="4"/>
      <c r="I45" s="4"/>
    </row>
    <row r="46" spans="2:9" x14ac:dyDescent="0.3">
      <c r="B46" s="1">
        <v>2063</v>
      </c>
      <c r="C46" s="4">
        <v>13</v>
      </c>
      <c r="D46" s="4">
        <v>13</v>
      </c>
      <c r="E46" s="4">
        <v>11.699992386058801</v>
      </c>
      <c r="G46" s="4"/>
      <c r="H46" s="4"/>
      <c r="I46" s="4"/>
    </row>
    <row r="47" spans="2:9" x14ac:dyDescent="0.3">
      <c r="B47" s="1">
        <v>2064</v>
      </c>
      <c r="C47" s="4">
        <v>13</v>
      </c>
      <c r="D47" s="4">
        <v>13</v>
      </c>
      <c r="E47" s="4">
        <v>11.6666596200804</v>
      </c>
      <c r="G47" s="4"/>
      <c r="H47" s="4"/>
      <c r="I47" s="4"/>
    </row>
    <row r="48" spans="2:9" x14ac:dyDescent="0.3">
      <c r="B48" s="1">
        <v>2065</v>
      </c>
      <c r="C48" s="4">
        <v>13</v>
      </c>
      <c r="D48" s="4">
        <v>13</v>
      </c>
      <c r="E48" s="4">
        <v>11.6333269400765</v>
      </c>
      <c r="G48" s="4"/>
      <c r="H48" s="4"/>
      <c r="I48" s="4"/>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A43C-9522-4C47-A06B-05B4ED1F11FB}">
  <sheetPr codeName="Sheet94"/>
  <dimension ref="B2:I48"/>
  <sheetViews>
    <sheetView workbookViewId="0"/>
  </sheetViews>
  <sheetFormatPr defaultColWidth="8.7109375" defaultRowHeight="16.5" x14ac:dyDescent="0.3"/>
  <cols>
    <col min="1" max="2" width="8.7109375" style="1"/>
    <col min="3" max="3" width="11.42578125" style="1" customWidth="1"/>
    <col min="4" max="4" width="12.85546875" style="1" customWidth="1"/>
    <col min="5" max="5" width="13.28515625" style="1" customWidth="1"/>
    <col min="6" max="16384" width="8.7109375" style="1"/>
  </cols>
  <sheetData>
    <row r="2" spans="2:9" x14ac:dyDescent="0.3">
      <c r="B2" s="98" t="s">
        <v>313</v>
      </c>
      <c r="C2" s="32"/>
      <c r="D2" s="32"/>
      <c r="E2" s="32"/>
      <c r="F2" s="32"/>
      <c r="G2" s="32"/>
      <c r="H2" s="32"/>
      <c r="I2" s="32"/>
    </row>
    <row r="3" spans="2:9" x14ac:dyDescent="0.3">
      <c r="B3" s="32" t="s">
        <v>293</v>
      </c>
      <c r="C3" s="32"/>
      <c r="D3" s="32"/>
      <c r="E3" s="32"/>
      <c r="F3" s="32"/>
      <c r="G3" s="32"/>
      <c r="H3" s="32"/>
      <c r="I3" s="32"/>
    </row>
    <row r="5" spans="2:9" s="35" customFormat="1" ht="49.5" x14ac:dyDescent="0.3">
      <c r="C5" s="35" t="s">
        <v>128</v>
      </c>
      <c r="D5" s="35" t="s">
        <v>129</v>
      </c>
      <c r="E5" s="35" t="s">
        <v>130</v>
      </c>
    </row>
    <row r="6" spans="2:9" s="35" customFormat="1" x14ac:dyDescent="0.3">
      <c r="C6" s="35" t="s">
        <v>160</v>
      </c>
      <c r="D6" s="35" t="s">
        <v>160</v>
      </c>
      <c r="E6" s="35" t="s">
        <v>160</v>
      </c>
    </row>
    <row r="7" spans="2:9" x14ac:dyDescent="0.3">
      <c r="B7" s="1">
        <v>2024</v>
      </c>
      <c r="C7" s="4">
        <v>15</v>
      </c>
      <c r="D7" s="4">
        <v>15</v>
      </c>
      <c r="E7" s="4">
        <v>15</v>
      </c>
      <c r="G7" s="4"/>
      <c r="H7" s="4"/>
      <c r="I7" s="4"/>
    </row>
    <row r="8" spans="2:9" x14ac:dyDescent="0.3">
      <c r="B8" s="1">
        <v>2025</v>
      </c>
      <c r="C8" s="4">
        <v>15</v>
      </c>
      <c r="D8" s="4">
        <v>15.302471085875201</v>
      </c>
      <c r="E8" s="4">
        <v>15.0972611218618</v>
      </c>
      <c r="G8" s="4"/>
      <c r="H8" s="4"/>
      <c r="I8" s="4"/>
    </row>
    <row r="9" spans="2:9" x14ac:dyDescent="0.3">
      <c r="B9" s="1">
        <v>2026</v>
      </c>
      <c r="C9" s="4">
        <v>15</v>
      </c>
      <c r="D9" s="4">
        <v>15.8067281023755</v>
      </c>
      <c r="E9" s="4">
        <v>15.5635406045823</v>
      </c>
      <c r="G9" s="4"/>
      <c r="H9" s="4"/>
      <c r="I9" s="4"/>
    </row>
    <row r="10" spans="2:9" x14ac:dyDescent="0.3">
      <c r="B10" s="1">
        <v>2027</v>
      </c>
      <c r="C10" s="4">
        <v>15</v>
      </c>
      <c r="D10" s="4">
        <v>16.312961799205802</v>
      </c>
      <c r="E10" s="4">
        <v>16.017321633037199</v>
      </c>
      <c r="G10" s="4"/>
      <c r="H10" s="4"/>
      <c r="I10" s="4"/>
    </row>
    <row r="11" spans="2:9" x14ac:dyDescent="0.3">
      <c r="B11" s="1">
        <v>2028</v>
      </c>
      <c r="C11" s="4">
        <v>15</v>
      </c>
      <c r="D11" s="4">
        <v>16.759588431306401</v>
      </c>
      <c r="E11" s="4">
        <v>16.401914507735199</v>
      </c>
      <c r="G11" s="4"/>
      <c r="H11" s="4"/>
      <c r="I11" s="4"/>
    </row>
    <row r="12" spans="2:9" x14ac:dyDescent="0.3">
      <c r="B12" s="1">
        <v>2029</v>
      </c>
      <c r="C12" s="4">
        <v>15</v>
      </c>
      <c r="D12" s="4">
        <v>17.156502872342099</v>
      </c>
      <c r="E12" s="4">
        <v>16.731075451274599</v>
      </c>
      <c r="G12" s="4"/>
      <c r="H12" s="4"/>
      <c r="I12" s="4"/>
    </row>
    <row r="13" spans="2:9" x14ac:dyDescent="0.3">
      <c r="B13" s="1">
        <v>2030</v>
      </c>
      <c r="C13" s="4">
        <v>15</v>
      </c>
      <c r="D13" s="4">
        <v>17.519205909080199</v>
      </c>
      <c r="E13" s="4">
        <v>16.305418674247999</v>
      </c>
      <c r="G13" s="4"/>
      <c r="H13" s="4"/>
      <c r="I13" s="4"/>
    </row>
    <row r="14" spans="2:9" x14ac:dyDescent="0.3">
      <c r="B14" s="1">
        <v>2031</v>
      </c>
      <c r="C14" s="4">
        <v>15</v>
      </c>
      <c r="D14" s="4">
        <v>17.848583104326401</v>
      </c>
      <c r="E14" s="4">
        <v>16.585733852592401</v>
      </c>
      <c r="G14" s="4"/>
      <c r="H14" s="4"/>
      <c r="I14" s="4"/>
    </row>
    <row r="15" spans="2:9" x14ac:dyDescent="0.3">
      <c r="B15" s="1">
        <v>2032</v>
      </c>
      <c r="C15" s="4">
        <v>15</v>
      </c>
      <c r="D15" s="4">
        <v>18.1983068070783</v>
      </c>
      <c r="E15" s="4">
        <v>16.859365190744299</v>
      </c>
      <c r="G15" s="4"/>
      <c r="H15" s="4"/>
      <c r="I15" s="4"/>
    </row>
    <row r="16" spans="2:9" x14ac:dyDescent="0.3">
      <c r="B16" s="1">
        <v>2033</v>
      </c>
      <c r="C16" s="4">
        <v>15</v>
      </c>
      <c r="D16" s="4">
        <v>18.542084904452199</v>
      </c>
      <c r="E16" s="4">
        <v>17.1153824465189</v>
      </c>
      <c r="G16" s="4"/>
      <c r="H16" s="4"/>
      <c r="I16" s="4"/>
    </row>
    <row r="17" spans="2:9" x14ac:dyDescent="0.3">
      <c r="B17" s="1">
        <v>2034</v>
      </c>
      <c r="C17" s="4">
        <v>15</v>
      </c>
      <c r="D17" s="4">
        <v>18.895480975054301</v>
      </c>
      <c r="E17" s="4">
        <v>17.366747209825402</v>
      </c>
      <c r="G17" s="4"/>
      <c r="H17" s="4"/>
      <c r="I17" s="4"/>
    </row>
    <row r="18" spans="2:9" x14ac:dyDescent="0.3">
      <c r="B18" s="1">
        <v>2035</v>
      </c>
      <c r="C18" s="4">
        <v>15</v>
      </c>
      <c r="D18" s="4">
        <v>19.2469756214916</v>
      </c>
      <c r="E18" s="4">
        <v>16.915399214817</v>
      </c>
      <c r="G18" s="4"/>
      <c r="H18" s="4"/>
      <c r="I18" s="4"/>
    </row>
    <row r="19" spans="2:9" x14ac:dyDescent="0.3">
      <c r="B19" s="1">
        <v>2036</v>
      </c>
      <c r="C19" s="4">
        <v>15</v>
      </c>
      <c r="D19" s="4">
        <v>19.6236872202083</v>
      </c>
      <c r="E19" s="4">
        <v>17.177647364649101</v>
      </c>
      <c r="G19" s="4"/>
      <c r="H19" s="4"/>
      <c r="I19" s="4"/>
    </row>
    <row r="20" spans="2:9" x14ac:dyDescent="0.3">
      <c r="B20" s="1">
        <v>2037</v>
      </c>
      <c r="C20" s="4">
        <v>15</v>
      </c>
      <c r="D20" s="4">
        <v>19.9933508053834</v>
      </c>
      <c r="E20" s="4">
        <v>17.431439967552599</v>
      </c>
      <c r="G20" s="4"/>
      <c r="H20" s="4"/>
      <c r="I20" s="4"/>
    </row>
    <row r="21" spans="2:9" x14ac:dyDescent="0.3">
      <c r="B21" s="1">
        <v>2038</v>
      </c>
      <c r="C21" s="4">
        <v>15</v>
      </c>
      <c r="D21" s="4">
        <v>20.318950636517101</v>
      </c>
      <c r="E21" s="4">
        <v>17.684277758588099</v>
      </c>
      <c r="G21" s="4"/>
      <c r="H21" s="4"/>
      <c r="I21" s="4"/>
    </row>
    <row r="22" spans="2:9" x14ac:dyDescent="0.3">
      <c r="B22" s="1">
        <v>2039</v>
      </c>
      <c r="C22" s="4">
        <v>15</v>
      </c>
      <c r="D22" s="4">
        <v>20.619865999299599</v>
      </c>
      <c r="E22" s="4">
        <v>17.9169154442143</v>
      </c>
      <c r="G22" s="4"/>
      <c r="H22" s="4"/>
      <c r="I22" s="4"/>
    </row>
    <row r="23" spans="2:9" x14ac:dyDescent="0.3">
      <c r="B23" s="1">
        <v>2040</v>
      </c>
      <c r="C23" s="4">
        <v>15</v>
      </c>
      <c r="D23" s="4">
        <v>20.875321157132099</v>
      </c>
      <c r="E23" s="4">
        <v>17.4337492401901</v>
      </c>
      <c r="G23" s="4"/>
      <c r="H23" s="4"/>
      <c r="I23" s="4"/>
    </row>
    <row r="24" spans="2:9" x14ac:dyDescent="0.3">
      <c r="B24" s="1">
        <v>2041</v>
      </c>
      <c r="C24" s="4">
        <v>15</v>
      </c>
      <c r="D24" s="4">
        <v>21.115524161461298</v>
      </c>
      <c r="E24" s="4">
        <v>17.626836859054301</v>
      </c>
      <c r="G24" s="4"/>
      <c r="H24" s="4"/>
      <c r="I24" s="4"/>
    </row>
    <row r="25" spans="2:9" x14ac:dyDescent="0.3">
      <c r="B25" s="1">
        <v>2042</v>
      </c>
      <c r="C25" s="4">
        <v>15</v>
      </c>
      <c r="D25" s="4">
        <v>21.354935645167199</v>
      </c>
      <c r="E25" s="4">
        <v>17.784659478589798</v>
      </c>
      <c r="G25" s="4"/>
      <c r="H25" s="4"/>
      <c r="I25" s="4"/>
    </row>
    <row r="26" spans="2:9" x14ac:dyDescent="0.3">
      <c r="B26" s="1">
        <v>2043</v>
      </c>
      <c r="C26" s="4">
        <v>15</v>
      </c>
      <c r="D26" s="4">
        <v>21.5814915418574</v>
      </c>
      <c r="E26" s="4">
        <v>17.906801904291701</v>
      </c>
      <c r="G26" s="4"/>
      <c r="H26" s="4"/>
      <c r="I26" s="4"/>
    </row>
    <row r="27" spans="2:9" x14ac:dyDescent="0.3">
      <c r="B27" s="1">
        <v>2044</v>
      </c>
      <c r="C27" s="4">
        <v>15</v>
      </c>
      <c r="D27" s="4">
        <v>21.8782844795053</v>
      </c>
      <c r="E27" s="4">
        <v>18.047384720739501</v>
      </c>
      <c r="G27" s="4"/>
      <c r="H27" s="4"/>
      <c r="I27" s="4"/>
    </row>
    <row r="28" spans="2:9" x14ac:dyDescent="0.3">
      <c r="B28" s="1">
        <v>2045</v>
      </c>
      <c r="C28" s="4">
        <v>15</v>
      </c>
      <c r="D28" s="4">
        <v>22.2036455489906</v>
      </c>
      <c r="E28" s="4">
        <v>18.1995068471713</v>
      </c>
      <c r="G28" s="4"/>
      <c r="H28" s="4"/>
      <c r="I28" s="4"/>
    </row>
    <row r="29" spans="2:9" x14ac:dyDescent="0.3">
      <c r="B29" s="1">
        <v>2046</v>
      </c>
      <c r="C29" s="4">
        <v>15</v>
      </c>
      <c r="D29" s="4">
        <v>22.5361714962302</v>
      </c>
      <c r="E29" s="4">
        <v>18.337111147195198</v>
      </c>
      <c r="G29" s="4"/>
      <c r="H29" s="4"/>
      <c r="I29" s="4"/>
    </row>
    <row r="30" spans="2:9" x14ac:dyDescent="0.3">
      <c r="B30" s="1">
        <v>2047</v>
      </c>
      <c r="C30" s="4">
        <v>15</v>
      </c>
      <c r="D30" s="4">
        <v>22.899093243935599</v>
      </c>
      <c r="E30" s="4">
        <v>18.5024431376373</v>
      </c>
      <c r="G30" s="4"/>
      <c r="H30" s="4"/>
      <c r="I30" s="4"/>
    </row>
    <row r="31" spans="2:9" x14ac:dyDescent="0.3">
      <c r="B31" s="1">
        <v>2048</v>
      </c>
      <c r="C31" s="4">
        <v>15</v>
      </c>
      <c r="D31" s="4">
        <v>23.293277171941298</v>
      </c>
      <c r="E31" s="4">
        <v>18.685832113268301</v>
      </c>
      <c r="G31" s="4"/>
      <c r="H31" s="4"/>
      <c r="I31" s="4"/>
    </row>
    <row r="32" spans="2:9" x14ac:dyDescent="0.3">
      <c r="B32" s="1">
        <v>2049</v>
      </c>
      <c r="C32" s="4">
        <v>15</v>
      </c>
      <c r="D32" s="4">
        <v>23.7066190087424</v>
      </c>
      <c r="E32" s="4">
        <v>18.885587203854001</v>
      </c>
      <c r="G32" s="4"/>
      <c r="H32" s="4"/>
      <c r="I32" s="4"/>
    </row>
    <row r="33" spans="2:9" x14ac:dyDescent="0.3">
      <c r="B33" s="1">
        <v>2050</v>
      </c>
      <c r="C33" s="4">
        <v>15</v>
      </c>
      <c r="D33" s="4">
        <v>24.140231358319699</v>
      </c>
      <c r="E33" s="4">
        <v>19.104585042832898</v>
      </c>
      <c r="G33" s="4"/>
      <c r="H33" s="4"/>
      <c r="I33" s="4"/>
    </row>
    <row r="34" spans="2:9" x14ac:dyDescent="0.3">
      <c r="B34" s="1">
        <v>2051</v>
      </c>
      <c r="C34" s="4">
        <v>15</v>
      </c>
      <c r="D34" s="4">
        <v>24.597482997684999</v>
      </c>
      <c r="E34" s="4">
        <v>19.3493496723909</v>
      </c>
      <c r="G34" s="4"/>
      <c r="H34" s="4"/>
      <c r="I34" s="4"/>
    </row>
    <row r="35" spans="2:9" x14ac:dyDescent="0.3">
      <c r="B35" s="1">
        <v>2052</v>
      </c>
      <c r="C35" s="4">
        <v>15</v>
      </c>
      <c r="D35" s="4">
        <v>25.1043533603135</v>
      </c>
      <c r="E35" s="4">
        <v>19.615647190169099</v>
      </c>
      <c r="G35" s="4"/>
      <c r="H35" s="4"/>
      <c r="I35" s="4"/>
    </row>
    <row r="36" spans="2:9" x14ac:dyDescent="0.3">
      <c r="B36" s="1">
        <v>2053</v>
      </c>
      <c r="C36" s="4">
        <v>15</v>
      </c>
      <c r="D36" s="4">
        <v>25.6577738422158</v>
      </c>
      <c r="E36" s="4">
        <v>19.904361543639698</v>
      </c>
      <c r="G36" s="4"/>
      <c r="H36" s="4"/>
      <c r="I36" s="4"/>
    </row>
    <row r="37" spans="2:9" x14ac:dyDescent="0.3">
      <c r="B37" s="1">
        <v>2054</v>
      </c>
      <c r="C37" s="4">
        <v>15</v>
      </c>
      <c r="D37" s="4">
        <v>26.232818730262601</v>
      </c>
      <c r="E37" s="4">
        <v>20.211126168522298</v>
      </c>
      <c r="G37" s="4"/>
      <c r="H37" s="4"/>
      <c r="I37" s="4"/>
    </row>
    <row r="38" spans="2:9" x14ac:dyDescent="0.3">
      <c r="B38" s="1">
        <v>2055</v>
      </c>
      <c r="C38" s="4">
        <v>15</v>
      </c>
      <c r="D38" s="4">
        <v>26.852361834544499</v>
      </c>
      <c r="E38" s="4">
        <v>20.553610915344699</v>
      </c>
      <c r="G38" s="4"/>
      <c r="H38" s="4"/>
      <c r="I38" s="4"/>
    </row>
    <row r="39" spans="2:9" x14ac:dyDescent="0.3">
      <c r="B39" s="1">
        <v>2056</v>
      </c>
      <c r="C39" s="4">
        <v>15</v>
      </c>
      <c r="D39" s="4">
        <v>27.4920868563554</v>
      </c>
      <c r="E39" s="4">
        <v>20.926736100040099</v>
      </c>
      <c r="G39" s="4"/>
      <c r="H39" s="4"/>
      <c r="I39" s="4"/>
    </row>
    <row r="40" spans="2:9" x14ac:dyDescent="0.3">
      <c r="B40" s="1">
        <v>2057</v>
      </c>
      <c r="C40" s="4">
        <v>15</v>
      </c>
      <c r="D40" s="4">
        <v>28.116582251339398</v>
      </c>
      <c r="E40" s="4">
        <v>21.305824940101498</v>
      </c>
      <c r="G40" s="4"/>
      <c r="H40" s="4"/>
      <c r="I40" s="4"/>
    </row>
    <row r="41" spans="2:9" x14ac:dyDescent="0.3">
      <c r="B41" s="1">
        <v>2058</v>
      </c>
      <c r="C41" s="4">
        <v>15</v>
      </c>
      <c r="D41" s="4">
        <v>28.711392686507001</v>
      </c>
      <c r="E41" s="4">
        <v>21.701966781737799</v>
      </c>
      <c r="G41" s="4"/>
      <c r="H41" s="4"/>
      <c r="I41" s="4"/>
    </row>
    <row r="42" spans="2:9" x14ac:dyDescent="0.3">
      <c r="B42" s="1">
        <v>2059</v>
      </c>
      <c r="C42" s="4">
        <v>15</v>
      </c>
      <c r="D42" s="4">
        <v>29.2616188690949</v>
      </c>
      <c r="E42" s="4">
        <v>22.094174246648102</v>
      </c>
      <c r="G42" s="4"/>
      <c r="H42" s="4"/>
      <c r="I42" s="4"/>
    </row>
    <row r="43" spans="2:9" x14ac:dyDescent="0.3">
      <c r="B43" s="1">
        <v>2060</v>
      </c>
      <c r="C43" s="4">
        <v>15</v>
      </c>
      <c r="D43" s="4">
        <v>29.796372181426499</v>
      </c>
      <c r="E43" s="4">
        <v>22.469645928870101</v>
      </c>
      <c r="G43" s="4"/>
      <c r="H43" s="4"/>
      <c r="I43" s="4"/>
    </row>
    <row r="44" spans="2:9" x14ac:dyDescent="0.3">
      <c r="B44" s="1">
        <v>2061</v>
      </c>
      <c r="C44" s="4">
        <v>15</v>
      </c>
      <c r="D44" s="4">
        <v>30.297678482898</v>
      </c>
      <c r="E44" s="4">
        <v>22.815372019720201</v>
      </c>
      <c r="G44" s="4"/>
      <c r="H44" s="4"/>
      <c r="I44" s="4"/>
    </row>
    <row r="45" spans="2:9" x14ac:dyDescent="0.3">
      <c r="B45" s="1">
        <v>2062</v>
      </c>
      <c r="C45" s="4">
        <v>15</v>
      </c>
      <c r="D45" s="4">
        <v>30.769447158856199</v>
      </c>
      <c r="E45" s="4">
        <v>23.125950703246399</v>
      </c>
      <c r="G45" s="4"/>
      <c r="H45" s="4"/>
      <c r="I45" s="4"/>
    </row>
    <row r="46" spans="2:9" x14ac:dyDescent="0.3">
      <c r="B46" s="1">
        <v>2063</v>
      </c>
      <c r="C46" s="4">
        <v>15</v>
      </c>
      <c r="D46" s="4">
        <v>31.2252498728662</v>
      </c>
      <c r="E46" s="4">
        <v>23.417445801650601</v>
      </c>
      <c r="G46" s="4"/>
      <c r="H46" s="4"/>
      <c r="I46" s="4"/>
    </row>
    <row r="47" spans="2:9" x14ac:dyDescent="0.3">
      <c r="B47" s="1">
        <v>2064</v>
      </c>
      <c r="C47" s="4">
        <v>15</v>
      </c>
      <c r="D47" s="4">
        <v>31.647495648932399</v>
      </c>
      <c r="E47" s="4">
        <v>23.6790476600696</v>
      </c>
      <c r="G47" s="4"/>
      <c r="H47" s="4"/>
      <c r="I47" s="4"/>
    </row>
    <row r="48" spans="2:9" x14ac:dyDescent="0.3">
      <c r="B48" s="1">
        <v>2065</v>
      </c>
      <c r="C48" s="4">
        <v>15</v>
      </c>
      <c r="D48" s="4">
        <v>32.106754563966703</v>
      </c>
      <c r="E48" s="4">
        <v>23.925923104901301</v>
      </c>
      <c r="G48" s="4"/>
      <c r="H48" s="4"/>
      <c r="I48"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6d19ec5-3d94-4248-98d5-5822bf7c3b75" xsi:nil="true"/>
    <lcf76f155ced4ddcb4097134ff3c332f xmlns="cd969bd8-d582-489f-b0f7-230aaca7a5f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CF6B04F915B246A68E0E05E08DBAF9" ma:contentTypeVersion="10" ma:contentTypeDescription="Create a new document." ma:contentTypeScope="" ma:versionID="e81fa49a2374478db57dda8fd97c4c8c">
  <xsd:schema xmlns:xsd="http://www.w3.org/2001/XMLSchema" xmlns:xs="http://www.w3.org/2001/XMLSchema" xmlns:p="http://schemas.microsoft.com/office/2006/metadata/properties" xmlns:ns2="cd969bd8-d582-489f-b0f7-230aaca7a5fa" xmlns:ns3="b6d19ec5-3d94-4248-98d5-5822bf7c3b75" targetNamespace="http://schemas.microsoft.com/office/2006/metadata/properties" ma:root="true" ma:fieldsID="b6d1dcc9821d1bd6675f69633e84c885" ns2:_="" ns3:_="">
    <xsd:import namespace="cd969bd8-d582-489f-b0f7-230aaca7a5fa"/>
    <xsd:import namespace="b6d19ec5-3d94-4248-98d5-5822bf7c3b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969bd8-d582-489f-b0f7-230aaca7a5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e2f16f6-2bc6-4909-936e-c18616ac06ab"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d19ec5-3d94-4248-98d5-5822bf7c3b7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af179c-6be5-4d29-8f1b-637de9ba6ddd}" ma:internalName="TaxCatchAll" ma:showField="CatchAllData" ma:web="b6d19ec5-3d94-4248-98d5-5822bf7c3b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F05DC9-69EC-48E7-8335-A2671BB9E911}">
  <ds:schemaRefs>
    <ds:schemaRef ds:uri="http://schemas.microsoft.com/sharepoint/v3/contenttype/forms"/>
  </ds:schemaRefs>
</ds:datastoreItem>
</file>

<file path=customXml/itemProps2.xml><?xml version="1.0" encoding="utf-8"?>
<ds:datastoreItem xmlns:ds="http://schemas.openxmlformats.org/officeDocument/2006/customXml" ds:itemID="{62767014-61E9-478E-BDBF-553995E56B6F}">
  <ds:schemaRefs>
    <ds:schemaRef ds:uri="http://purl.org/dc/dcmitype/"/>
    <ds:schemaRef ds:uri="b6d19ec5-3d94-4248-98d5-5822bf7c3b75"/>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cd969bd8-d582-489f-b0f7-230aaca7a5fa"/>
    <ds:schemaRef ds:uri="http://purl.org/dc/terms/"/>
  </ds:schemaRefs>
</ds:datastoreItem>
</file>

<file path=customXml/itemProps3.xml><?xml version="1.0" encoding="utf-8"?>
<ds:datastoreItem xmlns:ds="http://schemas.openxmlformats.org/officeDocument/2006/customXml" ds:itemID="{BF6B036D-B732-4F95-941C-4631EE7211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969bd8-d582-489f-b0f7-230aaca7a5fa"/>
    <ds:schemaRef ds:uri="b6d19ec5-3d94-4248-98d5-5822bf7c3b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Charts</vt:lpstr>
      </vt:variant>
      <vt:variant>
        <vt:i4>46</vt:i4>
      </vt:variant>
    </vt:vector>
  </HeadingPairs>
  <TitlesOfParts>
    <vt:vector size="94" baseType="lpstr">
      <vt:lpstr>Index</vt:lpstr>
      <vt:lpstr>List of Figures</vt:lpstr>
      <vt:lpstr>Fig 1 data</vt:lpstr>
      <vt:lpstr>Fig 2 data</vt:lpstr>
      <vt:lpstr>Fig 3 data</vt:lpstr>
      <vt:lpstr>Fig 4 data</vt:lpstr>
      <vt:lpstr>Fig 5 data</vt:lpstr>
      <vt:lpstr>Fig 6 data</vt:lpstr>
      <vt:lpstr>Fig 7 data</vt:lpstr>
      <vt:lpstr>Fig 8 data</vt:lpstr>
      <vt:lpstr>Fig 9 data</vt:lpstr>
      <vt:lpstr>Fig 10 data</vt:lpstr>
      <vt:lpstr>Fig 11 data</vt:lpstr>
      <vt:lpstr>Fig 12 data</vt:lpstr>
      <vt:lpstr>Fig 13 data</vt:lpstr>
      <vt:lpstr>Fig 14 data</vt:lpstr>
      <vt:lpstr>Fig 15 data</vt:lpstr>
      <vt:lpstr>Fig 16 data</vt:lpstr>
      <vt:lpstr>Fig 17 data</vt:lpstr>
      <vt:lpstr>Fig 18 data</vt:lpstr>
      <vt:lpstr>Fig 19 data</vt:lpstr>
      <vt:lpstr>Fig 20 data</vt:lpstr>
      <vt:lpstr>Fig 21 data</vt:lpstr>
      <vt:lpstr>Fig 22 data</vt:lpstr>
      <vt:lpstr>Fig 23 data</vt:lpstr>
      <vt:lpstr>Fig 24 data</vt:lpstr>
      <vt:lpstr>Fig 25 data</vt:lpstr>
      <vt:lpstr>Fig 26 data</vt:lpstr>
      <vt:lpstr>Fig 27 data</vt:lpstr>
      <vt:lpstr>Fig 28 data</vt:lpstr>
      <vt:lpstr>Fig 29 data</vt:lpstr>
      <vt:lpstr>Fig 30 data</vt:lpstr>
      <vt:lpstr>Fig 31 data</vt:lpstr>
      <vt:lpstr>Fig 32 data</vt:lpstr>
      <vt:lpstr>Fig 33 data</vt:lpstr>
      <vt:lpstr>Fig 34 data</vt:lpstr>
      <vt:lpstr>Fig 35 data</vt:lpstr>
      <vt:lpstr>Fig 36 data</vt:lpstr>
      <vt:lpstr>Fig 37 data</vt:lpstr>
      <vt:lpstr>Fig 38 data</vt:lpstr>
      <vt:lpstr>Fig 39 data</vt:lpstr>
      <vt:lpstr>Fig 40 data</vt:lpstr>
      <vt:lpstr>Fig 41 data</vt:lpstr>
      <vt:lpstr>Fig 42 data</vt:lpstr>
      <vt:lpstr>Fig 43 data</vt:lpstr>
      <vt:lpstr>Fig 44 data</vt:lpstr>
      <vt:lpstr>Fig 45 data</vt:lpstr>
      <vt:lpstr>Fig 46 data</vt:lpstr>
      <vt:lpstr>Fig 1</vt:lpstr>
      <vt:lpstr>Fig 2</vt:lpstr>
      <vt:lpstr>Fig 3</vt:lpstr>
      <vt:lpstr>Fig 4</vt:lpstr>
      <vt:lpstr>Fig 5</vt:lpstr>
      <vt:lpstr>Fig 6</vt:lpstr>
      <vt:lpstr>Fig 7</vt:lpstr>
      <vt:lpstr>Fig 8</vt:lpstr>
      <vt:lpstr>Fig 9</vt:lpstr>
      <vt:lpstr>Fig 10</vt:lpstr>
      <vt:lpstr>Fig 11</vt:lpstr>
      <vt:lpstr>Fig 12</vt:lpstr>
      <vt:lpstr>Fig 13</vt:lpstr>
      <vt:lpstr>Fig 14</vt:lpstr>
      <vt:lpstr>Fig 15</vt:lpstr>
      <vt:lpstr>Fig 16</vt:lpstr>
      <vt:lpstr>Fig 17</vt:lpstr>
      <vt:lpstr>Fig 18</vt:lpstr>
      <vt:lpstr>Fig 19</vt:lpstr>
      <vt:lpstr>Fig 20</vt:lpstr>
      <vt:lpstr>Fig 21</vt:lpstr>
      <vt:lpstr>Fig 22</vt:lpstr>
      <vt:lpstr>Fig 23</vt:lpstr>
      <vt:lpstr>Fig 24</vt:lpstr>
      <vt:lpstr>Fig 25</vt:lpstr>
      <vt:lpstr>Fig 26</vt:lpstr>
      <vt:lpstr>Fig 27</vt:lpstr>
      <vt:lpstr>Fig 28</vt:lpstr>
      <vt:lpstr>Fig 29</vt:lpstr>
      <vt:lpstr>Fig 30</vt:lpstr>
      <vt:lpstr>Fig 31</vt:lpstr>
      <vt:lpstr>Fig 32</vt:lpstr>
      <vt:lpstr>Fig 33</vt:lpstr>
      <vt:lpstr>Fig 34</vt:lpstr>
      <vt:lpstr>Fig 35</vt:lpstr>
      <vt:lpstr>Fig 36</vt:lpstr>
      <vt:lpstr>Fig 37</vt:lpstr>
      <vt:lpstr>Fig 38</vt:lpstr>
      <vt:lpstr>Fig 39</vt:lpstr>
      <vt:lpstr>Fig 40</vt:lpstr>
      <vt:lpstr>Fig 41</vt:lpstr>
      <vt:lpstr>Fig 42</vt:lpstr>
      <vt:lpstr>Fig 43</vt:lpstr>
      <vt:lpstr>Fig 44</vt:lpstr>
      <vt:lpstr>Fig 45</vt:lpstr>
      <vt:lpstr>Fig 46</vt:lpstr>
    </vt:vector>
  </TitlesOfParts>
  <Manager/>
  <Company>New Zealand Treasury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and Charts - He Tirohanga Mokopuna - Long-term Fiscal Statement 2025</dc:title>
  <dc:subject/>
  <dc:creator>New Zealand Treasury</dc:creator>
  <cp:keywords/>
  <dc:description/>
  <cp:lastModifiedBy>Michael vanEs [CASS]</cp:lastModifiedBy>
  <cp:revision/>
  <dcterms:created xsi:type="dcterms:W3CDTF">2025-07-18T01:42:29Z</dcterms:created>
  <dcterms:modified xsi:type="dcterms:W3CDTF">2025-09-23T20:54:38Z</dcterms:modified>
  <cp:category/>
  <cp:contentStatus/>
</cp:coreProperties>
</file>