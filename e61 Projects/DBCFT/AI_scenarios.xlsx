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Nolan\Git\TVHENZ\e61 Projects\DBCFT\"/>
    </mc:Choice>
  </mc:AlternateContent>
  <xr:revisionPtr revIDLastSave="0" documentId="13_ncr:2001_{A7CBC9D9-D102-48FB-BF03-150A2F1481EF}" xr6:coauthVersionLast="47" xr6:coauthVersionMax="47" xr10:uidLastSave="{00000000-0000-0000-0000-000000000000}"/>
  <bookViews>
    <workbookView xWindow="-38510" yWindow="-110" windowWidth="19420" windowHeight="10300" activeTab="3" xr2:uid="{685E3FA9-E03D-4729-B280-910D29003171}"/>
  </bookViews>
  <sheets>
    <sheet name="PBO_wage_only" sheetId="1" r:id="rId1"/>
    <sheet name="PBO_prod_only" sheetId="2" r:id="rId2"/>
    <sheet name="PBO_prod_wage" sheetId="4" r:id="rId3"/>
    <sheet name="R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4" l="1"/>
  <c r="J16" i="4"/>
  <c r="K16" i="4"/>
  <c r="I17" i="4"/>
  <c r="J17" i="4"/>
  <c r="K17" i="4"/>
  <c r="I18" i="4"/>
  <c r="E48" i="3" s="1"/>
  <c r="J18" i="4"/>
  <c r="C48" i="3" s="1"/>
  <c r="K18" i="4"/>
  <c r="D48" i="3" s="1"/>
  <c r="I19" i="4"/>
  <c r="E49" i="3" s="1"/>
  <c r="J19" i="4"/>
  <c r="C49" i="3" s="1"/>
  <c r="K19" i="4"/>
  <c r="D49" i="3" s="1"/>
  <c r="I20" i="4"/>
  <c r="J20" i="4"/>
  <c r="K20" i="4"/>
  <c r="I21" i="4"/>
  <c r="J21" i="4"/>
  <c r="K21" i="4"/>
  <c r="I22" i="4"/>
  <c r="E52" i="3" s="1"/>
  <c r="J22" i="4"/>
  <c r="C52" i="3" s="1"/>
  <c r="K22" i="4"/>
  <c r="D52" i="3" s="1"/>
  <c r="I23" i="4"/>
  <c r="E53" i="3" s="1"/>
  <c r="J23" i="4"/>
  <c r="C53" i="3" s="1"/>
  <c r="K23" i="4"/>
  <c r="D53" i="3" s="1"/>
  <c r="I24" i="4"/>
  <c r="J24" i="4"/>
  <c r="K24" i="4"/>
  <c r="I25" i="4"/>
  <c r="J25" i="4"/>
  <c r="K25" i="4"/>
  <c r="K15" i="4"/>
  <c r="D45" i="3" s="1"/>
  <c r="J15" i="4"/>
  <c r="I15" i="4"/>
  <c r="E45" i="3" s="1"/>
  <c r="C46" i="3"/>
  <c r="D46" i="3"/>
  <c r="E46" i="3"/>
  <c r="C47" i="3"/>
  <c r="D47" i="3"/>
  <c r="E47" i="3"/>
  <c r="C50" i="3"/>
  <c r="D50" i="3"/>
  <c r="E50" i="3"/>
  <c r="C51" i="3"/>
  <c r="D51" i="3"/>
  <c r="E51" i="3"/>
  <c r="C54" i="3"/>
  <c r="D54" i="3"/>
  <c r="E54" i="3"/>
  <c r="C55" i="3"/>
  <c r="D55" i="3"/>
  <c r="E55" i="3"/>
  <c r="C4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E35" i="3"/>
  <c r="D35" i="3"/>
  <c r="C35" i="3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E24" i="3"/>
  <c r="D24" i="3"/>
  <c r="C24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E13" i="3"/>
  <c r="D13" i="3"/>
  <c r="C13" i="3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D2" i="3"/>
  <c r="E2" i="3"/>
  <c r="C2" i="3"/>
  <c r="I12" i="4"/>
  <c r="K12" i="4"/>
  <c r="J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I2" i="4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J2" i="2"/>
  <c r="K2" i="2"/>
  <c r="I2" i="2"/>
  <c r="Q7" i="1" l="1"/>
  <c r="R8" i="1"/>
  <c r="Q9" i="1"/>
  <c r="Q13" i="1"/>
  <c r="R14" i="1"/>
  <c r="R4" i="1"/>
  <c r="Q4" i="1"/>
  <c r="N4" i="1"/>
  <c r="N5" i="1"/>
  <c r="Q5" i="1" s="1"/>
  <c r="O5" i="1"/>
  <c r="R5" i="1" s="1"/>
  <c r="N6" i="1"/>
  <c r="Q6" i="1" s="1"/>
  <c r="O6" i="1"/>
  <c r="R6" i="1" s="1"/>
  <c r="N7" i="1"/>
  <c r="O7" i="1"/>
  <c r="R7" i="1" s="1"/>
  <c r="N8" i="1"/>
  <c r="Q8" i="1" s="1"/>
  <c r="O8" i="1"/>
  <c r="N9" i="1"/>
  <c r="O9" i="1"/>
  <c r="R9" i="1" s="1"/>
  <c r="N10" i="1"/>
  <c r="Q10" i="1" s="1"/>
  <c r="O10" i="1"/>
  <c r="R10" i="1" s="1"/>
  <c r="N11" i="1"/>
  <c r="Q11" i="1" s="1"/>
  <c r="O11" i="1"/>
  <c r="R11" i="1" s="1"/>
  <c r="N12" i="1"/>
  <c r="Q12" i="1" s="1"/>
  <c r="O12" i="1"/>
  <c r="R12" i="1" s="1"/>
  <c r="N13" i="1"/>
  <c r="O13" i="1"/>
  <c r="R13" i="1" s="1"/>
  <c r="N14" i="1"/>
  <c r="Q14" i="1" s="1"/>
  <c r="O14" i="1"/>
  <c r="O4" i="1"/>
  <c r="E5" i="1"/>
  <c r="S5" i="1" s="1"/>
  <c r="E6" i="1"/>
  <c r="S6" i="1" s="1"/>
  <c r="E7" i="1"/>
  <c r="S7" i="1" s="1"/>
  <c r="E8" i="1"/>
  <c r="S8" i="1" s="1"/>
  <c r="E9" i="1"/>
  <c r="S9" i="1" s="1"/>
  <c r="E10" i="1"/>
  <c r="S10" i="1" s="1"/>
  <c r="E11" i="1"/>
  <c r="S11" i="1" s="1"/>
  <c r="E12" i="1"/>
  <c r="S12" i="1" s="1"/>
  <c r="E13" i="1"/>
  <c r="S13" i="1" s="1"/>
  <c r="E14" i="1"/>
  <c r="S14" i="1" s="1"/>
  <c r="E4" i="1"/>
  <c r="S4" i="1" s="1"/>
</calcChain>
</file>

<file path=xl/sharedStrings.xml><?xml version="1.0" encoding="utf-8"?>
<sst xmlns="http://schemas.openxmlformats.org/spreadsheetml/2006/main" count="145" uniqueCount="38">
  <si>
    <t>Change Gov Tax Rev</t>
  </si>
  <si>
    <t>Wage_1ppt_lower</t>
  </si>
  <si>
    <t>Income tax revenue</t>
  </si>
  <si>
    <t>Individuals</t>
  </si>
  <si>
    <t>Companies</t>
  </si>
  <si>
    <t>Superannuation funds</t>
  </si>
  <si>
    <t>Other income tax</t>
  </si>
  <si>
    <t>Individual and other</t>
  </si>
  <si>
    <t>Total</t>
  </si>
  <si>
    <t>Tax rev</t>
  </si>
  <si>
    <t>Income tax</t>
  </si>
  <si>
    <t>Individual</t>
  </si>
  <si>
    <t>Corporate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</si>
  <si>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</si>
  <si>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</si>
  <si>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</si>
  <si>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</si>
  <si>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</si>
  <si>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</si>
  <si>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</si>
  <si>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</si>
  <si>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</si>
  <si>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</si>
  <si>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</si>
  <si>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Changes</t>
  </si>
  <si>
    <t>Shock</t>
  </si>
  <si>
    <t>Wage</t>
  </si>
  <si>
    <t>Prod</t>
  </si>
  <si>
    <t>Year</t>
  </si>
  <si>
    <t>Prod_wage</t>
  </si>
  <si>
    <t>Wage to much lower (1ppt decline)</t>
  </si>
  <si>
    <t>Actual total baseline</t>
  </si>
  <si>
    <t>Prod to much higher (0.6ppt increase)</t>
  </si>
  <si>
    <t>Prod to much higher and wage to lower (0.6ppt and 0.5ppt respectively)</t>
  </si>
  <si>
    <t>Prod to much higher (0.3ppt increase)</t>
  </si>
  <si>
    <t>Fiddle in the Prod 0.3% case</t>
  </si>
  <si>
    <t>Prod_2</t>
  </si>
  <si>
    <t>Prod_wage_2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</si>
</sst>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PBO_wage_only!$E$1</c:f>
              <c:strCache>
                <c:ptCount val="1"/>
                <c:pt idx="0">
                  <c:v>Change Gov Tax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PBO_wage_only!$D$4:$D$14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PBO_wage_only!$E$4:$E$14</c:f>
              <c:numCache>
                <c:formatCode>0.00%</c:formatCode>
                <c:ptCount val="11"/>
                <c:pt idx="0">
                  <c:v>-1.4531743707003916E-3</c:v>
                </c:pt>
                <c:pt idx="1">
                  <c:v>-3.2491983153844483E-4</c:v>
                </c:pt>
                <c:pt idx="2">
                  <c:v>6.6517753624719506E-4</c:v>
                </c:pt>
                <c:pt idx="3">
                  <c:v>1.3242920937857762E-3</c:v>
                </c:pt>
                <c:pt idx="4">
                  <c:v>2.1341986807862975E-3</c:v>
                </c:pt>
                <c:pt idx="5">
                  <c:v>2.5906009802507757E-3</c:v>
                </c:pt>
                <c:pt idx="6">
                  <c:v>3.0042720931308872E-3</c:v>
                </c:pt>
                <c:pt idx="7">
                  <c:v>3.3276681964795481E-3</c:v>
                </c:pt>
                <c:pt idx="8">
                  <c:v>3.5164816084871527E-3</c:v>
                </c:pt>
                <c:pt idx="9">
                  <c:v>3.6165716806498367E-3</c:v>
                </c:pt>
                <c:pt idx="10">
                  <c:v>3.6339912206477011E-3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C-4457-878A-A67275AF6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889967"/>
        <c:axId val="1122928239"/>
      </c:lineChart>
      <c:catAx>
        <c:axId val="20288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8239"/>
        <c:crosses val="autoZero"/>
        <c:auto val="1"/>
        <c:lblAlgn val="ctr"/>
        <c:lblOffset val="100"/>
        <c:noMultiLvlLbl val="0"/>
      </c:catAx>
      <c:valAx>
        <c:axId val="11229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8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PBO_wage_only!$I$3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PBO_wage_only!$H$4:$H$14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PBO_wage_only!$I$4:$I$14</c:f>
              <c:numCache>
                <c:formatCode>0.00</c:formatCode>
                <c:ptCount val="11"/>
                <c:pt idx="0">
                  <c:v>-2314.1470756558701</c:v>
                </c:pt>
                <c:pt idx="1">
                  <c:v>-4415.7927923570387</c:v>
                </c:pt>
                <c:pt idx="2">
                  <c:v>-6751.2139659066452</c:v>
                </c:pt>
                <c:pt idx="3">
                  <c:v>-9310.8220604795497</c:v>
                </c:pt>
                <c:pt idx="4">
                  <c:v>-12530.461536900722</c:v>
                </c:pt>
                <c:pt idx="5">
                  <c:v>-15845.639139946899</c:v>
                </c:pt>
                <c:pt idx="6">
                  <c:v>-19508.910487361136</c:v>
                </c:pt>
                <c:pt idx="7">
                  <c:v>-23520.789092643419</c:v>
                </c:pt>
                <c:pt idx="8">
                  <c:v>-27967.333200994181</c:v>
                </c:pt>
                <c:pt idx="9">
                  <c:v>-32826.678616349702</c:v>
                </c:pt>
                <c:pt idx="10">
                  <c:v>-38141.487870070152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E-4FBE-91F3-CF36FC2471F5}"/>
            </c:ext>
          </c:extLst>
        </c:ser>
        <c:ser>
          <c:idx val="1"/>
          <c:order val="1"/>
          <c:tx>
            <c:strRef>
              <c:f>PBO_wage_only!$J$3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PBO_wage_only!$H$4:$H$14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PBO_wage_only!$J$4:$J$14</c:f>
              <c:numCache>
                <c:formatCode>0.00</c:formatCode>
                <c:ptCount val="11"/>
                <c:pt idx="0">
                  <c:v>1656.0517013333738</c:v>
                </c:pt>
                <c:pt idx="1">
                  <c:v>5133.5772213459713</c:v>
                </c:pt>
                <c:pt idx="2">
                  <c:v>8812.6794380256615</c:v>
                </c:pt>
                <c:pt idx="3">
                  <c:v>12593.07524260832</c:v>
                </c:pt>
                <c:pt idx="4">
                  <c:v>17275.396324705682</c:v>
                </c:pt>
                <c:pt idx="5">
                  <c:v>21985.827430050587</c:v>
                </c:pt>
                <c:pt idx="6">
                  <c:v>27032.494936275587</c:v>
                </c:pt>
                <c:pt idx="7">
                  <c:v>32449.059428788838</c:v>
                </c:pt>
                <c:pt idx="8">
                  <c:v>38256.275514263165</c:v>
                </c:pt>
                <c:pt idx="9">
                  <c:v>44475.543573993084</c:v>
                </c:pt>
                <c:pt idx="10">
                  <c:v>51137.525878180575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E-4FBE-91F3-CF36FC2471F5}"/>
            </c:ext>
          </c:extLst>
        </c:ser>
        <c:ser>
          <c:idx val="2"/>
          <c:order val="2"/>
          <c:tx>
            <c:strRef>
              <c:f>PBO_wage_only!$K$3</c:f>
              <c:strCache>
                <c:ptCount val="1"/>
                <c:pt idx="0">
                  <c:v>Superannuation funds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PBO_wage_only!$H$4:$H$14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PBO_wage_only!$K$4:$K$14</c:f>
              <c:numCache>
                <c:formatCode>0.00</c:formatCode>
                <c:ptCount val="11"/>
                <c:pt idx="0">
                  <c:v>-470.3884234020843</c:v>
                </c:pt>
                <c:pt idx="1">
                  <c:v>-869.66141765921202</c:v>
                </c:pt>
                <c:pt idx="2">
                  <c:v>-1297.9280470692174</c:v>
                </c:pt>
                <c:pt idx="3">
                  <c:v>-1808.6770531193106</c:v>
                </c:pt>
                <c:pt idx="4">
                  <c:v>-2333.7441300770879</c:v>
                </c:pt>
                <c:pt idx="5">
                  <c:v>-3053.8748318893886</c:v>
                </c:pt>
                <c:pt idx="6">
                  <c:v>-3741.4448425348637</c:v>
                </c:pt>
                <c:pt idx="7">
                  <c:v>-4485.5092992326281</c:v>
                </c:pt>
                <c:pt idx="8">
                  <c:v>-5288.7119853178519</c:v>
                </c:pt>
                <c:pt idx="9">
                  <c:v>-6154.158766507484</c:v>
                </c:pt>
                <c:pt idx="10">
                  <c:v>-7086.6375540786103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E-4FBE-91F3-CF36FC2471F5}"/>
            </c:ext>
          </c:extLst>
        </c:ser>
        <c:ser>
          <c:idx val="3"/>
          <c:order val="3"/>
          <c:tx>
            <c:strRef>
              <c:f>PBO_wage_only!$L$3</c:f>
              <c:strCache>
                <c:ptCount val="1"/>
                <c:pt idx="0">
                  <c:v>Other income tax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PBO_wage_only!$H$4:$H$14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PBO_wage_only!$L$4:$L$14</c:f>
              <c:numCache>
                <c:formatCode>0.00</c:formatCode>
                <c:ptCount val="11"/>
                <c:pt idx="0">
                  <c:v>-56.328502415457478</c:v>
                </c:pt>
                <c:pt idx="1">
                  <c:v>-116.53574179105635</c:v>
                </c:pt>
                <c:pt idx="2">
                  <c:v>-182.572424026308</c:v>
                </c:pt>
                <c:pt idx="3">
                  <c:v>-258.10254805463046</c:v>
                </c:pt>
                <c:pt idx="4">
                  <c:v>-335.22721615909541</c:v>
                </c:pt>
                <c:pt idx="5">
                  <c:v>-420.50625624090389</c:v>
                </c:pt>
                <c:pt idx="6">
                  <c:v>-512.54543892018046</c:v>
                </c:pt>
                <c:pt idx="7">
                  <c:v>-611.72227917401688</c:v>
                </c:pt>
                <c:pt idx="8">
                  <c:v>-718.37497987236566</c:v>
                </c:pt>
                <c:pt idx="9">
                  <c:v>-832.91206306216918</c:v>
                </c:pt>
                <c:pt idx="10">
                  <c:v>-955.99110407863918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E-4FBE-91F3-CF36FC247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8801775"/>
        <c:axId val="1917202639"/>
      </c:barChart>
      <c:catAx>
        <c:axId val="169880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02639"/>
        <c:crosses val="autoZero"/>
        <c:auto val="1"/>
        <c:lblAlgn val="ctr"/>
        <c:lblOffset val="100"/>
        <c:noMultiLvlLbl val="0"/>
      </c:catAx>
      <c:valAx>
        <c:axId val="19172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0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PBO_wage_only!$N$3</c:f>
              <c:strCache>
                <c:ptCount val="1"/>
                <c:pt idx="0">
                  <c:v>Individual and other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PBO_wage_only!$M$4:$M$14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PBO_wage_only!$N$4:$N$14</c:f>
              <c:numCache>
                <c:formatCode>0.00</c:formatCode>
                <c:ptCount val="11"/>
                <c:pt idx="0">
                  <c:v>-2.8408640014734119</c:v>
                </c:pt>
                <c:pt idx="1">
                  <c:v>-4.4157927923570384</c:v>
                </c:pt>
                <c:pt idx="2">
                  <c:v>-6.7512139659066452</c:v>
                </c:pt>
                <c:pt idx="3">
                  <c:v>-9.3108220604795502</c:v>
                </c:pt>
                <c:pt idx="4">
                  <c:v>-12.530461536900722</c:v>
                </c:pt>
                <c:pt idx="5">
                  <c:v>-15.845639139946899</c:v>
                </c:pt>
                <c:pt idx="6">
                  <c:v>-19.508910487361135</c:v>
                </c:pt>
                <c:pt idx="7">
                  <c:v>-23.520789092643419</c:v>
                </c:pt>
                <c:pt idx="8">
                  <c:v>-27.96733320099418</c:v>
                </c:pt>
                <c:pt idx="9">
                  <c:v>-32.826678616349703</c:v>
                </c:pt>
                <c:pt idx="10">
                  <c:v>-38.141487870070151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A29-8785-6F176D3F962D}"/>
            </c:ext>
          </c:extLst>
        </c:ser>
        <c:ser>
          <c:idx val="1"/>
          <c:order val="1"/>
          <c:tx>
            <c:strRef>
              <c:f>PBO_wage_only!$O$3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PBO_wage_only!$M$4:$M$14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PBO_wage_only!$O$4:$O$14</c:f>
              <c:numCache>
                <c:formatCode>0.00</c:formatCode>
                <c:ptCount val="11"/>
                <c:pt idx="0">
                  <c:v>1.6560517013333738</c:v>
                </c:pt>
                <c:pt idx="1">
                  <c:v>5.1335772213459716</c:v>
                </c:pt>
                <c:pt idx="2">
                  <c:v>8.8126794380256612</c:v>
                </c:pt>
                <c:pt idx="3">
                  <c:v>12.59307524260832</c:v>
                </c:pt>
                <c:pt idx="4">
                  <c:v>17.275396324705682</c:v>
                </c:pt>
                <c:pt idx="5">
                  <c:v>21.985827430050588</c:v>
                </c:pt>
                <c:pt idx="6">
                  <c:v>27.032494936275587</c:v>
                </c:pt>
                <c:pt idx="7">
                  <c:v>32.449059428788836</c:v>
                </c:pt>
                <c:pt idx="8">
                  <c:v>38.256275514263166</c:v>
                </c:pt>
                <c:pt idx="9">
                  <c:v>44.475543573993086</c:v>
                </c:pt>
                <c:pt idx="10">
                  <c:v>51.137525878180575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D-4A29-8785-6F176D3F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199663"/>
        <c:axId val="1917169519"/>
      </c:barChart>
      <c:catAx>
        <c:axId val="19741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69519"/>
        <c:crosses val="autoZero"/>
        <c:auto val="1"/>
        <c:lblAlgn val="ctr"/>
        <c:lblOffset val="100"/>
        <c:noMultiLvlLbl val="0"/>
      </c:catAx>
      <c:valAx>
        <c:axId val="19171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19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Revenue</a:t>
            </a:r>
            <a:r>
              <a:rPr lang="en-AU" baseline="0"/>
              <a:t> change: Permanent wage growth drop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PBO_wage_only!$Q$3</c:f>
              <c:strCache>
                <c:ptCount val="1"/>
                <c:pt idx="0">
                  <c:v>Individual and other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PBO_wage_only!$P$4:$P$14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PBO_wage_only!$Q$4:$Q$14</c:f>
              <c:numCache>
                <c:formatCode>0.00%</c:formatCode>
                <c:ptCount val="11"/>
                <c:pt idx="0">
                  <c:v>-3.4843246960709162E-3</c:v>
                </c:pt>
                <c:pt idx="1">
                  <c:v>-5.2802423959710416E-3</c:v>
                </c:pt>
                <c:pt idx="2">
                  <c:v>-7.8186740823472708E-3</c:v>
                </c:pt>
                <c:pt idx="3">
                  <c:v>-1.0229997572353043E-2</c:v>
                </c:pt>
                <c:pt idx="4">
                  <c:v>-1.2971057690716711E-2</c:v>
                </c:pt>
                <c:pt idx="5">
                  <c:v>-1.5506992972425446E-2</c:v>
                </c:pt>
                <c:pt idx="6">
                  <c:v>-1.8054568411801059E-2</c:v>
                </c:pt>
                <c:pt idx="7">
                  <c:v>-2.0582715004614865E-2</c:v>
                </c:pt>
                <c:pt idx="8">
                  <c:v>-2.3150869326266182E-2</c:v>
                </c:pt>
                <c:pt idx="9">
                  <c:v>-2.5684724218118266E-2</c:v>
                </c:pt>
                <c:pt idx="10">
                  <c:v>-2.8243111050954825E-2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B-4C15-9AD1-FB9919657273}"/>
            </c:ext>
          </c:extLst>
        </c:ser>
        <c:ser>
          <c:idx val="1"/>
          <c:order val="1"/>
          <c:tx>
            <c:strRef>
              <c:f>PBO_wage_only!$R$3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PBO_wage_only!$P$4:$P$14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PBO_wage_only!$R$4:$R$14</c:f>
              <c:numCache>
                <c:formatCode>0.00%</c:formatCode>
                <c:ptCount val="11"/>
                <c:pt idx="0">
                  <c:v>2.0311503253705246E-3</c:v>
                </c:pt>
                <c:pt idx="1">
                  <c:v>6.1385425815402529E-3</c:v>
                </c:pt>
                <c:pt idx="2">
                  <c:v>1.0206085700451157E-2</c:v>
                </c:pt>
                <c:pt idx="3">
                  <c:v>1.3836278722064541E-2</c:v>
                </c:pt>
                <c:pt idx="4">
                  <c:v>1.7882833900240893E-2</c:v>
                </c:pt>
                <c:pt idx="5">
                  <c:v>2.1515955805863164E-2</c:v>
                </c:pt>
                <c:pt idx="6">
                  <c:v>2.5017287843154715E-2</c:v>
                </c:pt>
                <c:pt idx="7">
                  <c:v>2.8395720048332344E-2</c:v>
                </c:pt>
                <c:pt idx="8">
                  <c:v>3.1667875838403484E-2</c:v>
                </c:pt>
                <c:pt idx="9">
                  <c:v>3.4799197460688512E-2</c:v>
                </c:pt>
                <c:pt idx="10">
                  <c:v>3.7866452068375321E-2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B-4C15-9AD1-FB991965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242815"/>
        <c:axId val="1917099919"/>
      </c:barChart>
      <c:lineChart>
        <c:grouping val="standard"/>
        <c:varyColors val="0"/>
        <c:ser>
          <c:idx val="2"/>
          <c:order val="2"/>
          <c:tx>
            <c:strRef>
              <c:f>PBO_wage_only!$S$3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PBO_wage_only!$P$4:$P$14</c:f>
              <c:numCache>
                <c:formatCode>General</c:formatCode>
                <c:ptCount val="1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</c:numCache>
            </c:numRef>
          </c:cat>
          <c:val>
            <c:numRef>
              <c:f>PBO_wage_only!$S$4:$S$14</c:f>
              <c:numCache>
                <c:formatCode>0.00%</c:formatCode>
                <c:ptCount val="11"/>
                <c:pt idx="0">
                  <c:v>-1.4531743707003916E-3</c:v>
                </c:pt>
                <c:pt idx="1">
                  <c:v>-3.2491983153844483E-4</c:v>
                </c:pt>
                <c:pt idx="2">
                  <c:v>6.6517753624719506E-4</c:v>
                </c:pt>
                <c:pt idx="3">
                  <c:v>1.3242920937857762E-3</c:v>
                </c:pt>
                <c:pt idx="4">
                  <c:v>2.1341986807862975E-3</c:v>
                </c:pt>
                <c:pt idx="5">
                  <c:v>2.5906009802507757E-3</c:v>
                </c:pt>
                <c:pt idx="6">
                  <c:v>3.0042720931308872E-3</c:v>
                </c:pt>
                <c:pt idx="7">
                  <c:v>3.3276681964795481E-3</c:v>
                </c:pt>
                <c:pt idx="8">
                  <c:v>3.5164816084871527E-3</c:v>
                </c:pt>
                <c:pt idx="9">
                  <c:v>3.6165716806498367E-3</c:v>
                </c:pt>
                <c:pt idx="10">
                  <c:v>3.6339912206477011E-3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B-4C15-9AD1-FB991965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242815"/>
        <c:axId val="1917099919"/>
      </c:lineChart>
      <c:catAx>
        <c:axId val="19742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99919"/>
        <c:crosses val="autoZero"/>
        <c:auto val="1"/>
        <c:lblAlgn val="ctr"/>
        <c:lblOffset val="100"/>
        <c:noMultiLvlLbl val="0"/>
      </c:catAx>
      <c:valAx>
        <c:axId val="19170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2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change: Permanent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PBO_prod_only!$J$1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PBO_prod_only!$J$2:$J$12</c:f>
              <c:numCache>
                <c:formatCode>0.0%</c:formatCode>
                <c:ptCount val="11"/>
                <c:pt idx="0">
                  <c:v>1.1971306596524698E-3</c:v>
                </c:pt>
                <c:pt idx="1">
                  <c:v>2.8229674355245171E-3</c:v>
                </c:pt>
                <c:pt idx="2">
                  <c:v>4.5572048283479549E-3</c:v>
                </c:pt>
                <c:pt idx="3">
                  <c:v>6.4941626090705782E-3</c:v>
                </c:pt>
                <c:pt idx="4">
                  <c:v>8.1292645673597796E-3</c:v>
                </c:pt>
                <c:pt idx="5">
                  <c:v>1.000535880170195E-2</c:v>
                </c:pt>
                <c:pt idx="6">
                  <c:v>1.1925556766513724E-2</c:v>
                </c:pt>
                <c:pt idx="7">
                  <c:v>1.3918424427487291E-2</c:v>
                </c:pt>
                <c:pt idx="8">
                  <c:v>1.5961222061342397E-2</c:v>
                </c:pt>
                <c:pt idx="9">
                  <c:v>1.8074888614604961E-2</c:v>
                </c:pt>
                <c:pt idx="10">
                  <c:v>2.0254744113466561E-2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B-4765-9ED5-1A34A0DBDEA9}"/>
            </c:ext>
          </c:extLst>
        </c:ser>
        <c:ser>
          <c:idx val="2"/>
          <c:order val="2"/>
          <c:tx>
            <c:strRef>
              <c:f>PBO_prod_only!$K$1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PBO_prod_only!$K$2:$K$12</c:f>
              <c:numCache>
                <c:formatCode>0.0%</c:formatCode>
                <c:ptCount val="11"/>
                <c:pt idx="0">
                  <c:v>1.9170114419962013E-3</c:v>
                </c:pt>
                <c:pt idx="1">
                  <c:v>5.8789404551852133E-3</c:v>
                </c:pt>
                <c:pt idx="2">
                  <c:v>9.8588518995703141E-3</c:v>
                </c:pt>
                <c:pt idx="3">
                  <c:v>1.3500684453341922E-2</c:v>
                </c:pt>
                <c:pt idx="4">
                  <c:v>1.7632021526983885E-2</c:v>
                </c:pt>
                <c:pt idx="5">
                  <c:v>2.1432231322697139E-2</c:v>
                </c:pt>
                <c:pt idx="6">
                  <c:v>2.5177198382443037E-2</c:v>
                </c:pt>
                <c:pt idx="7">
                  <c:v>2.8872527667694315E-2</c:v>
                </c:pt>
                <c:pt idx="8">
                  <c:v>3.2531728928626852E-2</c:v>
                </c:pt>
                <c:pt idx="9">
                  <c:v>3.6115806577012563E-2</c:v>
                </c:pt>
                <c:pt idx="10">
                  <c:v>3.9700933037690483E-2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B-4765-9ED5-1A34A0DB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0221151"/>
        <c:axId val="66606223"/>
      </c:barChart>
      <c:lineChart>
        <c:grouping val="standard"/>
        <c:varyColors val="0"/>
        <c:ser>
          <c:idx val="0"/>
          <c:order val="0"/>
          <c:tx>
            <c:strRef>
              <c:f>PBO_prod_only!$I$1</c:f>
              <c:strCache>
                <c:ptCount val="1"/>
                <c:pt idx="0">
                  <c:v>Income tax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PBO_prod_only!$I$2:$I$12</c:f>
              <c:numCache>
                <c:formatCode>0.0%</c:formatCode>
                <c:ptCount val="11"/>
                <c:pt idx="0">
                  <c:v>2.94059803796006E-3</c:v>
                </c:pt>
                <c:pt idx="1">
                  <c:v>8.3924930131196954E-3</c:v>
                </c:pt>
                <c:pt idx="2">
                  <c:v>1.3962928764238356E-2</c:v>
                </c:pt>
                <c:pt idx="3">
                  <c:v>1.9378111556707944E-2</c:v>
                </c:pt>
                <c:pt idx="4">
                  <c:v>2.5002463083811991E-2</c:v>
                </c:pt>
                <c:pt idx="5">
                  <c:v>3.0479079782907263E-2</c:v>
                </c:pt>
                <c:pt idx="6">
                  <c:v>3.5971177011743093E-2</c:v>
                </c:pt>
                <c:pt idx="7">
                  <c:v>4.1484672160968343E-2</c:v>
                </c:pt>
                <c:pt idx="8">
                  <c:v>4.7010185002699344E-2</c:v>
                </c:pt>
                <c:pt idx="9">
                  <c:v>5.2531762409199149E-2</c:v>
                </c:pt>
                <c:pt idx="10">
                  <c:v>5.8117589709550777E-2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B-4765-9ED5-1A34A0DB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21151"/>
        <c:axId val="66606223"/>
      </c:lineChart>
      <c:catAx>
        <c:axId val="370221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6223"/>
        <c:crosses val="autoZero"/>
        <c:auto val="1"/>
        <c:lblAlgn val="ctr"/>
        <c:lblOffset val="100"/>
        <c:noMultiLvlLbl val="0"/>
      </c:catAx>
      <c:valAx>
        <c:axId val="666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2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16</xdr:row>
      <xdr:rowOff>42862</xdr:rowOff>
    </xdr:from>
    <xdr:to>
      <xdr:col>7</xdr:col>
      <xdr:colOff>171450</xdr:colOff>
      <xdr:row>30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AAD7B-A95A-9AD2-EF16-82D9DDD0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17</xdr:row>
      <xdr:rowOff>42862</xdr:rowOff>
    </xdr:from>
    <xdr:to>
      <xdr:col>13</xdr:col>
      <xdr:colOff>1285875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89B496-2FCF-B8A7-A619-D29BFCBDB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17</xdr:row>
      <xdr:rowOff>100012</xdr:rowOff>
    </xdr:from>
    <xdr:to>
      <xdr:col>22</xdr:col>
      <xdr:colOff>314325</xdr:colOff>
      <xdr:row>31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91AE0-0341-60BC-37FE-B0085BBA9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266700</xdr:colOff>
      <xdr:row>2</xdr:row>
      <xdr:rowOff>185737</xdr:rowOff>
    </xdr:from>
    <xdr:to>
      <xdr:col>28</xdr:col>
      <xdr:colOff>571500</xdr:colOff>
      <xdr:row>17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C6D661-50BD-CC69-D823-9614C1560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</xdr:row>
      <xdr:rowOff>38100</xdr:rowOff>
    </xdr:from>
    <xdr:to>
      <xdr:col>25</xdr:col>
      <xdr:colOff>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E430E-D97F-2CC4-22F9-CC1915D24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61BD-7312-42AC-9512-28BEB9E01C1D}">
  <dimension ref="B1:S40"/>
  <sheetViews>
    <sheetView topLeftCell="K1" workbookViewId="0">
      <selection activeCell="F34" sqref="F34"/>
    </sheetView>
  </sheetViews>
  <sheetFormatPr defaultRowHeight="15" x14ac:dyDescent="0.25"/>
  <cols>
    <col min="2" max="2" width="16.42578125" bestFit="1" customWidth="1"/>
    <col min="3" max="3" width="18.7109375" customWidth="1"/>
    <col min="5" max="5" width="12" customWidth="1"/>
    <col min="7" max="7" width="18.140625" bestFit="1" customWidth="1"/>
    <col min="8" max="8" width="18.140625" customWidth="1"/>
    <col min="9" max="9" width="12.85546875" bestFit="1" customWidth="1"/>
    <col min="10" max="10" width="9.5703125" bestFit="1" customWidth="1"/>
    <col min="11" max="12" width="9.28515625" bestFit="1" customWidth="1"/>
    <col min="14" max="14" width="20.5703125" customWidth="1"/>
  </cols>
  <sheetData>
    <row r="1" spans="2:19" x14ac:dyDescent="0.25">
      <c r="B1" t="s">
        <v>1</v>
      </c>
      <c r="C1" t="s">
        <v>31</v>
      </c>
      <c r="E1" t="s">
        <v>0</v>
      </c>
      <c r="G1" t="s">
        <v>2</v>
      </c>
      <c r="I1" t="s">
        <v>3</v>
      </c>
      <c r="J1" t="s">
        <v>4</v>
      </c>
      <c r="K1" t="s">
        <v>5</v>
      </c>
      <c r="L1" t="s">
        <v>6</v>
      </c>
    </row>
    <row r="3" spans="2:19" x14ac:dyDescent="0.25">
      <c r="G3" t="s">
        <v>2</v>
      </c>
      <c r="I3" t="s">
        <v>3</v>
      </c>
      <c r="J3" t="s">
        <v>4</v>
      </c>
      <c r="K3" t="s">
        <v>5</v>
      </c>
      <c r="L3" t="s">
        <v>6</v>
      </c>
      <c r="N3" t="s">
        <v>7</v>
      </c>
      <c r="O3" t="s">
        <v>4</v>
      </c>
      <c r="Q3" t="s">
        <v>7</v>
      </c>
      <c r="R3" t="s">
        <v>4</v>
      </c>
      <c r="S3" t="s">
        <v>8</v>
      </c>
    </row>
    <row r="4" spans="2:19" x14ac:dyDescent="0.25">
      <c r="B4">
        <v>-1184.8123001400381</v>
      </c>
      <c r="C4">
        <v>815327</v>
      </c>
      <c r="D4">
        <v>2027</v>
      </c>
      <c r="E4" s="1">
        <f>B4/C4</f>
        <v>-1.4531743707003916E-3</v>
      </c>
      <c r="F4">
        <v>2027</v>
      </c>
      <c r="G4" s="2">
        <v>-1184.8123001400381</v>
      </c>
      <c r="H4">
        <v>2027</v>
      </c>
      <c r="I4" s="2">
        <v>-2314.1470756558701</v>
      </c>
      <c r="J4" s="2">
        <v>1656.0517013333738</v>
      </c>
      <c r="K4" s="2">
        <v>-470.3884234020843</v>
      </c>
      <c r="L4" s="2">
        <v>-56.328502415457478</v>
      </c>
      <c r="M4">
        <v>2027</v>
      </c>
      <c r="N4" s="2">
        <f>I4/1000+(K4+L4)/1000</f>
        <v>-2.8408640014734119</v>
      </c>
      <c r="O4" s="2">
        <f>J4/1000</f>
        <v>1.6560517013333738</v>
      </c>
      <c r="P4">
        <v>2027</v>
      </c>
      <c r="Q4" s="1">
        <f>N4/($C4/1000)</f>
        <v>-3.4843246960709162E-3</v>
      </c>
      <c r="R4" s="1">
        <f>O4/($C4/1000)</f>
        <v>2.0311503253705246E-3</v>
      </c>
      <c r="S4" s="3">
        <f>E4</f>
        <v>-1.4531743707003916E-3</v>
      </c>
    </row>
    <row r="5" spans="2:19" x14ac:dyDescent="0.25">
      <c r="B5">
        <v>-271.72590623795986</v>
      </c>
      <c r="C5">
        <v>836286</v>
      </c>
      <c r="D5">
        <v>2028</v>
      </c>
      <c r="E5" s="1">
        <f>B5/C5</f>
        <v>-3.2491983153844483E-4</v>
      </c>
      <c r="F5">
        <v>2028</v>
      </c>
      <c r="G5" s="2">
        <v>-268.41273046133574</v>
      </c>
      <c r="H5">
        <v>2028</v>
      </c>
      <c r="I5" s="2">
        <v>-4415.7927923570387</v>
      </c>
      <c r="J5" s="2">
        <v>5133.5772213459713</v>
      </c>
      <c r="K5" s="2">
        <v>-869.66141765921202</v>
      </c>
      <c r="L5" s="2">
        <v>-116.53574179105635</v>
      </c>
      <c r="M5">
        <v>2028</v>
      </c>
      <c r="N5" s="2">
        <f t="shared" ref="N5:N14" si="0">I5/1000</f>
        <v>-4.4157927923570384</v>
      </c>
      <c r="O5" s="2">
        <f t="shared" ref="O5:O14" si="1">J5/1000</f>
        <v>5.1335772213459716</v>
      </c>
      <c r="P5">
        <v>2028</v>
      </c>
      <c r="Q5" s="1">
        <f>N5/($C5/1000)</f>
        <v>-5.2802423959710416E-3</v>
      </c>
      <c r="R5" s="1">
        <f>O5/($C5/1000)</f>
        <v>6.1385425815402529E-3</v>
      </c>
      <c r="S5" s="3">
        <f t="shared" ref="S5:S14" si="2">E5</f>
        <v>-3.2491983153844483E-4</v>
      </c>
    </row>
    <row r="6" spans="2:19" x14ac:dyDescent="0.25">
      <c r="B6">
        <v>574.36284275597427</v>
      </c>
      <c r="C6">
        <v>863473</v>
      </c>
      <c r="D6">
        <v>2029</v>
      </c>
      <c r="E6" s="1">
        <f>B6/C6</f>
        <v>6.6517753624719506E-4</v>
      </c>
      <c r="F6">
        <v>2029</v>
      </c>
      <c r="G6" s="2">
        <v>580.96500102349091</v>
      </c>
      <c r="H6">
        <v>2029</v>
      </c>
      <c r="I6" s="2">
        <v>-6751.2139659066452</v>
      </c>
      <c r="J6" s="2">
        <v>8812.6794380256615</v>
      </c>
      <c r="K6" s="2">
        <v>-1297.9280470692174</v>
      </c>
      <c r="L6" s="2">
        <v>-182.572424026308</v>
      </c>
      <c r="M6">
        <v>2029</v>
      </c>
      <c r="N6" s="2">
        <f t="shared" si="0"/>
        <v>-6.7512139659066452</v>
      </c>
      <c r="O6" s="2">
        <f t="shared" si="1"/>
        <v>8.8126794380256612</v>
      </c>
      <c r="P6">
        <v>2029</v>
      </c>
      <c r="Q6" s="1">
        <f>N6/($C6/1000)</f>
        <v>-7.8186740823472708E-3</v>
      </c>
      <c r="R6" s="1">
        <f>O6/($C6/1000)</f>
        <v>1.0206085700451157E-2</v>
      </c>
      <c r="S6" s="3">
        <f t="shared" si="2"/>
        <v>6.6517753624719506E-4</v>
      </c>
    </row>
    <row r="7" spans="2:19" x14ac:dyDescent="0.25">
      <c r="B7">
        <v>1205.3031248670304</v>
      </c>
      <c r="C7">
        <v>910149</v>
      </c>
      <c r="D7">
        <v>2030</v>
      </c>
      <c r="E7" s="1">
        <f>B7/C7</f>
        <v>1.3242920937857762E-3</v>
      </c>
      <c r="F7">
        <v>2030</v>
      </c>
      <c r="G7" s="2">
        <v>1215.4735809548292</v>
      </c>
      <c r="H7">
        <v>2030</v>
      </c>
      <c r="I7" s="2">
        <v>-9310.8220604795497</v>
      </c>
      <c r="J7" s="2">
        <v>12593.07524260832</v>
      </c>
      <c r="K7" s="2">
        <v>-1808.6770531193106</v>
      </c>
      <c r="L7" s="2">
        <v>-258.10254805463046</v>
      </c>
      <c r="M7">
        <v>2030</v>
      </c>
      <c r="N7" s="2">
        <f t="shared" si="0"/>
        <v>-9.3108220604795502</v>
      </c>
      <c r="O7" s="2">
        <f t="shared" si="1"/>
        <v>12.59307524260832</v>
      </c>
      <c r="P7">
        <v>2030</v>
      </c>
      <c r="Q7" s="1">
        <f>N7/($C7/1000)</f>
        <v>-1.0229997572353043E-2</v>
      </c>
      <c r="R7" s="1">
        <f>O7/($C7/1000)</f>
        <v>1.3836278722064541E-2</v>
      </c>
      <c r="S7" s="3">
        <f t="shared" si="2"/>
        <v>1.3242920937857762E-3</v>
      </c>
    </row>
    <row r="8" spans="2:19" x14ac:dyDescent="0.25">
      <c r="B8">
        <v>2061.7049988788785</v>
      </c>
      <c r="C8">
        <v>966032.36495268077</v>
      </c>
      <c r="D8">
        <v>2031</v>
      </c>
      <c r="E8" s="1">
        <f>B8/C8</f>
        <v>2.1341986807862975E-3</v>
      </c>
      <c r="F8">
        <v>2031</v>
      </c>
      <c r="G8" s="2">
        <v>2075.963441568776</v>
      </c>
      <c r="H8">
        <v>2031</v>
      </c>
      <c r="I8" s="2">
        <v>-12530.461536900722</v>
      </c>
      <c r="J8" s="2">
        <v>17275.396324705682</v>
      </c>
      <c r="K8" s="2">
        <v>-2333.7441300770879</v>
      </c>
      <c r="L8" s="2">
        <v>-335.22721615909541</v>
      </c>
      <c r="M8">
        <v>2031</v>
      </c>
      <c r="N8" s="2">
        <f t="shared" si="0"/>
        <v>-12.530461536900722</v>
      </c>
      <c r="O8" s="2">
        <f t="shared" si="1"/>
        <v>17.275396324705682</v>
      </c>
      <c r="P8">
        <v>2031</v>
      </c>
      <c r="Q8" s="1">
        <f>N8/($C8/1000)</f>
        <v>-1.2971057690716711E-2</v>
      </c>
      <c r="R8" s="1">
        <f>O8/($C8/1000)</f>
        <v>1.7882833900240893E-2</v>
      </c>
      <c r="S8" s="3">
        <f t="shared" si="2"/>
        <v>2.1341986807862975E-3</v>
      </c>
    </row>
    <row r="9" spans="2:19" x14ac:dyDescent="0.25">
      <c r="B9">
        <v>2647.1752687088447</v>
      </c>
      <c r="C9">
        <v>1021838.2872890724</v>
      </c>
      <c r="D9">
        <v>2032</v>
      </c>
      <c r="E9" s="1">
        <f>B9/C9</f>
        <v>2.5906009802507757E-3</v>
      </c>
      <c r="F9">
        <v>2032</v>
      </c>
      <c r="G9" s="2">
        <v>2665.8072019733954</v>
      </c>
      <c r="H9">
        <v>2032</v>
      </c>
      <c r="I9" s="2">
        <v>-15845.639139946899</v>
      </c>
      <c r="J9" s="2">
        <v>21985.827430050587</v>
      </c>
      <c r="K9" s="2">
        <v>-3053.8748318893886</v>
      </c>
      <c r="L9" s="2">
        <v>-420.50625624090389</v>
      </c>
      <c r="M9">
        <v>2032</v>
      </c>
      <c r="N9" s="2">
        <f t="shared" si="0"/>
        <v>-15.845639139946899</v>
      </c>
      <c r="O9" s="2">
        <f t="shared" si="1"/>
        <v>21.985827430050588</v>
      </c>
      <c r="P9">
        <v>2032</v>
      </c>
      <c r="Q9" s="1">
        <f>N9/($C9/1000)</f>
        <v>-1.5506992972425446E-2</v>
      </c>
      <c r="R9" s="1">
        <f>O9/($C9/1000)</f>
        <v>2.1515955805863164E-2</v>
      </c>
      <c r="S9" s="3">
        <f t="shared" si="2"/>
        <v>2.5906009802507757E-3</v>
      </c>
    </row>
    <row r="10" spans="2:19" x14ac:dyDescent="0.25">
      <c r="B10">
        <v>3246.2739627859555</v>
      </c>
      <c r="C10">
        <v>1080552.5805097325</v>
      </c>
      <c r="D10">
        <v>2033</v>
      </c>
      <c r="E10" s="1">
        <f>B10/C10</f>
        <v>3.0042720931308872E-3</v>
      </c>
      <c r="F10">
        <v>2033</v>
      </c>
      <c r="G10" s="2">
        <v>3269.5941674594069</v>
      </c>
      <c r="H10">
        <v>2033</v>
      </c>
      <c r="I10" s="2">
        <v>-19508.910487361136</v>
      </c>
      <c r="J10" s="2">
        <v>27032.494936275587</v>
      </c>
      <c r="K10" s="2">
        <v>-3741.4448425348637</v>
      </c>
      <c r="L10" s="2">
        <v>-512.54543892018046</v>
      </c>
      <c r="M10">
        <v>2033</v>
      </c>
      <c r="N10" s="2">
        <f t="shared" si="0"/>
        <v>-19.508910487361135</v>
      </c>
      <c r="O10" s="2">
        <f t="shared" si="1"/>
        <v>27.032494936275587</v>
      </c>
      <c r="P10">
        <v>2033</v>
      </c>
      <c r="Q10" s="1">
        <f>N10/($C10/1000)</f>
        <v>-1.8054568411801059E-2</v>
      </c>
      <c r="R10" s="1">
        <f>O10/($C10/1000)</f>
        <v>2.5017287843154715E-2</v>
      </c>
      <c r="S10" s="3">
        <f t="shared" si="2"/>
        <v>3.0042720931308872E-3</v>
      </c>
    </row>
    <row r="11" spans="2:19" x14ac:dyDescent="0.25">
      <c r="B11">
        <v>3802.6752934267279</v>
      </c>
      <c r="C11">
        <v>1142744.7296126776</v>
      </c>
      <c r="D11">
        <v>2034</v>
      </c>
      <c r="E11" s="1">
        <f>B11/C11</f>
        <v>3.3276681964795481E-3</v>
      </c>
      <c r="F11">
        <v>2034</v>
      </c>
      <c r="G11" s="2">
        <v>3831.0387577387737</v>
      </c>
      <c r="H11">
        <v>2034</v>
      </c>
      <c r="I11" s="2">
        <v>-23520.789092643419</v>
      </c>
      <c r="J11" s="2">
        <v>32449.059428788838</v>
      </c>
      <c r="K11" s="2">
        <v>-4485.5092992326281</v>
      </c>
      <c r="L11" s="2">
        <v>-611.72227917401688</v>
      </c>
      <c r="M11">
        <v>2034</v>
      </c>
      <c r="N11" s="2">
        <f t="shared" si="0"/>
        <v>-23.520789092643419</v>
      </c>
      <c r="O11" s="2">
        <f t="shared" si="1"/>
        <v>32.449059428788836</v>
      </c>
      <c r="P11">
        <v>2034</v>
      </c>
      <c r="Q11" s="1">
        <f>N11/($C11/1000)</f>
        <v>-2.0582715004614865E-2</v>
      </c>
      <c r="R11" s="1">
        <f>O11/($C11/1000)</f>
        <v>2.8395720048332344E-2</v>
      </c>
      <c r="S11" s="3">
        <f t="shared" si="2"/>
        <v>3.3276681964795481E-3</v>
      </c>
    </row>
    <row r="12" spans="2:19" x14ac:dyDescent="0.25">
      <c r="B12">
        <v>4248.0742927500978</v>
      </c>
      <c r="C12">
        <v>1208046.7824706435</v>
      </c>
      <c r="D12">
        <v>2035</v>
      </c>
      <c r="E12" s="1">
        <f>B12/C12</f>
        <v>3.5164816084871527E-3</v>
      </c>
      <c r="F12">
        <v>2035</v>
      </c>
      <c r="G12" s="2">
        <v>4281.8553480787668</v>
      </c>
      <c r="H12">
        <v>2035</v>
      </c>
      <c r="I12" s="2">
        <v>-27967.333200994181</v>
      </c>
      <c r="J12" s="2">
        <v>38256.275514263165</v>
      </c>
      <c r="K12" s="2">
        <v>-5288.7119853178519</v>
      </c>
      <c r="L12" s="2">
        <v>-718.37497987236566</v>
      </c>
      <c r="M12">
        <v>2035</v>
      </c>
      <c r="N12" s="2">
        <f t="shared" si="0"/>
        <v>-27.96733320099418</v>
      </c>
      <c r="O12" s="2">
        <f t="shared" si="1"/>
        <v>38.256275514263166</v>
      </c>
      <c r="P12">
        <v>2035</v>
      </c>
      <c r="Q12" s="1">
        <f>N12/($C12/1000)</f>
        <v>-2.3150869326266182E-2</v>
      </c>
      <c r="R12" s="1">
        <f>O12/($C12/1000)</f>
        <v>3.1667875838403484E-2</v>
      </c>
      <c r="S12" s="3">
        <f t="shared" si="2"/>
        <v>3.5164816084871527E-3</v>
      </c>
    </row>
    <row r="13" spans="2:19" x14ac:dyDescent="0.25">
      <c r="B13">
        <v>4622.2040480363648</v>
      </c>
      <c r="C13">
        <v>1278062.3353235552</v>
      </c>
      <c r="D13">
        <v>2036</v>
      </c>
      <c r="E13" s="1">
        <f>B13/C13</f>
        <v>3.6165716806498367E-3</v>
      </c>
      <c r="F13">
        <v>2036</v>
      </c>
      <c r="G13" s="2">
        <v>4661.7941280737286</v>
      </c>
      <c r="H13">
        <v>2036</v>
      </c>
      <c r="I13" s="2">
        <v>-32826.678616349702</v>
      </c>
      <c r="J13" s="2">
        <v>44475.543573993084</v>
      </c>
      <c r="K13" s="2">
        <v>-6154.158766507484</v>
      </c>
      <c r="L13" s="2">
        <v>-832.91206306216918</v>
      </c>
      <c r="M13">
        <v>2036</v>
      </c>
      <c r="N13" s="2">
        <f t="shared" si="0"/>
        <v>-32.826678616349703</v>
      </c>
      <c r="O13" s="2">
        <f t="shared" si="1"/>
        <v>44.475543573993086</v>
      </c>
      <c r="P13">
        <v>2036</v>
      </c>
      <c r="Q13" s="1">
        <f>N13/($C13/1000)</f>
        <v>-2.5684724218118266E-2</v>
      </c>
      <c r="R13" s="1">
        <f>O13/($C13/1000)</f>
        <v>3.4799197460688512E-2</v>
      </c>
      <c r="S13" s="3">
        <f t="shared" si="2"/>
        <v>3.6165716806498367E-3</v>
      </c>
    </row>
    <row r="14" spans="2:19" x14ac:dyDescent="0.25">
      <c r="B14">
        <v>4907.597885098774</v>
      </c>
      <c r="C14">
        <v>1350470.4846876522</v>
      </c>
      <c r="D14">
        <v>2037</v>
      </c>
      <c r="E14" s="1">
        <f>B14/C14</f>
        <v>3.6339912206477011E-3</v>
      </c>
      <c r="F14">
        <v>2037</v>
      </c>
      <c r="G14" s="2">
        <v>4953.4093499531737</v>
      </c>
      <c r="H14">
        <v>2037</v>
      </c>
      <c r="I14" s="2">
        <v>-38141.487870070152</v>
      </c>
      <c r="J14" s="2">
        <v>51137.525878180575</v>
      </c>
      <c r="K14" s="2">
        <v>-7086.6375540786103</v>
      </c>
      <c r="L14" s="2">
        <v>-955.99110407863918</v>
      </c>
      <c r="M14">
        <v>2037</v>
      </c>
      <c r="N14" s="2">
        <f t="shared" si="0"/>
        <v>-38.141487870070151</v>
      </c>
      <c r="O14" s="2">
        <f t="shared" si="1"/>
        <v>51.137525878180575</v>
      </c>
      <c r="P14">
        <v>2037</v>
      </c>
      <c r="Q14" s="1">
        <f>N14/($C14/1000)</f>
        <v>-2.8243111050954825E-2</v>
      </c>
      <c r="R14" s="1">
        <f>O14/($C14/1000)</f>
        <v>3.7866452068375321E-2</v>
      </c>
      <c r="S14" s="3">
        <f t="shared" si="2"/>
        <v>3.6339912206477011E-3</v>
      </c>
    </row>
    <row r="40" spans="10:10" x14ac:dyDescent="0.25">
      <c r="J40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651C-544E-49C9-99FE-8CF9CDD8CED8}">
  <dimension ref="A1:M25"/>
  <sheetViews>
    <sheetView topLeftCell="A8" workbookViewId="0">
      <selection activeCell="L23" sqref="L23"/>
    </sheetView>
  </sheetViews>
  <sheetFormatPr defaultRowHeight="15" x14ac:dyDescent="0.25"/>
  <cols>
    <col min="8" max="8" width="18.5703125" bestFit="1" customWidth="1"/>
  </cols>
  <sheetData>
    <row r="1" spans="1:13" x14ac:dyDescent="0.25">
      <c r="A1" s="5" t="s">
        <v>24</v>
      </c>
      <c r="B1" t="s">
        <v>9</v>
      </c>
      <c r="D1" t="s">
        <v>10</v>
      </c>
      <c r="E1" t="s">
        <v>11</v>
      </c>
      <c r="F1" t="s">
        <v>12</v>
      </c>
      <c r="H1" t="s">
        <v>31</v>
      </c>
      <c r="I1" t="s">
        <v>10</v>
      </c>
      <c r="J1" t="s">
        <v>11</v>
      </c>
      <c r="K1" t="s">
        <v>12</v>
      </c>
      <c r="M1" t="s">
        <v>32</v>
      </c>
    </row>
    <row r="2" spans="1:13" x14ac:dyDescent="0.25">
      <c r="A2" t="s">
        <v>13</v>
      </c>
      <c r="B2" s="4">
        <v>3062.5542361463886</v>
      </c>
      <c r="C2" s="4"/>
      <c r="D2" s="4">
        <v>2397.548976495862</v>
      </c>
      <c r="E2" s="4">
        <v>976.05294934246922</v>
      </c>
      <c r="F2" s="4">
        <v>1562.9911879684369</v>
      </c>
      <c r="H2">
        <v>815327</v>
      </c>
      <c r="I2" s="6">
        <f>D2/$H2</f>
        <v>2.94059803796006E-3</v>
      </c>
      <c r="J2" s="6">
        <f t="shared" ref="J2:K2" si="0">E2/$H2</f>
        <v>1.1971306596524698E-3</v>
      </c>
      <c r="K2" s="6">
        <f t="shared" si="0"/>
        <v>1.9170114419962013E-3</v>
      </c>
    </row>
    <row r="3" spans="1:13" x14ac:dyDescent="0.25">
      <c r="A3" t="s">
        <v>14</v>
      </c>
      <c r="B3" s="4">
        <v>8488.0796843626304</v>
      </c>
      <c r="C3" s="4"/>
      <c r="D3" s="4">
        <v>7018.5244119698182</v>
      </c>
      <c r="E3" s="4">
        <v>2360.8081447850564</v>
      </c>
      <c r="F3" s="4">
        <v>4916.4755975050211</v>
      </c>
      <c r="H3">
        <v>836286</v>
      </c>
      <c r="I3" s="6">
        <f>D3/$H3</f>
        <v>8.3924930131196954E-3</v>
      </c>
      <c r="J3" s="6">
        <f t="shared" ref="J3:J12" si="1">E3/$H3</f>
        <v>2.8229674355245171E-3</v>
      </c>
      <c r="K3" s="6">
        <f t="shared" ref="K3:K12" si="2">F3/$H3</f>
        <v>5.8789404551852133E-3</v>
      </c>
    </row>
    <row r="4" spans="1:13" x14ac:dyDescent="0.25">
      <c r="A4" t="s">
        <v>15</v>
      </c>
      <c r="B4" s="4">
        <v>14436.551580109401</v>
      </c>
      <c r="C4" s="4"/>
      <c r="D4" s="4">
        <v>12056.611988843186</v>
      </c>
      <c r="E4" s="4">
        <v>3935.0233247480937</v>
      </c>
      <c r="F4" s="4">
        <v>8512.8524262776773</v>
      </c>
      <c r="H4">
        <v>863473</v>
      </c>
      <c r="I4" s="6">
        <f>D4/$H4</f>
        <v>1.3962928764238356E-2</v>
      </c>
      <c r="J4" s="6">
        <f t="shared" si="1"/>
        <v>4.5572048283479549E-3</v>
      </c>
      <c r="K4" s="6">
        <f t="shared" si="2"/>
        <v>9.8588518995703141E-3</v>
      </c>
    </row>
    <row r="5" spans="1:13" x14ac:dyDescent="0.25">
      <c r="A5" t="s">
        <v>16</v>
      </c>
      <c r="B5" s="4">
        <v>21015.549176409375</v>
      </c>
      <c r="C5" s="4"/>
      <c r="D5" s="4">
        <v>17636.96885522618</v>
      </c>
      <c r="E5" s="4">
        <v>5910.6556044829777</v>
      </c>
      <c r="F5" s="4">
        <v>12287.634454524698</v>
      </c>
      <c r="H5">
        <v>910149</v>
      </c>
      <c r="I5" s="6">
        <f>D5/$H5</f>
        <v>1.9378111556707944E-2</v>
      </c>
      <c r="J5" s="6">
        <f t="shared" si="1"/>
        <v>6.4941626090705782E-3</v>
      </c>
      <c r="K5" s="6">
        <f t="shared" si="2"/>
        <v>1.3500684453341922E-2</v>
      </c>
    </row>
    <row r="6" spans="1:13" x14ac:dyDescent="0.25">
      <c r="A6" t="s">
        <v>17</v>
      </c>
      <c r="B6" s="4">
        <v>28633.174000094063</v>
      </c>
      <c r="C6" s="4"/>
      <c r="D6" s="4">
        <v>24153.188542496995</v>
      </c>
      <c r="E6" s="4">
        <v>7853.1326753325993</v>
      </c>
      <c r="F6" s="4">
        <v>17033.103454608819</v>
      </c>
      <c r="H6">
        <v>966032.36495268077</v>
      </c>
      <c r="I6" s="6">
        <f>D6/$H6</f>
        <v>2.5002463083811991E-2</v>
      </c>
      <c r="J6" s="6">
        <f t="shared" si="1"/>
        <v>8.1292645673597796E-3</v>
      </c>
      <c r="K6" s="6">
        <f t="shared" si="2"/>
        <v>1.7632021526983885E-2</v>
      </c>
    </row>
    <row r="7" spans="1:13" x14ac:dyDescent="0.25">
      <c r="A7" t="s">
        <v>18</v>
      </c>
      <c r="B7" s="4">
        <v>36812.075730004581</v>
      </c>
      <c r="C7" s="4"/>
      <c r="D7" s="4">
        <v>31144.690683512948</v>
      </c>
      <c r="E7" s="4">
        <v>10223.858701643767</v>
      </c>
      <c r="F7" s="4">
        <v>21900.274547568057</v>
      </c>
      <c r="H7">
        <v>1021838.2872890724</v>
      </c>
      <c r="I7" s="6">
        <f>D7/$H7</f>
        <v>3.0479079782907263E-2</v>
      </c>
      <c r="J7" s="6">
        <f t="shared" si="1"/>
        <v>1.000535880170195E-2</v>
      </c>
      <c r="K7" s="6">
        <f t="shared" si="2"/>
        <v>2.1432231322697139E-2</v>
      </c>
    </row>
    <row r="8" spans="1:13" x14ac:dyDescent="0.25">
      <c r="A8" t="s">
        <v>19</v>
      </c>
      <c r="B8" s="4">
        <v>45839.26368988899</v>
      </c>
      <c r="C8" s="4"/>
      <c r="D8" s="4">
        <v>38868.748144011362</v>
      </c>
      <c r="E8" s="4">
        <v>12886.191138071707</v>
      </c>
      <c r="F8" s="4">
        <v>27205.286682154285</v>
      </c>
      <c r="H8">
        <v>1080552.5805097325</v>
      </c>
      <c r="I8" s="6">
        <f>D8/$H8</f>
        <v>3.5971177011743093E-2</v>
      </c>
      <c r="J8" s="6">
        <f t="shared" si="1"/>
        <v>1.1925556766513724E-2</v>
      </c>
      <c r="K8" s="6">
        <f t="shared" si="2"/>
        <v>2.5177198382443037E-2</v>
      </c>
    </row>
    <row r="9" spans="1:13" x14ac:dyDescent="0.25">
      <c r="A9" t="s">
        <v>20</v>
      </c>
      <c r="B9" s="4">
        <v>55797.388041146332</v>
      </c>
      <c r="C9" s="4"/>
      <c r="D9" s="4">
        <v>47406.390471656341</v>
      </c>
      <c r="E9" s="4">
        <v>15905.206159023452</v>
      </c>
      <c r="F9" s="4">
        <v>32993.928822853894</v>
      </c>
      <c r="H9">
        <v>1142744.7296126776</v>
      </c>
      <c r="I9" s="6">
        <f>D9/$H9</f>
        <v>4.1484672160968343E-2</v>
      </c>
      <c r="J9" s="6">
        <f t="shared" si="1"/>
        <v>1.3918424427487291E-2</v>
      </c>
      <c r="K9" s="6">
        <f t="shared" si="2"/>
        <v>2.8872527667694315E-2</v>
      </c>
    </row>
    <row r="10" spans="1:13" x14ac:dyDescent="0.25">
      <c r="A10" t="s">
        <v>21</v>
      </c>
      <c r="B10" s="4">
        <v>66726.483317292994</v>
      </c>
      <c r="C10" s="4"/>
      <c r="D10" s="4">
        <v>56790.502735860646</v>
      </c>
      <c r="E10" s="4">
        <v>19281.902955504134</v>
      </c>
      <c r="F10" s="4">
        <v>39299.850460434827</v>
      </c>
      <c r="H10">
        <v>1208046.7824706435</v>
      </c>
      <c r="I10" s="6">
        <f>D10/$H10</f>
        <v>4.7010185002699344E-2</v>
      </c>
      <c r="J10" s="6">
        <f t="shared" si="1"/>
        <v>1.5961222061342397E-2</v>
      </c>
      <c r="K10" s="6">
        <f t="shared" si="2"/>
        <v>3.2531728928626852E-2</v>
      </c>
    </row>
    <row r="11" spans="1:13" x14ac:dyDescent="0.25">
      <c r="A11" t="s">
        <v>22</v>
      </c>
      <c r="B11" s="4">
        <v>78768.348118218593</v>
      </c>
      <c r="C11" s="4"/>
      <c r="D11" s="4">
        <v>67138.866943363217</v>
      </c>
      <c r="E11" s="4">
        <v>23100.834353495156</v>
      </c>
      <c r="F11" s="4">
        <v>46158.252095910488</v>
      </c>
      <c r="H11">
        <v>1278062.3353235552</v>
      </c>
      <c r="I11" s="6">
        <f>D11/$H11</f>
        <v>5.2531762409199149E-2</v>
      </c>
      <c r="J11" s="6">
        <f t="shared" si="1"/>
        <v>1.8074888614604961E-2</v>
      </c>
      <c r="K11" s="6">
        <f t="shared" si="2"/>
        <v>3.6115806577012563E-2</v>
      </c>
    </row>
    <row r="12" spans="1:13" x14ac:dyDescent="0.25">
      <c r="A12" t="s">
        <v>23</v>
      </c>
      <c r="B12" s="4">
        <v>91847.83547914424</v>
      </c>
      <c r="C12" s="4"/>
      <c r="D12" s="4">
        <v>78486.089543935144</v>
      </c>
      <c r="E12" s="4">
        <v>27353.434100137558</v>
      </c>
      <c r="F12" s="4">
        <v>53614.938281961891</v>
      </c>
      <c r="H12">
        <v>1350470.4846876522</v>
      </c>
      <c r="I12" s="6">
        <f>D12/$H12</f>
        <v>5.8117589709550777E-2</v>
      </c>
      <c r="J12" s="6">
        <f t="shared" si="1"/>
        <v>2.0254744113466561E-2</v>
      </c>
      <c r="K12" s="6">
        <f t="shared" si="2"/>
        <v>3.9700933037690483E-2</v>
      </c>
    </row>
    <row r="14" spans="1:13" x14ac:dyDescent="0.25">
      <c r="A14" s="5" t="s">
        <v>24</v>
      </c>
      <c r="B14" t="s">
        <v>9</v>
      </c>
      <c r="D14" t="s">
        <v>10</v>
      </c>
      <c r="E14" t="s">
        <v>11</v>
      </c>
      <c r="F14" t="s">
        <v>12</v>
      </c>
      <c r="H14" t="s">
        <v>31</v>
      </c>
      <c r="I14" t="s">
        <v>10</v>
      </c>
      <c r="J14" t="s">
        <v>11</v>
      </c>
      <c r="K14" t="s">
        <v>12</v>
      </c>
      <c r="M14" t="s">
        <v>34</v>
      </c>
    </row>
    <row r="15" spans="1:13" x14ac:dyDescent="0.25">
      <c r="A15" t="s">
        <v>13</v>
      </c>
      <c r="B15">
        <v>1530.7281520547112</v>
      </c>
      <c r="D15">
        <v>1198.7835730143124</v>
      </c>
      <c r="E15">
        <v>488.03555485897232</v>
      </c>
      <c r="F15">
        <v>781.4955980675004</v>
      </c>
      <c r="H15">
        <v>815327</v>
      </c>
      <c r="I15" s="6">
        <f>D15/$H15</f>
        <v>1.4703101614619808E-3</v>
      </c>
      <c r="J15" s="6">
        <f t="shared" ref="J15:J25" si="3">E15/$H15</f>
        <v>5.9857646669247099E-4</v>
      </c>
      <c r="K15" s="6">
        <f t="shared" ref="K15:K25" si="4">F15/$H15</f>
        <v>9.5850572600625317E-4</v>
      </c>
    </row>
    <row r="16" spans="1:13" x14ac:dyDescent="0.25">
      <c r="A16" t="s">
        <v>14</v>
      </c>
      <c r="B16">
        <v>4238.196249053115</v>
      </c>
      <c r="D16">
        <v>3505.542222820688</v>
      </c>
      <c r="E16">
        <v>1178.9234878544812</v>
      </c>
      <c r="F16">
        <v>2455.79420447757</v>
      </c>
      <c r="H16">
        <v>836286</v>
      </c>
      <c r="I16" s="6">
        <f>D16/$H16</f>
        <v>4.1917982876918756E-3</v>
      </c>
      <c r="J16" s="6">
        <f t="shared" si="3"/>
        <v>1.4097132892987342E-3</v>
      </c>
      <c r="K16" s="6">
        <f t="shared" si="4"/>
        <v>2.9365482675514955E-3</v>
      </c>
    </row>
    <row r="17" spans="1:11" x14ac:dyDescent="0.25">
      <c r="A17" t="s">
        <v>15</v>
      </c>
      <c r="B17">
        <v>7198.384803794208</v>
      </c>
      <c r="D17">
        <v>6013.4250283007277</v>
      </c>
      <c r="E17">
        <v>1962.2438004995347</v>
      </c>
      <c r="F17">
        <v>4246.2234743083536</v>
      </c>
      <c r="H17">
        <v>863473</v>
      </c>
      <c r="I17" s="6">
        <f>D17/$H17</f>
        <v>6.964230529849489E-3</v>
      </c>
      <c r="J17" s="6">
        <f t="shared" si="3"/>
        <v>2.2725016306236962E-3</v>
      </c>
      <c r="K17" s="6">
        <f t="shared" si="4"/>
        <v>4.9176100171150153E-3</v>
      </c>
    </row>
    <row r="18" spans="1:11" x14ac:dyDescent="0.25">
      <c r="A18" t="s">
        <v>16</v>
      </c>
      <c r="B18">
        <v>10463.685658087721</v>
      </c>
      <c r="D18">
        <v>8783.8242061012425</v>
      </c>
      <c r="E18">
        <v>2943.1375942567247</v>
      </c>
      <c r="F18">
        <v>6120.1146767321625</v>
      </c>
      <c r="H18">
        <v>910149</v>
      </c>
      <c r="I18" s="6">
        <f>D18/$H18</f>
        <v>9.650973858237764E-3</v>
      </c>
      <c r="J18" s="6">
        <f t="shared" si="3"/>
        <v>3.2336876646095582E-3</v>
      </c>
      <c r="K18" s="6">
        <f t="shared" si="4"/>
        <v>6.7242997319473651E-3</v>
      </c>
    </row>
    <row r="19" spans="1:11" x14ac:dyDescent="0.25">
      <c r="A19" t="s">
        <v>17</v>
      </c>
      <c r="B19">
        <v>14235.644965237007</v>
      </c>
      <c r="D19">
        <v>12011.359570447472</v>
      </c>
      <c r="E19">
        <v>3904.6602134723216</v>
      </c>
      <c r="F19">
        <v>8471.1098315506242</v>
      </c>
      <c r="H19">
        <v>966032.36495268077</v>
      </c>
      <c r="I19" s="6">
        <f>D19/$H19</f>
        <v>1.243370305821568E-2</v>
      </c>
      <c r="J19" s="6">
        <f t="shared" si="3"/>
        <v>4.0419558962329219E-3</v>
      </c>
      <c r="K19" s="6">
        <f t="shared" si="4"/>
        <v>8.7689710395630113E-3</v>
      </c>
    </row>
    <row r="20" spans="1:11" x14ac:dyDescent="0.25">
      <c r="A20" t="s">
        <v>18</v>
      </c>
      <c r="B20">
        <v>18274.91745403735</v>
      </c>
      <c r="D20">
        <v>15465.186894638115</v>
      </c>
      <c r="E20">
        <v>5075.9672550456598</v>
      </c>
      <c r="F20">
        <v>10875.454642435099</v>
      </c>
      <c r="H20">
        <v>1021838.2872890724</v>
      </c>
      <c r="I20" s="6">
        <f>D20/$H20</f>
        <v>1.5134671588463487E-2</v>
      </c>
      <c r="J20" s="6">
        <f t="shared" si="3"/>
        <v>4.9674858714798742E-3</v>
      </c>
      <c r="K20" s="6">
        <f t="shared" si="4"/>
        <v>1.0643029114995858E-2</v>
      </c>
    </row>
    <row r="21" spans="1:11" x14ac:dyDescent="0.25">
      <c r="A21" t="s">
        <v>19</v>
      </c>
      <c r="B21">
        <v>22722.553800688824</v>
      </c>
      <c r="D21">
        <v>19271.803757165326</v>
      </c>
      <c r="E21">
        <v>6388.3659730677027</v>
      </c>
      <c r="F21">
        <v>13489.591794248059</v>
      </c>
      <c r="H21">
        <v>1080552.5805097325</v>
      </c>
      <c r="I21" s="6">
        <f>D21/$H21</f>
        <v>1.7835137414668131E-2</v>
      </c>
      <c r="J21" s="6">
        <f t="shared" si="3"/>
        <v>5.9121287462513845E-3</v>
      </c>
      <c r="K21" s="6">
        <f t="shared" si="4"/>
        <v>1.2483975363683432E-2</v>
      </c>
    </row>
    <row r="22" spans="1:11" x14ac:dyDescent="0.25">
      <c r="A22" t="s">
        <v>20</v>
      </c>
      <c r="B22">
        <v>27617.607446484035</v>
      </c>
      <c r="D22">
        <v>23469.718182633398</v>
      </c>
      <c r="E22">
        <v>7873.472359663574</v>
      </c>
      <c r="F22">
        <v>16335.209777295648</v>
      </c>
      <c r="H22">
        <v>1142744.7296126776</v>
      </c>
      <c r="I22" s="6">
        <f>D22/$H22</f>
        <v>2.0538023562434837E-2</v>
      </c>
      <c r="J22" s="6">
        <f t="shared" si="3"/>
        <v>6.8899660227111368E-3</v>
      </c>
      <c r="K22" s="6">
        <f t="shared" si="4"/>
        <v>1.429471460597531E-2</v>
      </c>
    </row>
    <row r="23" spans="1:11" x14ac:dyDescent="0.25">
      <c r="A23" t="s">
        <v>21</v>
      </c>
      <c r="B23">
        <v>32977.752680797363</v>
      </c>
      <c r="D23">
        <v>28073.332776476862</v>
      </c>
      <c r="E23">
        <v>9530.9569870774867</v>
      </c>
      <c r="F23">
        <v>19427.856422057375</v>
      </c>
      <c r="H23">
        <v>1208046.7824706435</v>
      </c>
      <c r="I23" s="6">
        <f>D23/$H23</f>
        <v>2.3238613921112004E-2</v>
      </c>
      <c r="J23" s="6">
        <f t="shared" si="3"/>
        <v>7.8895595148932868E-3</v>
      </c>
      <c r="K23" s="6">
        <f t="shared" si="4"/>
        <v>1.6082039788495928E-2</v>
      </c>
    </row>
    <row r="24" spans="1:11" x14ac:dyDescent="0.25">
      <c r="A24" t="s">
        <v>22</v>
      </c>
      <c r="B24">
        <v>38870.844760160893</v>
      </c>
      <c r="D24">
        <v>33138.933352821507</v>
      </c>
      <c r="E24">
        <v>11401.805325503694</v>
      </c>
      <c r="F24">
        <v>22783.745218043216</v>
      </c>
      <c r="H24">
        <v>1278062.3353235552</v>
      </c>
      <c r="I24" s="6">
        <f>D24/$H24</f>
        <v>2.5929043081010624E-2</v>
      </c>
      <c r="J24" s="6">
        <f t="shared" si="3"/>
        <v>8.9211652752580368E-3</v>
      </c>
      <c r="K24" s="6">
        <f t="shared" si="4"/>
        <v>1.7826787151407029E-2</v>
      </c>
    </row>
    <row r="25" spans="1:11" x14ac:dyDescent="0.25">
      <c r="A25" t="s">
        <v>23</v>
      </c>
      <c r="B25">
        <v>45293.821970793651</v>
      </c>
      <c r="D25">
        <v>38681.429805724532</v>
      </c>
      <c r="E25">
        <v>13480.825120304013</v>
      </c>
      <c r="F25">
        <v>26424.211282190634</v>
      </c>
      <c r="H25">
        <v>1350470.4846876522</v>
      </c>
      <c r="I25" s="6">
        <f>D25/$H25</f>
        <v>2.8642928701008291E-2</v>
      </c>
      <c r="J25" s="6">
        <f t="shared" si="3"/>
        <v>9.9823174761364507E-3</v>
      </c>
      <c r="K25" s="6">
        <f t="shared" si="4"/>
        <v>1.9566670713504888E-2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54A5-B397-42DE-9145-96BF0D237E77}">
  <dimension ref="A1:M29"/>
  <sheetViews>
    <sheetView topLeftCell="A15" zoomScale="85" zoomScaleNormal="85" workbookViewId="0">
      <selection activeCell="M26" sqref="M26"/>
    </sheetView>
  </sheetViews>
  <sheetFormatPr defaultRowHeight="15" x14ac:dyDescent="0.25"/>
  <cols>
    <col min="8" max="8" width="12.28515625" customWidth="1"/>
  </cols>
  <sheetData>
    <row r="1" spans="1:13" x14ac:dyDescent="0.25">
      <c r="A1" s="5" t="s">
        <v>24</v>
      </c>
      <c r="B1" t="s">
        <v>9</v>
      </c>
      <c r="D1" t="s">
        <v>10</v>
      </c>
      <c r="E1" t="s">
        <v>11</v>
      </c>
      <c r="F1" t="s">
        <v>12</v>
      </c>
      <c r="H1" t="s">
        <v>31</v>
      </c>
      <c r="I1" t="s">
        <v>10</v>
      </c>
      <c r="J1" t="s">
        <v>11</v>
      </c>
      <c r="K1" t="s">
        <v>12</v>
      </c>
      <c r="M1" t="s">
        <v>33</v>
      </c>
    </row>
    <row r="2" spans="1:13" x14ac:dyDescent="0.25">
      <c r="A2" t="s">
        <v>13</v>
      </c>
      <c r="B2">
        <v>2470.1390013098717</v>
      </c>
      <c r="D2">
        <v>1805.1337416593451</v>
      </c>
      <c r="E2">
        <v>-181.02966867329087</v>
      </c>
      <c r="F2">
        <v>2391.0170345517981</v>
      </c>
      <c r="H2">
        <v>815327</v>
      </c>
      <c r="I2" s="6">
        <f>D2/$H2</f>
        <v>2.2139997101277707E-3</v>
      </c>
      <c r="J2" s="6">
        <f t="shared" ref="J2:K12" si="0">E2/$H2</f>
        <v>-2.2203320713442689E-4</v>
      </c>
      <c r="K2" s="6">
        <f t="shared" si="0"/>
        <v>2.9325865996732577E-3</v>
      </c>
    </row>
    <row r="3" spans="1:13" x14ac:dyDescent="0.25">
      <c r="A3" t="s">
        <v>14</v>
      </c>
      <c r="B3">
        <v>8349.219309671782</v>
      </c>
      <c r="D3">
        <v>6881.3206134407083</v>
      </c>
      <c r="E3">
        <v>146.95551028300542</v>
      </c>
      <c r="F3">
        <v>7487.4653574655822</v>
      </c>
      <c r="H3">
        <v>836286</v>
      </c>
      <c r="I3" s="6">
        <f t="shared" ref="I3:I12" si="1">D3/$H3</f>
        <v>8.2284297637897907E-3</v>
      </c>
      <c r="J3" s="6">
        <f t="shared" si="0"/>
        <v>1.7572398710848374E-4</v>
      </c>
      <c r="K3" s="6">
        <f t="shared" si="0"/>
        <v>8.9532353255531993E-3</v>
      </c>
    </row>
    <row r="4" spans="1:13" x14ac:dyDescent="0.25">
      <c r="A4" t="s">
        <v>15</v>
      </c>
      <c r="B4">
        <v>14719.921872917097</v>
      </c>
      <c r="D4">
        <v>12343.291357751237</v>
      </c>
      <c r="E4">
        <v>541.9447677701246</v>
      </c>
      <c r="F4">
        <v>12936.491446402186</v>
      </c>
      <c r="H4">
        <v>863473</v>
      </c>
      <c r="I4" s="6">
        <f t="shared" si="1"/>
        <v>1.4294936098466585E-2</v>
      </c>
      <c r="J4" s="6">
        <f t="shared" si="0"/>
        <v>6.2763371613255381E-4</v>
      </c>
      <c r="K4" s="6">
        <f t="shared" si="0"/>
        <v>1.4981929309199228E-2</v>
      </c>
    </row>
    <row r="5" spans="1:13" x14ac:dyDescent="0.25">
      <c r="A5" t="s">
        <v>16</v>
      </c>
      <c r="B5">
        <v>21614.916167609161</v>
      </c>
      <c r="D5">
        <v>18241.445736057358</v>
      </c>
      <c r="E5">
        <v>1219.7425078290398</v>
      </c>
      <c r="F5">
        <v>18623.901493570156</v>
      </c>
      <c r="H5">
        <v>910149</v>
      </c>
      <c r="I5" s="6">
        <f t="shared" si="1"/>
        <v>2.0042263119618171E-2</v>
      </c>
      <c r="J5" s="6">
        <f t="shared" si="0"/>
        <v>1.340156949937911E-3</v>
      </c>
      <c r="K5" s="6">
        <f t="shared" si="0"/>
        <v>2.0462475367846535E-2</v>
      </c>
    </row>
    <row r="6" spans="1:13" x14ac:dyDescent="0.25">
      <c r="A6" t="s">
        <v>17</v>
      </c>
      <c r="B6">
        <v>29663.589516243432</v>
      </c>
      <c r="D6">
        <v>25190.785126112052</v>
      </c>
      <c r="E6">
        <v>1524.9082580769318</v>
      </c>
      <c r="F6">
        <v>25746.176981213706</v>
      </c>
      <c r="H6">
        <v>966032.36495268077</v>
      </c>
      <c r="I6" s="6">
        <f t="shared" si="1"/>
        <v>2.6076543643903664E-2</v>
      </c>
      <c r="J6" s="6">
        <f t="shared" si="0"/>
        <v>1.5785270901887707E-3</v>
      </c>
      <c r="K6" s="6">
        <f t="shared" si="0"/>
        <v>2.6651464190306742E-2</v>
      </c>
    </row>
    <row r="7" spans="1:13" x14ac:dyDescent="0.25">
      <c r="A7" t="s">
        <v>18</v>
      </c>
      <c r="B7">
        <v>38138.569723447319</v>
      </c>
      <c r="D7">
        <v>32480.590955243795</v>
      </c>
      <c r="E7">
        <v>2202.0164927439764</v>
      </c>
      <c r="F7">
        <v>33015.84807550488</v>
      </c>
      <c r="H7">
        <v>1021838.2872890724</v>
      </c>
      <c r="I7" s="6">
        <f t="shared" si="1"/>
        <v>3.1786429770031911E-2</v>
      </c>
      <c r="J7" s="6">
        <f t="shared" si="0"/>
        <v>2.1549559457063466E-3</v>
      </c>
      <c r="K7" s="6">
        <f t="shared" si="0"/>
        <v>3.2310247605906041E-2</v>
      </c>
    </row>
    <row r="8" spans="1:13" x14ac:dyDescent="0.25">
      <c r="A8" t="s">
        <v>19</v>
      </c>
      <c r="B8">
        <v>47470.010762210353</v>
      </c>
      <c r="D8">
        <v>40511.296590419486</v>
      </c>
      <c r="E8">
        <v>2985.9995084720431</v>
      </c>
      <c r="F8">
        <v>40905.366324125003</v>
      </c>
      <c r="H8">
        <v>1080552.5805097325</v>
      </c>
      <c r="I8" s="6">
        <f t="shared" si="1"/>
        <v>3.7491277445572305E-2</v>
      </c>
      <c r="J8" s="6">
        <f t="shared" si="0"/>
        <v>2.7634004696591888E-3</v>
      </c>
      <c r="K8" s="6">
        <f t="shared" si="0"/>
        <v>3.7855970234070967E-2</v>
      </c>
    </row>
    <row r="9" spans="1:13" x14ac:dyDescent="0.25">
      <c r="A9" t="s">
        <v>20</v>
      </c>
      <c r="B9">
        <v>57706.117996434448</v>
      </c>
      <c r="D9">
        <v>49329.508319600252</v>
      </c>
      <c r="E9">
        <v>3934.4414064389421</v>
      </c>
      <c r="F9">
        <v>49478.856582981243</v>
      </c>
      <c r="H9">
        <v>1142744.7296126776</v>
      </c>
      <c r="I9" s="6">
        <f t="shared" si="1"/>
        <v>4.3167565810012548E-2</v>
      </c>
      <c r="J9" s="6">
        <f t="shared" si="0"/>
        <v>3.4429748871145382E-3</v>
      </c>
      <c r="K9" s="6">
        <f t="shared" si="0"/>
        <v>4.3298258395601287E-2</v>
      </c>
    </row>
    <row r="10" spans="1:13" x14ac:dyDescent="0.25">
      <c r="A10" t="s">
        <v>21</v>
      </c>
      <c r="B10">
        <v>68836.28163289628</v>
      </c>
      <c r="D10">
        <v>58917.478008452104</v>
      </c>
      <c r="E10">
        <v>4987.5161984771257</v>
      </c>
      <c r="F10">
        <v>58781.900475542614</v>
      </c>
      <c r="H10">
        <v>1208046.7824706435</v>
      </c>
      <c r="I10" s="6">
        <f t="shared" si="1"/>
        <v>4.8770857936442411E-2</v>
      </c>
      <c r="J10" s="6">
        <f t="shared" si="0"/>
        <v>4.1285786865611941E-3</v>
      </c>
      <c r="K10" s="6">
        <f t="shared" si="0"/>
        <v>4.8658629225703069E-2</v>
      </c>
    </row>
    <row r="11" spans="1:13" x14ac:dyDescent="0.25">
      <c r="A11" t="s">
        <v>22</v>
      </c>
      <c r="B11">
        <v>81037.702846055618</v>
      </c>
      <c r="D11">
        <v>69428.400312296581</v>
      </c>
      <c r="E11">
        <v>6254.8578242240474</v>
      </c>
      <c r="F11">
        <v>68862.060462779831</v>
      </c>
      <c r="H11">
        <v>1278062.3353235552</v>
      </c>
      <c r="I11" s="6">
        <f t="shared" si="1"/>
        <v>5.4323172190752368E-2</v>
      </c>
      <c r="J11" s="6">
        <f t="shared" si="0"/>
        <v>4.894016239544813E-3</v>
      </c>
      <c r="K11" s="6">
        <f t="shared" si="0"/>
        <v>5.3880048382261937E-2</v>
      </c>
    </row>
    <row r="12" spans="1:13" x14ac:dyDescent="0.25">
      <c r="A12" t="s">
        <v>23</v>
      </c>
      <c r="B12">
        <v>94226.330574623309</v>
      </c>
      <c r="D12">
        <v>80887.989694412099</v>
      </c>
      <c r="E12">
        <v>7704.840004347614</v>
      </c>
      <c r="F12">
        <v>79782.34558236954</v>
      </c>
      <c r="H12">
        <v>1350470.4846876522</v>
      </c>
      <c r="I12" s="6">
        <f>D12/$H12</f>
        <v>5.9896155163376659E-2</v>
      </c>
      <c r="J12" s="6">
        <f t="shared" si="0"/>
        <v>5.7053005539248434E-3</v>
      </c>
      <c r="K12" s="6">
        <f t="shared" si="0"/>
        <v>5.9077444851245491E-2</v>
      </c>
    </row>
    <row r="14" spans="1:13" x14ac:dyDescent="0.25">
      <c r="I14" t="s">
        <v>10</v>
      </c>
      <c r="J14" t="s">
        <v>11</v>
      </c>
      <c r="K14" t="s">
        <v>12</v>
      </c>
      <c r="M14" t="s">
        <v>35</v>
      </c>
    </row>
    <row r="15" spans="1:13" x14ac:dyDescent="0.25">
      <c r="I15" s="7">
        <f>PBO_wage_only!S4+PBO_prod_only!I15</f>
        <v>1.7135790761589175E-5</v>
      </c>
      <c r="J15" s="7">
        <f>PBO_wage_only!Q4+PBO_prod_only!J15</f>
        <v>-2.8857482293784451E-3</v>
      </c>
      <c r="K15" s="7">
        <f>PBO_wage_only!R4+PBO_prod_only!K15</f>
        <v>2.9896560513767777E-3</v>
      </c>
    </row>
    <row r="16" spans="1:13" x14ac:dyDescent="0.25">
      <c r="I16" s="7">
        <f>PBO_wage_only!S5+PBO_prod_only!I16</f>
        <v>3.8668784561534308E-3</v>
      </c>
      <c r="J16" s="7">
        <f>PBO_wage_only!Q5+PBO_prod_only!J16</f>
        <v>-3.8705291066723074E-3</v>
      </c>
      <c r="K16" s="7">
        <f>PBO_wage_only!R5+PBO_prod_only!K16</f>
        <v>9.0750908490917492E-3</v>
      </c>
    </row>
    <row r="17" spans="9:11" x14ac:dyDescent="0.25">
      <c r="I17" s="7">
        <f>PBO_wage_only!S6+PBO_prod_only!I17</f>
        <v>7.6294080660966844E-3</v>
      </c>
      <c r="J17" s="7">
        <f>PBO_wage_only!Q6+PBO_prod_only!J17</f>
        <v>-5.5461724517235746E-3</v>
      </c>
      <c r="K17" s="7">
        <f>PBO_wage_only!R6+PBO_prod_only!K17</f>
        <v>1.5123695717566173E-2</v>
      </c>
    </row>
    <row r="18" spans="9:11" x14ac:dyDescent="0.25">
      <c r="I18" s="7">
        <f>PBO_wage_only!S7+PBO_prod_only!I18</f>
        <v>1.097526595202354E-2</v>
      </c>
      <c r="J18" s="7">
        <f>PBO_wage_only!Q7+PBO_prod_only!J18</f>
        <v>-6.9963099077434846E-3</v>
      </c>
      <c r="K18" s="7">
        <f>PBO_wage_only!R7+PBO_prod_only!K18</f>
        <v>2.0560578454011907E-2</v>
      </c>
    </row>
    <row r="19" spans="9:11" x14ac:dyDescent="0.25">
      <c r="I19" s="7">
        <f>PBO_wage_only!S8+PBO_prod_only!I19</f>
        <v>1.4567901739001977E-2</v>
      </c>
      <c r="J19" s="7">
        <f>PBO_wage_only!Q8+PBO_prod_only!J19</f>
        <v>-8.9291017944837896E-3</v>
      </c>
      <c r="K19" s="7">
        <f>PBO_wage_only!R8+PBO_prod_only!K19</f>
        <v>2.6651804939803903E-2</v>
      </c>
    </row>
    <row r="20" spans="9:11" x14ac:dyDescent="0.25">
      <c r="I20" s="7">
        <f>PBO_wage_only!S9+PBO_prod_only!I20</f>
        <v>1.7725272568714263E-2</v>
      </c>
      <c r="J20" s="7">
        <f>PBO_wage_only!Q9+PBO_prod_only!J20</f>
        <v>-1.0539507100945571E-2</v>
      </c>
      <c r="K20" s="7">
        <f>PBO_wage_only!R9+PBO_prod_only!K20</f>
        <v>3.2158984920859023E-2</v>
      </c>
    </row>
    <row r="21" spans="9:11" x14ac:dyDescent="0.25">
      <c r="I21" s="7">
        <f>PBO_wage_only!S10+PBO_prod_only!I21</f>
        <v>2.0839409507799018E-2</v>
      </c>
      <c r="J21" s="7">
        <f>PBO_wage_only!Q10+PBO_prod_only!J21</f>
        <v>-1.2142439665549674E-2</v>
      </c>
      <c r="K21" s="7">
        <f>PBO_wage_only!R10+PBO_prod_only!K21</f>
        <v>3.7501263206838151E-2</v>
      </c>
    </row>
    <row r="22" spans="9:11" x14ac:dyDescent="0.25">
      <c r="I22" s="7">
        <f>PBO_wage_only!S11+PBO_prod_only!I22</f>
        <v>2.3865691758914384E-2</v>
      </c>
      <c r="J22" s="7">
        <f>PBO_wage_only!Q11+PBO_prod_only!J22</f>
        <v>-1.369274898190373E-2</v>
      </c>
      <c r="K22" s="7">
        <f>PBO_wage_only!R11+PBO_prod_only!K22</f>
        <v>4.2690434654307656E-2</v>
      </c>
    </row>
    <row r="23" spans="9:11" x14ac:dyDescent="0.25">
      <c r="I23" s="7">
        <f>PBO_wage_only!S12+PBO_prod_only!I23</f>
        <v>2.6755095529599156E-2</v>
      </c>
      <c r="J23" s="7">
        <f>PBO_wage_only!Q12+PBO_prod_only!J23</f>
        <v>-1.5261309811372895E-2</v>
      </c>
      <c r="K23" s="7">
        <f>PBO_wage_only!R12+PBO_prod_only!K23</f>
        <v>4.7749915626899411E-2</v>
      </c>
    </row>
    <row r="24" spans="9:11" x14ac:dyDescent="0.25">
      <c r="I24" s="7">
        <f>PBO_wage_only!S13+PBO_prod_only!I24</f>
        <v>2.9545614761660462E-2</v>
      </c>
      <c r="J24" s="7">
        <f>PBO_wage_only!Q13+PBO_prod_only!J24</f>
        <v>-1.6763558942860229E-2</v>
      </c>
      <c r="K24" s="7">
        <f>PBO_wage_only!R13+PBO_prod_only!K24</f>
        <v>5.2625984612095542E-2</v>
      </c>
    </row>
    <row r="25" spans="9:11" x14ac:dyDescent="0.25">
      <c r="I25" s="7">
        <f>PBO_wage_only!S14+PBO_prod_only!I25</f>
        <v>3.2276919921655989E-2</v>
      </c>
      <c r="J25" s="7">
        <f>PBO_wage_only!Q14+PBO_prod_only!J25</f>
        <v>-1.8260793574818374E-2</v>
      </c>
      <c r="K25" s="7">
        <f>PBO_wage_only!R14+PBO_prod_only!K25</f>
        <v>5.743312278188021E-2</v>
      </c>
    </row>
    <row r="26" spans="9:11" x14ac:dyDescent="0.25">
      <c r="I26" s="7"/>
      <c r="J26" s="7"/>
      <c r="K26" s="7"/>
    </row>
    <row r="27" spans="9:11" x14ac:dyDescent="0.25">
      <c r="I27" s="7"/>
      <c r="J27" s="7"/>
      <c r="K27" s="7"/>
    </row>
    <row r="28" spans="9:11" x14ac:dyDescent="0.25">
      <c r="I28" s="7"/>
      <c r="J28" s="7"/>
      <c r="K28" s="7"/>
    </row>
    <row r="29" spans="9:11" x14ac:dyDescent="0.25">
      <c r="I29" s="7"/>
      <c r="J29" s="7"/>
      <c r="K2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7B5F-D672-40C2-8479-F9D222CE553E}">
  <dimension ref="A1:E55"/>
  <sheetViews>
    <sheetView tabSelected="1" topLeftCell="A43" workbookViewId="0">
      <selection activeCell="G53" sqref="G53"/>
    </sheetView>
  </sheetViews>
  <sheetFormatPr defaultRowHeight="15" x14ac:dyDescent="0.25"/>
  <cols>
    <col min="2" max="2" width="11.7109375" customWidth="1"/>
    <col min="3" max="3" width="19" bestFit="1" customWidth="1"/>
    <col min="4" max="4" width="12" bestFit="1" customWidth="1"/>
    <col min="5" max="5" width="12.7109375" bestFit="1" customWidth="1"/>
    <col min="6" max="7" width="12" bestFit="1" customWidth="1"/>
  </cols>
  <sheetData>
    <row r="1" spans="1:5" x14ac:dyDescent="0.25">
      <c r="A1" t="s">
        <v>28</v>
      </c>
      <c r="B1" t="s">
        <v>25</v>
      </c>
      <c r="C1" t="s">
        <v>11</v>
      </c>
      <c r="D1" t="s">
        <v>12</v>
      </c>
      <c r="E1" t="s">
        <v>8</v>
      </c>
    </row>
    <row r="2" spans="1:5" x14ac:dyDescent="0.25">
      <c r="A2">
        <v>2027</v>
      </c>
      <c r="B2" t="s">
        <v>26</v>
      </c>
      <c r="C2" s="6">
        <f>PBO_wage_only!Q4</f>
        <v>-3.4843246960709162E-3</v>
      </c>
      <c r="D2" s="6">
        <f>PBO_wage_only!R4</f>
        <v>2.0311503253705246E-3</v>
      </c>
      <c r="E2" s="6">
        <f>PBO_wage_only!S4</f>
        <v>-1.4531743707003916E-3</v>
      </c>
    </row>
    <row r="3" spans="1:5" x14ac:dyDescent="0.25">
      <c r="A3">
        <v>2028</v>
      </c>
      <c r="B3" t="s">
        <v>26</v>
      </c>
      <c r="C3" s="6">
        <f>PBO_wage_only!Q5</f>
        <v>-5.2802423959710416E-3</v>
      </c>
      <c r="D3" s="6">
        <f>PBO_wage_only!R5</f>
        <v>6.1385425815402529E-3</v>
      </c>
      <c r="E3" s="6">
        <f>PBO_wage_only!S5</f>
        <v>-3.2491983153844483E-4</v>
      </c>
    </row>
    <row r="4" spans="1:5" x14ac:dyDescent="0.25">
      <c r="A4">
        <v>2029</v>
      </c>
      <c r="B4" t="s">
        <v>26</v>
      </c>
      <c r="C4" s="6">
        <f>PBO_wage_only!Q6</f>
        <v>-7.8186740823472708E-3</v>
      </c>
      <c r="D4" s="6">
        <f>PBO_wage_only!R6</f>
        <v>1.0206085700451157E-2</v>
      </c>
      <c r="E4" s="6">
        <f>PBO_wage_only!S6</f>
        <v>6.6517753624719506E-4</v>
      </c>
    </row>
    <row r="5" spans="1:5" x14ac:dyDescent="0.25">
      <c r="A5">
        <v>2030</v>
      </c>
      <c r="B5" t="s">
        <v>26</v>
      </c>
      <c r="C5" s="6">
        <f>PBO_wage_only!Q7</f>
        <v>-1.0229997572353043E-2</v>
      </c>
      <c r="D5" s="6">
        <f>PBO_wage_only!R7</f>
        <v>1.3836278722064541E-2</v>
      </c>
      <c r="E5" s="6">
        <f>PBO_wage_only!S7</f>
        <v>1.3242920937857762E-3</v>
      </c>
    </row>
    <row r="6" spans="1:5" x14ac:dyDescent="0.25">
      <c r="A6">
        <v>2031</v>
      </c>
      <c r="B6" t="s">
        <v>26</v>
      </c>
      <c r="C6" s="6">
        <f>PBO_wage_only!Q8</f>
        <v>-1.2971057690716711E-2</v>
      </c>
      <c r="D6" s="6">
        <f>PBO_wage_only!R8</f>
        <v>1.7882833900240893E-2</v>
      </c>
      <c r="E6" s="6">
        <f>PBO_wage_only!S8</f>
        <v>2.1341986807862975E-3</v>
      </c>
    </row>
    <row r="7" spans="1:5" x14ac:dyDescent="0.25">
      <c r="A7">
        <v>2032</v>
      </c>
      <c r="B7" t="s">
        <v>26</v>
      </c>
      <c r="C7" s="6">
        <f>PBO_wage_only!Q9</f>
        <v>-1.5506992972425446E-2</v>
      </c>
      <c r="D7" s="6">
        <f>PBO_wage_only!R9</f>
        <v>2.1515955805863164E-2</v>
      </c>
      <c r="E7" s="6">
        <f>PBO_wage_only!S9</f>
        <v>2.5906009802507757E-3</v>
      </c>
    </row>
    <row r="8" spans="1:5" x14ac:dyDescent="0.25">
      <c r="A8">
        <v>2033</v>
      </c>
      <c r="B8" t="s">
        <v>26</v>
      </c>
      <c r="C8" s="6">
        <f>PBO_wage_only!Q10</f>
        <v>-1.8054568411801059E-2</v>
      </c>
      <c r="D8" s="6">
        <f>PBO_wage_only!R10</f>
        <v>2.5017287843154715E-2</v>
      </c>
      <c r="E8" s="6">
        <f>PBO_wage_only!S10</f>
        <v>3.0042720931308872E-3</v>
      </c>
    </row>
    <row r="9" spans="1:5" x14ac:dyDescent="0.25">
      <c r="A9">
        <v>2034</v>
      </c>
      <c r="B9" t="s">
        <v>26</v>
      </c>
      <c r="C9" s="6">
        <f>PBO_wage_only!Q11</f>
        <v>-2.0582715004614865E-2</v>
      </c>
      <c r="D9" s="6">
        <f>PBO_wage_only!R11</f>
        <v>2.8395720048332344E-2</v>
      </c>
      <c r="E9" s="6">
        <f>PBO_wage_only!S11</f>
        <v>3.3276681964795481E-3</v>
      </c>
    </row>
    <row r="10" spans="1:5" x14ac:dyDescent="0.25">
      <c r="A10">
        <v>2035</v>
      </c>
      <c r="B10" t="s">
        <v>26</v>
      </c>
      <c r="C10" s="6">
        <f>PBO_wage_only!Q12</f>
        <v>-2.3150869326266182E-2</v>
      </c>
      <c r="D10" s="6">
        <f>PBO_wage_only!R12</f>
        <v>3.1667875838403484E-2</v>
      </c>
      <c r="E10" s="6">
        <f>PBO_wage_only!S12</f>
        <v>3.5164816084871527E-3</v>
      </c>
    </row>
    <row r="11" spans="1:5" x14ac:dyDescent="0.25">
      <c r="A11">
        <v>2036</v>
      </c>
      <c r="B11" t="s">
        <v>26</v>
      </c>
      <c r="C11" s="6">
        <f>PBO_wage_only!Q13</f>
        <v>-2.5684724218118266E-2</v>
      </c>
      <c r="D11" s="6">
        <f>PBO_wage_only!R13</f>
        <v>3.4799197460688512E-2</v>
      </c>
      <c r="E11" s="6">
        <f>PBO_wage_only!S13</f>
        <v>3.6165716806498367E-3</v>
      </c>
    </row>
    <row r="12" spans="1:5" x14ac:dyDescent="0.25">
      <c r="A12">
        <v>2037</v>
      </c>
      <c r="B12" t="s">
        <v>26</v>
      </c>
      <c r="C12" s="6">
        <f>PBO_wage_only!Q14</f>
        <v>-2.8243111050954825E-2</v>
      </c>
      <c r="D12" s="6">
        <f>PBO_wage_only!R14</f>
        <v>3.7866452068375321E-2</v>
      </c>
      <c r="E12" s="6">
        <f>PBO_wage_only!S14</f>
        <v>3.6339912206477011E-3</v>
      </c>
    </row>
    <row r="13" spans="1:5" x14ac:dyDescent="0.25">
      <c r="A13">
        <v>2027</v>
      </c>
      <c r="B13" t="s">
        <v>27</v>
      </c>
      <c r="C13" s="6">
        <f>PBO_prod_only!J2</f>
        <v>1.1971306596524698E-3</v>
      </c>
      <c r="D13" s="6">
        <f>PBO_prod_only!K2</f>
        <v>1.9170114419962013E-3</v>
      </c>
      <c r="E13" s="6">
        <f>PBO_prod_only!I2</f>
        <v>2.94059803796006E-3</v>
      </c>
    </row>
    <row r="14" spans="1:5" x14ac:dyDescent="0.25">
      <c r="A14">
        <v>2028</v>
      </c>
      <c r="B14" t="s">
        <v>27</v>
      </c>
      <c r="C14" s="6">
        <f>PBO_prod_only!J3</f>
        <v>2.8229674355245171E-3</v>
      </c>
      <c r="D14" s="6">
        <f>PBO_prod_only!K3</f>
        <v>5.8789404551852133E-3</v>
      </c>
      <c r="E14" s="6">
        <f>PBO_prod_only!I3</f>
        <v>8.3924930131196954E-3</v>
      </c>
    </row>
    <row r="15" spans="1:5" x14ac:dyDescent="0.25">
      <c r="A15">
        <v>2029</v>
      </c>
      <c r="B15" t="s">
        <v>27</v>
      </c>
      <c r="C15" s="6">
        <f>PBO_prod_only!J4</f>
        <v>4.5572048283479549E-3</v>
      </c>
      <c r="D15" s="6">
        <f>PBO_prod_only!K4</f>
        <v>9.8588518995703141E-3</v>
      </c>
      <c r="E15" s="6">
        <f>PBO_prod_only!I4</f>
        <v>1.3962928764238356E-2</v>
      </c>
    </row>
    <row r="16" spans="1:5" x14ac:dyDescent="0.25">
      <c r="A16">
        <v>2030</v>
      </c>
      <c r="B16" t="s">
        <v>27</v>
      </c>
      <c r="C16" s="6">
        <f>PBO_prod_only!J5</f>
        <v>6.4941626090705782E-3</v>
      </c>
      <c r="D16" s="6">
        <f>PBO_prod_only!K5</f>
        <v>1.3500684453341922E-2</v>
      </c>
      <c r="E16" s="6">
        <f>PBO_prod_only!I5</f>
        <v>1.9378111556707944E-2</v>
      </c>
    </row>
    <row r="17" spans="1:5" x14ac:dyDescent="0.25">
      <c r="A17">
        <v>2031</v>
      </c>
      <c r="B17" t="s">
        <v>27</v>
      </c>
      <c r="C17" s="6">
        <f>PBO_prod_only!J6</f>
        <v>8.1292645673597796E-3</v>
      </c>
      <c r="D17" s="6">
        <f>PBO_prod_only!K6</f>
        <v>1.7632021526983885E-2</v>
      </c>
      <c r="E17" s="6">
        <f>PBO_prod_only!I6</f>
        <v>2.5002463083811991E-2</v>
      </c>
    </row>
    <row r="18" spans="1:5" x14ac:dyDescent="0.25">
      <c r="A18">
        <v>2032</v>
      </c>
      <c r="B18" t="s">
        <v>27</v>
      </c>
      <c r="C18" s="6">
        <f>PBO_prod_only!J7</f>
        <v>1.000535880170195E-2</v>
      </c>
      <c r="D18" s="6">
        <f>PBO_prod_only!K7</f>
        <v>2.1432231322697139E-2</v>
      </c>
      <c r="E18" s="6">
        <f>PBO_prod_only!I7</f>
        <v>3.0479079782907263E-2</v>
      </c>
    </row>
    <row r="19" spans="1:5" x14ac:dyDescent="0.25">
      <c r="A19">
        <v>2033</v>
      </c>
      <c r="B19" t="s">
        <v>27</v>
      </c>
      <c r="C19" s="6">
        <f>PBO_prod_only!J8</f>
        <v>1.1925556766513724E-2</v>
      </c>
      <c r="D19" s="6">
        <f>PBO_prod_only!K8</f>
        <v>2.5177198382443037E-2</v>
      </c>
      <c r="E19" s="6">
        <f>PBO_prod_only!I8</f>
        <v>3.5971177011743093E-2</v>
      </c>
    </row>
    <row r="20" spans="1:5" x14ac:dyDescent="0.25">
      <c r="A20">
        <v>2034</v>
      </c>
      <c r="B20" t="s">
        <v>27</v>
      </c>
      <c r="C20" s="6">
        <f>PBO_prod_only!J9</f>
        <v>1.3918424427487291E-2</v>
      </c>
      <c r="D20" s="6">
        <f>PBO_prod_only!K9</f>
        <v>2.8872527667694315E-2</v>
      </c>
      <c r="E20" s="6">
        <f>PBO_prod_only!I9</f>
        <v>4.1484672160968343E-2</v>
      </c>
    </row>
    <row r="21" spans="1:5" x14ac:dyDescent="0.25">
      <c r="A21">
        <v>2035</v>
      </c>
      <c r="B21" t="s">
        <v>27</v>
      </c>
      <c r="C21" s="6">
        <f>PBO_prod_only!J10</f>
        <v>1.5961222061342397E-2</v>
      </c>
      <c r="D21" s="6">
        <f>PBO_prod_only!K10</f>
        <v>3.2531728928626852E-2</v>
      </c>
      <c r="E21" s="6">
        <f>PBO_prod_only!I10</f>
        <v>4.7010185002699344E-2</v>
      </c>
    </row>
    <row r="22" spans="1:5" x14ac:dyDescent="0.25">
      <c r="A22">
        <v>2036</v>
      </c>
      <c r="B22" t="s">
        <v>27</v>
      </c>
      <c r="C22" s="6">
        <f>PBO_prod_only!J11</f>
        <v>1.8074888614604961E-2</v>
      </c>
      <c r="D22" s="6">
        <f>PBO_prod_only!K11</f>
        <v>3.6115806577012563E-2</v>
      </c>
      <c r="E22" s="6">
        <f>PBO_prod_only!I11</f>
        <v>5.2531762409199149E-2</v>
      </c>
    </row>
    <row r="23" spans="1:5" x14ac:dyDescent="0.25">
      <c r="A23">
        <v>2037</v>
      </c>
      <c r="B23" t="s">
        <v>27</v>
      </c>
      <c r="C23" s="6">
        <f>PBO_prod_only!J12</f>
        <v>2.0254744113466561E-2</v>
      </c>
      <c r="D23" s="6">
        <f>PBO_prod_only!K12</f>
        <v>3.9700933037690483E-2</v>
      </c>
      <c r="E23" s="6">
        <f>PBO_prod_only!I12</f>
        <v>5.8117589709550777E-2</v>
      </c>
    </row>
    <row r="24" spans="1:5" x14ac:dyDescent="0.25">
      <c r="A24">
        <v>2027</v>
      </c>
      <c r="B24" t="s">
        <v>29</v>
      </c>
      <c r="C24" s="6">
        <f>PBO_prod_wage!J2</f>
        <v>-2.2203320713442689E-4</v>
      </c>
      <c r="D24" s="6">
        <f>PBO_prod_wage!K2</f>
        <v>2.9325865996732577E-3</v>
      </c>
      <c r="E24" s="6">
        <f>PBO_prod_wage!I2</f>
        <v>2.2139997101277707E-3</v>
      </c>
    </row>
    <row r="25" spans="1:5" x14ac:dyDescent="0.25">
      <c r="A25">
        <v>2028</v>
      </c>
      <c r="B25" t="s">
        <v>29</v>
      </c>
      <c r="C25" s="6">
        <f>PBO_prod_wage!J3</f>
        <v>1.7572398710848374E-4</v>
      </c>
      <c r="D25" s="6">
        <f>PBO_prod_wage!K3</f>
        <v>8.9532353255531993E-3</v>
      </c>
      <c r="E25" s="6">
        <f>PBO_prod_wage!I3</f>
        <v>8.2284297637897907E-3</v>
      </c>
    </row>
    <row r="26" spans="1:5" x14ac:dyDescent="0.25">
      <c r="A26">
        <v>2029</v>
      </c>
      <c r="B26" t="s">
        <v>29</v>
      </c>
      <c r="C26" s="6">
        <f>PBO_prod_wage!J4</f>
        <v>6.2763371613255381E-4</v>
      </c>
      <c r="D26" s="6">
        <f>PBO_prod_wage!K4</f>
        <v>1.4981929309199228E-2</v>
      </c>
      <c r="E26" s="6">
        <f>PBO_prod_wage!I4</f>
        <v>1.4294936098466585E-2</v>
      </c>
    </row>
    <row r="27" spans="1:5" x14ac:dyDescent="0.25">
      <c r="A27">
        <v>2030</v>
      </c>
      <c r="B27" t="s">
        <v>29</v>
      </c>
      <c r="C27" s="6">
        <f>PBO_prod_wage!J5</f>
        <v>1.340156949937911E-3</v>
      </c>
      <c r="D27" s="6">
        <f>PBO_prod_wage!K5</f>
        <v>2.0462475367846535E-2</v>
      </c>
      <c r="E27" s="6">
        <f>PBO_prod_wage!I5</f>
        <v>2.0042263119618171E-2</v>
      </c>
    </row>
    <row r="28" spans="1:5" x14ac:dyDescent="0.25">
      <c r="A28">
        <v>2031</v>
      </c>
      <c r="B28" t="s">
        <v>29</v>
      </c>
      <c r="C28" s="6">
        <f>PBO_prod_wage!J6</f>
        <v>1.5785270901887707E-3</v>
      </c>
      <c r="D28" s="6">
        <f>PBO_prod_wage!K6</f>
        <v>2.6651464190306742E-2</v>
      </c>
      <c r="E28" s="6">
        <f>PBO_prod_wage!I6</f>
        <v>2.6076543643903664E-2</v>
      </c>
    </row>
    <row r="29" spans="1:5" x14ac:dyDescent="0.25">
      <c r="A29">
        <v>2032</v>
      </c>
      <c r="B29" t="s">
        <v>29</v>
      </c>
      <c r="C29" s="6">
        <f>PBO_prod_wage!J7</f>
        <v>2.1549559457063466E-3</v>
      </c>
      <c r="D29" s="6">
        <f>PBO_prod_wage!K7</f>
        <v>3.2310247605906041E-2</v>
      </c>
      <c r="E29" s="6">
        <f>PBO_prod_wage!I7</f>
        <v>3.1786429770031911E-2</v>
      </c>
    </row>
    <row r="30" spans="1:5" x14ac:dyDescent="0.25">
      <c r="A30">
        <v>2033</v>
      </c>
      <c r="B30" t="s">
        <v>29</v>
      </c>
      <c r="C30" s="6">
        <f>PBO_prod_wage!J8</f>
        <v>2.7634004696591888E-3</v>
      </c>
      <c r="D30" s="6">
        <f>PBO_prod_wage!K8</f>
        <v>3.7855970234070967E-2</v>
      </c>
      <c r="E30" s="6">
        <f>PBO_prod_wage!I8</f>
        <v>3.7491277445572305E-2</v>
      </c>
    </row>
    <row r="31" spans="1:5" x14ac:dyDescent="0.25">
      <c r="A31">
        <v>2034</v>
      </c>
      <c r="B31" t="s">
        <v>29</v>
      </c>
      <c r="C31" s="6">
        <f>PBO_prod_wage!J9</f>
        <v>3.4429748871145382E-3</v>
      </c>
      <c r="D31" s="6">
        <f>PBO_prod_wage!K9</f>
        <v>4.3298258395601287E-2</v>
      </c>
      <c r="E31" s="6">
        <f>PBO_prod_wage!I9</f>
        <v>4.3167565810012548E-2</v>
      </c>
    </row>
    <row r="32" spans="1:5" x14ac:dyDescent="0.25">
      <c r="A32">
        <v>2035</v>
      </c>
      <c r="B32" t="s">
        <v>29</v>
      </c>
      <c r="C32" s="6">
        <f>PBO_prod_wage!J10</f>
        <v>4.1285786865611941E-3</v>
      </c>
      <c r="D32" s="6">
        <f>PBO_prod_wage!K10</f>
        <v>4.8658629225703069E-2</v>
      </c>
      <c r="E32" s="6">
        <f>PBO_prod_wage!I10</f>
        <v>4.8770857936442411E-2</v>
      </c>
    </row>
    <row r="33" spans="1:5" x14ac:dyDescent="0.25">
      <c r="A33">
        <v>2036</v>
      </c>
      <c r="B33" t="s">
        <v>29</v>
      </c>
      <c r="C33" s="6">
        <f>PBO_prod_wage!J11</f>
        <v>4.894016239544813E-3</v>
      </c>
      <c r="D33" s="6">
        <f>PBO_prod_wage!K11</f>
        <v>5.3880048382261937E-2</v>
      </c>
      <c r="E33" s="6">
        <f>PBO_prod_wage!I11</f>
        <v>5.4323172190752368E-2</v>
      </c>
    </row>
    <row r="34" spans="1:5" x14ac:dyDescent="0.25">
      <c r="A34">
        <v>2037</v>
      </c>
      <c r="B34" t="s">
        <v>29</v>
      </c>
      <c r="C34" s="6">
        <f>PBO_prod_wage!J12</f>
        <v>5.7053005539248434E-3</v>
      </c>
      <c r="D34" s="6">
        <f>PBO_prod_wage!K12</f>
        <v>5.9077444851245491E-2</v>
      </c>
      <c r="E34" s="6">
        <f>PBO_prod_wage!I12</f>
        <v>5.9896155163376659E-2</v>
      </c>
    </row>
    <row r="35" spans="1:5" x14ac:dyDescent="0.25">
      <c r="A35">
        <v>2028</v>
      </c>
      <c r="B35" t="s">
        <v>36</v>
      </c>
      <c r="C35" s="6">
        <f>PBO_prod_only!J15</f>
        <v>5.9857646669247099E-4</v>
      </c>
      <c r="D35" s="6">
        <f>PBO_prod_only!K15</f>
        <v>9.5850572600625317E-4</v>
      </c>
      <c r="E35" s="6">
        <f>PBO_prod_only!I15</f>
        <v>1.4703101614619808E-3</v>
      </c>
    </row>
    <row r="36" spans="1:5" x14ac:dyDescent="0.25">
      <c r="A36">
        <v>2029</v>
      </c>
      <c r="B36" t="s">
        <v>36</v>
      </c>
      <c r="C36" s="6">
        <f>PBO_prod_only!J16</f>
        <v>1.4097132892987342E-3</v>
      </c>
      <c r="D36" s="6">
        <f>PBO_prod_only!K16</f>
        <v>2.9365482675514955E-3</v>
      </c>
      <c r="E36" s="6">
        <f>PBO_prod_only!I16</f>
        <v>4.1917982876918756E-3</v>
      </c>
    </row>
    <row r="37" spans="1:5" x14ac:dyDescent="0.25">
      <c r="A37">
        <v>2030</v>
      </c>
      <c r="B37" t="s">
        <v>36</v>
      </c>
      <c r="C37" s="6">
        <f>PBO_prod_only!J17</f>
        <v>2.2725016306236962E-3</v>
      </c>
      <c r="D37" s="6">
        <f>PBO_prod_only!K17</f>
        <v>4.9176100171150153E-3</v>
      </c>
      <c r="E37" s="6">
        <f>PBO_prod_only!I17</f>
        <v>6.964230529849489E-3</v>
      </c>
    </row>
    <row r="38" spans="1:5" x14ac:dyDescent="0.25">
      <c r="A38">
        <v>2031</v>
      </c>
      <c r="B38" t="s">
        <v>36</v>
      </c>
      <c r="C38" s="6">
        <f>PBO_prod_only!J18</f>
        <v>3.2336876646095582E-3</v>
      </c>
      <c r="D38" s="6">
        <f>PBO_prod_only!K18</f>
        <v>6.7242997319473651E-3</v>
      </c>
      <c r="E38" s="6">
        <f>PBO_prod_only!I18</f>
        <v>9.650973858237764E-3</v>
      </c>
    </row>
    <row r="39" spans="1:5" x14ac:dyDescent="0.25">
      <c r="A39">
        <v>2032</v>
      </c>
      <c r="B39" t="s">
        <v>36</v>
      </c>
      <c r="C39" s="6">
        <f>PBO_prod_only!J19</f>
        <v>4.0419558962329219E-3</v>
      </c>
      <c r="D39" s="6">
        <f>PBO_prod_only!K19</f>
        <v>8.7689710395630113E-3</v>
      </c>
      <c r="E39" s="6">
        <f>PBO_prod_only!I19</f>
        <v>1.243370305821568E-2</v>
      </c>
    </row>
    <row r="40" spans="1:5" x14ac:dyDescent="0.25">
      <c r="A40">
        <v>2033</v>
      </c>
      <c r="B40" t="s">
        <v>36</v>
      </c>
      <c r="C40" s="6">
        <f>PBO_prod_only!J20</f>
        <v>4.9674858714798742E-3</v>
      </c>
      <c r="D40" s="6">
        <f>PBO_prod_only!K20</f>
        <v>1.0643029114995858E-2</v>
      </c>
      <c r="E40" s="6">
        <f>PBO_prod_only!I20</f>
        <v>1.5134671588463487E-2</v>
      </c>
    </row>
    <row r="41" spans="1:5" x14ac:dyDescent="0.25">
      <c r="A41">
        <v>2034</v>
      </c>
      <c r="B41" t="s">
        <v>36</v>
      </c>
      <c r="C41" s="6">
        <f>PBO_prod_only!J21</f>
        <v>5.9121287462513845E-3</v>
      </c>
      <c r="D41" s="6">
        <f>PBO_prod_only!K21</f>
        <v>1.2483975363683432E-2</v>
      </c>
      <c r="E41" s="6">
        <f>PBO_prod_only!I21</f>
        <v>1.7835137414668131E-2</v>
      </c>
    </row>
    <row r="42" spans="1:5" x14ac:dyDescent="0.25">
      <c r="A42">
        <v>2035</v>
      </c>
      <c r="B42" t="s">
        <v>36</v>
      </c>
      <c r="C42" s="6">
        <f>PBO_prod_only!J22</f>
        <v>6.8899660227111368E-3</v>
      </c>
      <c r="D42" s="6">
        <f>PBO_prod_only!K22</f>
        <v>1.429471460597531E-2</v>
      </c>
      <c r="E42" s="6">
        <f>PBO_prod_only!I22</f>
        <v>2.0538023562434837E-2</v>
      </c>
    </row>
    <row r="43" spans="1:5" x14ac:dyDescent="0.25">
      <c r="A43">
        <v>2036</v>
      </c>
      <c r="B43" t="s">
        <v>36</v>
      </c>
      <c r="C43" s="6">
        <f>PBO_prod_only!J23</f>
        <v>7.8895595148932868E-3</v>
      </c>
      <c r="D43" s="6">
        <f>PBO_prod_only!K23</f>
        <v>1.6082039788495928E-2</v>
      </c>
      <c r="E43" s="6">
        <f>PBO_prod_only!I23</f>
        <v>2.3238613921112004E-2</v>
      </c>
    </row>
    <row r="44" spans="1:5" x14ac:dyDescent="0.25">
      <c r="A44">
        <v>2037</v>
      </c>
      <c r="B44" t="s">
        <v>36</v>
      </c>
      <c r="C44" s="6">
        <f>PBO_prod_only!J24</f>
        <v>8.9211652752580368E-3</v>
      </c>
      <c r="D44" s="6">
        <f>PBO_prod_only!K24</f>
        <v>1.7826787151407029E-2</v>
      </c>
      <c r="E44" s="6">
        <f>PBO_prod_only!I24</f>
        <v>2.5929043081010624E-2</v>
      </c>
    </row>
    <row r="45" spans="1:5" x14ac:dyDescent="0.25">
      <c r="A45">
        <v>2027</v>
      </c>
      <c r="B45" t="s">
        <v>37</v>
      </c>
      <c r="C45" s="6">
        <f>PBO_prod_wage!J15</f>
        <v>-2.8857482293784451E-3</v>
      </c>
      <c r="D45" s="6">
        <f>PBO_prod_wage!K15</f>
        <v>2.9896560513767777E-3</v>
      </c>
      <c r="E45" s="6">
        <f>PBO_prod_wage!I15</f>
        <v>1.7135790761589175E-5</v>
      </c>
    </row>
    <row r="46" spans="1:5" x14ac:dyDescent="0.25">
      <c r="A46">
        <v>2028</v>
      </c>
      <c r="B46" t="s">
        <v>37</v>
      </c>
      <c r="C46" s="6">
        <f>PBO_prod_wage!J16</f>
        <v>-3.8705291066723074E-3</v>
      </c>
      <c r="D46" s="6">
        <f>PBO_prod_wage!K16</f>
        <v>9.0750908490917492E-3</v>
      </c>
      <c r="E46" s="6">
        <f>PBO_prod_wage!I16</f>
        <v>3.8668784561534308E-3</v>
      </c>
    </row>
    <row r="47" spans="1:5" x14ac:dyDescent="0.25">
      <c r="A47">
        <v>2029</v>
      </c>
      <c r="B47" t="s">
        <v>37</v>
      </c>
      <c r="C47" s="6">
        <f>PBO_prod_wage!J17</f>
        <v>-5.5461724517235746E-3</v>
      </c>
      <c r="D47" s="6">
        <f>PBO_prod_wage!K17</f>
        <v>1.5123695717566173E-2</v>
      </c>
      <c r="E47" s="6">
        <f>PBO_prod_wage!I17</f>
        <v>7.6294080660966844E-3</v>
      </c>
    </row>
    <row r="48" spans="1:5" x14ac:dyDescent="0.25">
      <c r="A48">
        <v>2030</v>
      </c>
      <c r="B48" t="s">
        <v>37</v>
      </c>
      <c r="C48" s="6">
        <f>PBO_prod_wage!J18</f>
        <v>-6.9963099077434846E-3</v>
      </c>
      <c r="D48" s="6">
        <f>PBO_prod_wage!K18</f>
        <v>2.0560578454011907E-2</v>
      </c>
      <c r="E48" s="6">
        <f>PBO_prod_wage!I18</f>
        <v>1.097526595202354E-2</v>
      </c>
    </row>
    <row r="49" spans="1:5" x14ac:dyDescent="0.25">
      <c r="A49">
        <v>2031</v>
      </c>
      <c r="B49" t="s">
        <v>37</v>
      </c>
      <c r="C49" s="6">
        <f>PBO_prod_wage!J19</f>
        <v>-8.9291017944837896E-3</v>
      </c>
      <c r="D49" s="6">
        <f>PBO_prod_wage!K19</f>
        <v>2.6651804939803903E-2</v>
      </c>
      <c r="E49" s="6">
        <f>PBO_prod_wage!I19</f>
        <v>1.4567901739001977E-2</v>
      </c>
    </row>
    <row r="50" spans="1:5" x14ac:dyDescent="0.25">
      <c r="A50">
        <v>2032</v>
      </c>
      <c r="B50" t="s">
        <v>37</v>
      </c>
      <c r="C50" s="6">
        <f>PBO_prod_wage!J20</f>
        <v>-1.0539507100945571E-2</v>
      </c>
      <c r="D50" s="6">
        <f>PBO_prod_wage!K20</f>
        <v>3.2158984920859023E-2</v>
      </c>
      <c r="E50" s="6">
        <f>PBO_prod_wage!I20</f>
        <v>1.7725272568714263E-2</v>
      </c>
    </row>
    <row r="51" spans="1:5" x14ac:dyDescent="0.25">
      <c r="A51">
        <v>2033</v>
      </c>
      <c r="B51" t="s">
        <v>37</v>
      </c>
      <c r="C51" s="6">
        <f>PBO_prod_wage!J21</f>
        <v>-1.2142439665549674E-2</v>
      </c>
      <c r="D51" s="6">
        <f>PBO_prod_wage!K21</f>
        <v>3.7501263206838151E-2</v>
      </c>
      <c r="E51" s="6">
        <f>PBO_prod_wage!I21</f>
        <v>2.0839409507799018E-2</v>
      </c>
    </row>
    <row r="52" spans="1:5" x14ac:dyDescent="0.25">
      <c r="A52">
        <v>2034</v>
      </c>
      <c r="B52" t="s">
        <v>37</v>
      </c>
      <c r="C52" s="6">
        <f>PBO_prod_wage!J22</f>
        <v>-1.369274898190373E-2</v>
      </c>
      <c r="D52" s="6">
        <f>PBO_prod_wage!K22</f>
        <v>4.2690434654307656E-2</v>
      </c>
      <c r="E52" s="6">
        <f>PBO_prod_wage!I22</f>
        <v>2.3865691758914384E-2</v>
      </c>
    </row>
    <row r="53" spans="1:5" x14ac:dyDescent="0.25">
      <c r="A53">
        <v>2035</v>
      </c>
      <c r="B53" t="s">
        <v>37</v>
      </c>
      <c r="C53" s="6">
        <f>PBO_prod_wage!J23</f>
        <v>-1.5261309811372895E-2</v>
      </c>
      <c r="D53" s="6">
        <f>PBO_prod_wage!K23</f>
        <v>4.7749915626899411E-2</v>
      </c>
      <c r="E53" s="6">
        <f>PBO_prod_wage!I23</f>
        <v>2.6755095529599156E-2</v>
      </c>
    </row>
    <row r="54" spans="1:5" x14ac:dyDescent="0.25">
      <c r="A54">
        <v>2036</v>
      </c>
      <c r="B54" t="s">
        <v>37</v>
      </c>
      <c r="C54" s="6">
        <f>PBO_prod_wage!J24</f>
        <v>-1.6763558942860229E-2</v>
      </c>
      <c r="D54" s="6">
        <f>PBO_prod_wage!K24</f>
        <v>5.2625984612095542E-2</v>
      </c>
      <c r="E54" s="6">
        <f>PBO_prod_wage!I24</f>
        <v>2.9545614761660462E-2</v>
      </c>
    </row>
    <row r="55" spans="1:5" x14ac:dyDescent="0.25">
      <c r="A55">
        <v>2037</v>
      </c>
      <c r="B55" t="s">
        <v>37</v>
      </c>
      <c r="C55" s="6">
        <f>PBO_prod_wage!J25</f>
        <v>-1.8260793574818374E-2</v>
      </c>
      <c r="D55" s="6">
        <f>PBO_prod_wage!K25</f>
        <v>5.743312278188021E-2</v>
      </c>
      <c r="E55" s="6">
        <f>PBO_prod_wage!I25</f>
        <v>3.2276919921655989E-2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PBO_wage_only</vt:lpstr>
      <vt:lpstr>PBO_prod_only</vt:lpstr>
      <vt:lpstr>PBO_prod_wage</vt:lpstr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Nolan</dc:creator>
  <cp:lastModifiedBy>Matt Nolan</cp:lastModifiedBy>
  <dcterms:created xsi:type="dcterms:W3CDTF">2026-07-28T03:05:13Z</dcterms:created>
  <dcterms:modified xsi:type="dcterms:W3CDTF">2026-08-04T05:16:40Z</dcterms:modified>
</cp:coreProperties>
</file>