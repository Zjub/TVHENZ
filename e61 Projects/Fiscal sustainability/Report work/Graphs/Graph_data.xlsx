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Nolan\Git\TVHENZ\e61 Projects\Fiscal sustainability\Report work\Graphs\"/>
    </mc:Choice>
  </mc:AlternateContent>
  <xr:revisionPtr revIDLastSave="0" documentId="13_ncr:1_{AC1297F2-E0B8-489D-A4BA-DCDE503EA9FD}" xr6:coauthVersionLast="47" xr6:coauthVersionMax="47" xr10:uidLastSave="{00000000-0000-0000-0000-000000000000}"/>
  <bookViews>
    <workbookView xWindow="-28920" yWindow="-120" windowWidth="29040" windowHeight="15720" firstSheet="13" activeTab="1" xr2:uid="{82F83531-D850-498C-8B60-66B6CF8D807A}"/>
  </bookViews>
  <sheets>
    <sheet name="Slide deck" sheetId="63" r:id="rId1"/>
    <sheet name="2 Spend rev (Feb version)" sheetId="64" r:id="rId2"/>
    <sheet name="3 Interest_plot (Feb version)" sheetId="62" r:id="rId3"/>
    <sheet name="Interest_plot" sheetId="57" r:id="rId4"/>
    <sheet name="Short Report" sheetId="52" r:id="rId5"/>
    <sheet name="SFigure_1" sheetId="53" r:id="rId6"/>
    <sheet name="Long Report" sheetId="51" r:id="rId7"/>
    <sheet name="Figure_1" sheetId="5" r:id="rId8"/>
    <sheet name="Figure_2" sheetId="10" r:id="rId9"/>
    <sheet name="Figure_2 (Feb version)" sheetId="61" r:id="rId10"/>
    <sheet name="Figure_3" sheetId="1" r:id="rId11"/>
    <sheet name="Figure_3 (Feb version)" sheetId="60" r:id="rId12"/>
    <sheet name="Figure_4" sheetId="6" r:id="rId13"/>
    <sheet name="Figure_5a" sheetId="7" r:id="rId14"/>
    <sheet name="Figure_5b" sheetId="8" r:id="rId15"/>
    <sheet name="Figure_6" sheetId="2" r:id="rId16"/>
    <sheet name="Figure_7" sheetId="9" r:id="rId17"/>
    <sheet name="Figure_8a" sheetId="11" r:id="rId18"/>
    <sheet name="Figure_8b" sheetId="12" r:id="rId19"/>
    <sheet name="Figure_9" sheetId="3" r:id="rId20"/>
    <sheet name="Figure_10" sheetId="4" r:id="rId21"/>
    <sheet name="Figure_11" sheetId="13" r:id="rId22"/>
    <sheet name="Figure_12" sheetId="14" r:id="rId23"/>
    <sheet name="Figure_13" sheetId="15" r:id="rId24"/>
    <sheet name="Figure_14" sheetId="16" r:id="rId25"/>
    <sheet name="Figure_15" sheetId="17" r:id="rId26"/>
    <sheet name="Figure_16" sheetId="18" r:id="rId27"/>
    <sheet name="Figure_17" sheetId="19" r:id="rId28"/>
    <sheet name="Figure_18" sheetId="20" r:id="rId29"/>
    <sheet name="Figure_19" sheetId="21" r:id="rId30"/>
    <sheet name="Figure_20" sheetId="22" r:id="rId31"/>
    <sheet name="Figure_21" sheetId="23" r:id="rId32"/>
    <sheet name="Figure_22" sheetId="24" r:id="rId33"/>
    <sheet name="Figure_23" sheetId="25" r:id="rId34"/>
    <sheet name="Figure_24" sheetId="26" r:id="rId35"/>
    <sheet name="Figure_25" sheetId="27" r:id="rId36"/>
    <sheet name="Figure_26" sheetId="58" r:id="rId37"/>
    <sheet name="Figure_26 (debt)" sheetId="59" r:id="rId38"/>
    <sheet name="Figure_26a" sheetId="28" r:id="rId39"/>
    <sheet name="Figure_26b" sheetId="29" r:id="rId40"/>
    <sheet name="Figure_27" sheetId="30" r:id="rId41"/>
    <sheet name="Figure29_a" sheetId="41" r:id="rId42"/>
    <sheet name="Figure29_b" sheetId="42" r:id="rId43"/>
    <sheet name="Figure30_a" sheetId="43" r:id="rId44"/>
    <sheet name="Figure30_b" sheetId="44" r:id="rId45"/>
    <sheet name="Figure_31" sheetId="45" r:id="rId46"/>
    <sheet name="Figure_32" sheetId="46" r:id="rId47"/>
    <sheet name="Figure_33" sheetId="47" r:id="rId48"/>
    <sheet name="Figure_34" sheetId="48" r:id="rId49"/>
    <sheet name="Figure_35" sheetId="49" r:id="rId50"/>
    <sheet name="Figure_36" sheetId="50" r:id="rId51"/>
    <sheet name="Figure_37_a" sheetId="31" r:id="rId52"/>
    <sheet name="Figure_37_b" sheetId="32" r:id="rId53"/>
    <sheet name="Figure_38" sheetId="55" r:id="rId54"/>
    <sheet name="Figure_39a" sheetId="56" r:id="rId55"/>
    <sheet name="Figure43_a" sheetId="33" r:id="rId56"/>
    <sheet name="Figure43_b" sheetId="34" r:id="rId57"/>
    <sheet name="Figure44_a" sheetId="35" r:id="rId58"/>
    <sheet name="Figure44_b" sheetId="36" r:id="rId59"/>
    <sheet name="Figure45" sheetId="37" r:id="rId60"/>
    <sheet name="Figure46_a" sheetId="38" r:id="rId61"/>
    <sheet name="Figur46_b" sheetId="39" r:id="rId62"/>
    <sheet name="Figure47" sheetId="40" r:id="rId63"/>
    <sheet name="Release schedule" sheetId="54" r:id="rId6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60" l="1"/>
  <c r="F24" i="60"/>
  <c r="F18" i="60"/>
  <c r="I18" i="60"/>
  <c r="G18" i="60"/>
  <c r="E18" i="60"/>
  <c r="D25" i="64"/>
  <c r="D26" i="64"/>
  <c r="D27" i="64"/>
  <c r="D28" i="64"/>
  <c r="D24" i="64"/>
  <c r="M27" i="59" l="1"/>
  <c r="M28" i="59"/>
  <c r="M29" i="59"/>
  <c r="M30" i="59"/>
  <c r="M31" i="59"/>
  <c r="M32" i="59"/>
  <c r="M33" i="59"/>
  <c r="M34" i="59"/>
  <c r="M35" i="59"/>
  <c r="M36" i="59"/>
  <c r="M37" i="59"/>
  <c r="M38" i="59"/>
  <c r="M39" i="59"/>
  <c r="M40" i="59"/>
  <c r="M41" i="59"/>
  <c r="M42" i="59"/>
  <c r="M43" i="59"/>
  <c r="M44" i="59"/>
  <c r="M45" i="59"/>
  <c r="M46" i="59"/>
  <c r="M47" i="59"/>
  <c r="M48" i="59"/>
  <c r="M49" i="59"/>
  <c r="E50" i="59"/>
  <c r="E49" i="59"/>
  <c r="F50" i="59"/>
  <c r="M50" i="59"/>
  <c r="E51" i="59"/>
  <c r="F51" i="59"/>
  <c r="M51" i="59"/>
  <c r="D52" i="59"/>
  <c r="E52" i="59"/>
  <c r="F52" i="59"/>
  <c r="M52" i="59"/>
  <c r="D53" i="59"/>
  <c r="E53" i="59"/>
  <c r="F53" i="59"/>
  <c r="M53" i="59"/>
  <c r="D54" i="59"/>
  <c r="E54" i="59"/>
  <c r="F54" i="59"/>
  <c r="M54" i="59"/>
  <c r="D55" i="59"/>
  <c r="E55" i="59"/>
  <c r="F55" i="59"/>
  <c r="M55" i="59"/>
  <c r="D56" i="59"/>
  <c r="E56" i="59"/>
  <c r="F56" i="59"/>
  <c r="M56" i="59"/>
  <c r="D57" i="59"/>
  <c r="E57" i="59"/>
  <c r="F57" i="59"/>
  <c r="M57" i="59"/>
  <c r="D58" i="59"/>
  <c r="E58" i="59"/>
  <c r="F58" i="59"/>
  <c r="M58" i="59"/>
  <c r="D59" i="59"/>
  <c r="E59" i="59"/>
  <c r="F59" i="59"/>
  <c r="M59" i="59"/>
  <c r="D60" i="59"/>
  <c r="E60" i="59"/>
  <c r="F60" i="59"/>
  <c r="M60" i="59"/>
  <c r="D61" i="59"/>
  <c r="E61" i="59"/>
  <c r="F61" i="59"/>
  <c r="M61" i="59"/>
  <c r="D62" i="59"/>
  <c r="E62" i="59"/>
  <c r="F62" i="59"/>
  <c r="M62" i="59"/>
  <c r="D63" i="59"/>
  <c r="E63" i="59"/>
  <c r="F63" i="59"/>
  <c r="M63" i="59"/>
  <c r="D64" i="59"/>
  <c r="E64" i="59"/>
  <c r="F64" i="59"/>
  <c r="M64" i="59"/>
  <c r="D65" i="59"/>
  <c r="E65" i="59"/>
  <c r="F65" i="59"/>
  <c r="M65" i="59"/>
  <c r="D66" i="59"/>
  <c r="E66" i="59"/>
  <c r="F66" i="59"/>
  <c r="M66" i="59"/>
  <c r="D67" i="59"/>
  <c r="E67" i="59"/>
  <c r="F67" i="59"/>
  <c r="M67" i="59"/>
  <c r="D68" i="59"/>
  <c r="E68" i="59"/>
  <c r="F68" i="59"/>
  <c r="M68" i="59"/>
  <c r="D69" i="59"/>
  <c r="E69" i="59"/>
  <c r="F69" i="59"/>
  <c r="M69" i="59"/>
  <c r="D70" i="59"/>
  <c r="E70" i="59"/>
  <c r="F70" i="59"/>
  <c r="M70" i="59"/>
  <c r="D71" i="59"/>
  <c r="E71" i="59"/>
  <c r="F71" i="59"/>
  <c r="M71" i="59"/>
  <c r="D72" i="59"/>
  <c r="E72" i="59"/>
  <c r="F72" i="59"/>
  <c r="M72" i="59"/>
  <c r="D73" i="59"/>
  <c r="E73" i="59"/>
  <c r="F73" i="59"/>
  <c r="M73" i="59"/>
  <c r="D74" i="59"/>
  <c r="E74" i="59"/>
  <c r="F74" i="59"/>
  <c r="M74" i="59"/>
  <c r="D75" i="59"/>
  <c r="E75" i="59"/>
  <c r="F75" i="59"/>
  <c r="M75" i="59"/>
  <c r="D76" i="59"/>
  <c r="E76" i="59"/>
  <c r="F76" i="59"/>
  <c r="M76" i="59"/>
  <c r="D77" i="59"/>
  <c r="E77" i="59"/>
  <c r="F77" i="59"/>
  <c r="M77" i="59"/>
  <c r="D78" i="59"/>
  <c r="E78" i="59"/>
  <c r="F78" i="59"/>
  <c r="M78" i="59"/>
  <c r="D79" i="59"/>
  <c r="E79" i="59"/>
  <c r="F79" i="59"/>
  <c r="M79" i="59"/>
  <c r="D80" i="59"/>
  <c r="E80" i="59"/>
  <c r="F80" i="59"/>
  <c r="M80" i="59"/>
  <c r="D81" i="59"/>
  <c r="E81" i="59"/>
  <c r="F81" i="59"/>
  <c r="M81" i="59"/>
  <c r="D82" i="59"/>
  <c r="E82" i="59"/>
  <c r="F82" i="59"/>
  <c r="M82" i="59"/>
  <c r="D83" i="59"/>
  <c r="E83" i="59"/>
  <c r="F83" i="59"/>
  <c r="M83" i="59"/>
  <c r="D84" i="59"/>
  <c r="E84" i="59"/>
  <c r="F84" i="59"/>
  <c r="M84" i="59"/>
  <c r="D85" i="59"/>
  <c r="E85" i="59"/>
  <c r="F85" i="59"/>
  <c r="M85" i="59"/>
  <c r="D86" i="59"/>
  <c r="E86" i="59"/>
  <c r="F86" i="59"/>
  <c r="M86" i="59"/>
  <c r="D87" i="59"/>
  <c r="E87" i="59"/>
  <c r="F87" i="59"/>
  <c r="M87" i="59"/>
  <c r="D88" i="59"/>
  <c r="E88" i="59"/>
  <c r="F88" i="59"/>
  <c r="M88" i="59"/>
  <c r="D89" i="59"/>
  <c r="E89" i="59"/>
  <c r="F89" i="59"/>
  <c r="M89" i="59"/>
  <c r="D90" i="59"/>
  <c r="E90" i="59"/>
  <c r="F90" i="59"/>
  <c r="M90" i="59"/>
  <c r="D91" i="59"/>
  <c r="E91" i="59"/>
  <c r="F91" i="59"/>
  <c r="M91" i="59"/>
  <c r="D92" i="59"/>
  <c r="E92" i="59"/>
  <c r="F92" i="59"/>
  <c r="M92" i="59"/>
  <c r="D93" i="59"/>
  <c r="E93" i="59"/>
  <c r="F93" i="59"/>
  <c r="M93" i="59"/>
  <c r="M26" i="59"/>
  <c r="G50" i="59"/>
  <c r="G51" i="59"/>
  <c r="G52" i="59"/>
  <c r="J47" i="59"/>
  <c r="J48" i="59"/>
  <c r="J49" i="59"/>
  <c r="J50" i="59"/>
  <c r="J51" i="59"/>
  <c r="J52" i="59"/>
  <c r="G53" i="59"/>
  <c r="J53" i="59"/>
  <c r="G54" i="59"/>
  <c r="J54" i="59"/>
  <c r="G55" i="59"/>
  <c r="J55" i="59"/>
  <c r="G56" i="59"/>
  <c r="J56" i="59"/>
  <c r="G57" i="59"/>
  <c r="J57" i="59"/>
  <c r="G58" i="59"/>
  <c r="J58" i="59"/>
  <c r="G59" i="59"/>
  <c r="J59" i="59"/>
  <c r="G60" i="59"/>
  <c r="J60" i="59"/>
  <c r="G61" i="59"/>
  <c r="J61" i="59"/>
  <c r="G62" i="59"/>
  <c r="J62" i="59"/>
  <c r="G63" i="59"/>
  <c r="J63" i="59"/>
  <c r="G64" i="59"/>
  <c r="J64" i="59"/>
  <c r="G65" i="59"/>
  <c r="J65" i="59"/>
  <c r="G66" i="59"/>
  <c r="J66" i="59"/>
  <c r="G67" i="59"/>
  <c r="J67" i="59"/>
  <c r="G68" i="59"/>
  <c r="J68" i="59"/>
  <c r="G69" i="59"/>
  <c r="J69" i="59"/>
  <c r="G70" i="59"/>
  <c r="J70" i="59"/>
  <c r="G71" i="59"/>
  <c r="J71" i="59"/>
  <c r="G72" i="59"/>
  <c r="J72" i="59"/>
  <c r="G73" i="59"/>
  <c r="J73" i="59"/>
  <c r="G74" i="59"/>
  <c r="J74" i="59"/>
  <c r="G75" i="59"/>
  <c r="J75" i="59"/>
  <c r="G76" i="59"/>
  <c r="J76" i="59"/>
  <c r="G77" i="59"/>
  <c r="J77" i="59"/>
  <c r="G78" i="59"/>
  <c r="J78" i="59"/>
  <c r="G79" i="59"/>
  <c r="J79" i="59"/>
  <c r="G80" i="59"/>
  <c r="J80" i="59"/>
  <c r="G81" i="59"/>
  <c r="J81" i="59"/>
  <c r="G82" i="59"/>
  <c r="J82" i="59"/>
  <c r="G83" i="59"/>
  <c r="J83" i="59"/>
  <c r="G84" i="59"/>
  <c r="J84" i="59"/>
  <c r="G85" i="59"/>
  <c r="J85" i="59"/>
  <c r="G86" i="59"/>
  <c r="J86" i="59"/>
  <c r="G87" i="59"/>
  <c r="J87" i="59"/>
  <c r="G88" i="59"/>
  <c r="J88" i="59"/>
  <c r="G89" i="59"/>
  <c r="J89" i="59"/>
  <c r="G90" i="59"/>
  <c r="J90" i="59"/>
  <c r="G91" i="59"/>
  <c r="J91" i="59"/>
  <c r="G92" i="59"/>
  <c r="J92" i="59"/>
  <c r="G93" i="59"/>
  <c r="J93" i="59"/>
  <c r="J46" i="59"/>
  <c r="H46" i="59"/>
  <c r="H47" i="59"/>
  <c r="H48" i="59"/>
  <c r="H49" i="59"/>
  <c r="H50" i="59"/>
  <c r="K51" i="59"/>
  <c r="K50" i="59"/>
  <c r="O46" i="59"/>
  <c r="L27" i="59"/>
  <c r="L28" i="59"/>
  <c r="L29" i="59"/>
  <c r="L30" i="59"/>
  <c r="L31" i="59"/>
  <c r="L32" i="59"/>
  <c r="L33" i="59"/>
  <c r="L34" i="59"/>
  <c r="L35" i="59"/>
  <c r="L36" i="59"/>
  <c r="L37" i="59"/>
  <c r="L38" i="59"/>
  <c r="L39" i="59"/>
  <c r="L40" i="59"/>
  <c r="L41" i="59"/>
  <c r="L42" i="59"/>
  <c r="L43" i="59"/>
  <c r="L44" i="59"/>
  <c r="L45" i="59"/>
  <c r="L46" i="59"/>
  <c r="L47" i="59"/>
  <c r="L48" i="59"/>
  <c r="L49" i="59"/>
  <c r="L50" i="59"/>
  <c r="L51" i="59"/>
  <c r="L52" i="59"/>
  <c r="L53" i="59"/>
  <c r="L54" i="59"/>
  <c r="L55" i="59"/>
  <c r="L56" i="59"/>
  <c r="L57" i="59"/>
  <c r="L58" i="59"/>
  <c r="L59" i="59"/>
  <c r="L60" i="59"/>
  <c r="L61" i="59"/>
  <c r="L62" i="59"/>
  <c r="L63" i="59"/>
  <c r="L64" i="59"/>
  <c r="L65" i="59"/>
  <c r="L66" i="59"/>
  <c r="L67" i="59"/>
  <c r="L68" i="59"/>
  <c r="L69" i="59"/>
  <c r="L70" i="59"/>
  <c r="L71" i="59"/>
  <c r="L72" i="59"/>
  <c r="L73" i="59"/>
  <c r="L74" i="59"/>
  <c r="L75" i="59"/>
  <c r="L76" i="59"/>
  <c r="L77" i="59"/>
  <c r="L78" i="59"/>
  <c r="L79" i="59"/>
  <c r="L80" i="59"/>
  <c r="L81" i="59"/>
  <c r="L82" i="59"/>
  <c r="L83" i="59"/>
  <c r="L84" i="59"/>
  <c r="L85" i="59"/>
  <c r="L86" i="59"/>
  <c r="L87" i="59"/>
  <c r="L88" i="59"/>
  <c r="L89" i="59"/>
  <c r="L90" i="59"/>
  <c r="L91" i="59"/>
  <c r="L92" i="59"/>
  <c r="L93" i="59"/>
  <c r="L26" i="59"/>
  <c r="K46" i="59"/>
  <c r="K47" i="59"/>
  <c r="K48" i="59"/>
  <c r="K49" i="59"/>
  <c r="K52" i="59"/>
  <c r="K53" i="59"/>
  <c r="K54" i="59"/>
  <c r="K55" i="59"/>
  <c r="K56" i="59"/>
  <c r="K57" i="59"/>
  <c r="K58" i="59"/>
  <c r="K59" i="59"/>
  <c r="K60" i="59"/>
  <c r="K61" i="59"/>
  <c r="K62" i="59"/>
  <c r="K63" i="59"/>
  <c r="K64" i="59"/>
  <c r="K65" i="59"/>
  <c r="K66" i="59"/>
  <c r="K67" i="59"/>
  <c r="K68" i="59"/>
  <c r="K69" i="59"/>
  <c r="K70" i="59"/>
  <c r="K71" i="59"/>
  <c r="K72" i="59"/>
  <c r="K73" i="59"/>
  <c r="K74" i="59"/>
  <c r="K75" i="59"/>
  <c r="K76" i="59"/>
  <c r="K77" i="59"/>
  <c r="K78" i="59"/>
  <c r="K79" i="59"/>
  <c r="K80" i="59"/>
  <c r="K81" i="59"/>
  <c r="K82" i="59"/>
  <c r="K83" i="59"/>
  <c r="K84" i="59"/>
  <c r="K85" i="59"/>
  <c r="K86" i="59"/>
  <c r="K87" i="59"/>
  <c r="K88" i="59"/>
  <c r="K89" i="59"/>
  <c r="K90" i="59"/>
  <c r="K91" i="59"/>
  <c r="K92" i="59"/>
  <c r="K93" i="59"/>
  <c r="K26" i="59"/>
  <c r="K27" i="59"/>
  <c r="K28" i="59"/>
  <c r="K29" i="59"/>
  <c r="K30" i="59"/>
  <c r="K31" i="59"/>
  <c r="K32" i="59"/>
  <c r="K33" i="59"/>
  <c r="K34" i="59"/>
  <c r="K35" i="59"/>
  <c r="K36" i="59"/>
  <c r="K37" i="59"/>
  <c r="K38" i="59"/>
  <c r="K39" i="59"/>
  <c r="K41" i="59"/>
  <c r="K42" i="59"/>
  <c r="K43" i="59"/>
  <c r="K44" i="59"/>
  <c r="K45" i="59"/>
  <c r="K40" i="59"/>
  <c r="I46" i="59"/>
  <c r="I48" i="59"/>
  <c r="I49" i="59"/>
  <c r="I50" i="59"/>
  <c r="H51" i="59"/>
  <c r="I51" i="59"/>
  <c r="H52" i="59"/>
  <c r="I52" i="59"/>
  <c r="H53" i="59"/>
  <c r="I53" i="59"/>
  <c r="H54" i="59"/>
  <c r="I54" i="59"/>
  <c r="H55" i="59"/>
  <c r="I55" i="59"/>
  <c r="H56" i="59"/>
  <c r="I56" i="59"/>
  <c r="H57" i="59"/>
  <c r="I57" i="59"/>
  <c r="H58" i="59"/>
  <c r="I58" i="59"/>
  <c r="H59" i="59"/>
  <c r="I59" i="59"/>
  <c r="H60" i="59"/>
  <c r="I60" i="59"/>
  <c r="H61" i="59"/>
  <c r="I61" i="59"/>
  <c r="H62" i="59"/>
  <c r="I62" i="59"/>
  <c r="H63" i="59"/>
  <c r="I63" i="59"/>
  <c r="H64" i="59"/>
  <c r="I64" i="59"/>
  <c r="H65" i="59"/>
  <c r="I65" i="59"/>
  <c r="H66" i="59"/>
  <c r="I66" i="59"/>
  <c r="H67" i="59"/>
  <c r="I67" i="59"/>
  <c r="H68" i="59"/>
  <c r="I68" i="59"/>
  <c r="H69" i="59"/>
  <c r="I69" i="59"/>
  <c r="H70" i="59"/>
  <c r="I70" i="59"/>
  <c r="H71" i="59"/>
  <c r="I71" i="59"/>
  <c r="H72" i="59"/>
  <c r="I72" i="59"/>
  <c r="H73" i="59"/>
  <c r="I73" i="59"/>
  <c r="H74" i="59"/>
  <c r="I74" i="59"/>
  <c r="H75" i="59"/>
  <c r="I75" i="59"/>
  <c r="H76" i="59"/>
  <c r="I76" i="59"/>
  <c r="H77" i="59"/>
  <c r="I77" i="59"/>
  <c r="H78" i="59"/>
  <c r="I78" i="59"/>
  <c r="H79" i="59"/>
  <c r="I79" i="59"/>
  <c r="H80" i="59"/>
  <c r="I80" i="59"/>
  <c r="H81" i="59"/>
  <c r="I81" i="59"/>
  <c r="H82" i="59"/>
  <c r="I82" i="59"/>
  <c r="H83" i="59"/>
  <c r="I83" i="59"/>
  <c r="H84" i="59"/>
  <c r="I84" i="59"/>
  <c r="H85" i="59"/>
  <c r="I85" i="59"/>
  <c r="H86" i="59"/>
  <c r="I86" i="59"/>
  <c r="H87" i="59"/>
  <c r="I87" i="59"/>
  <c r="H88" i="59"/>
  <c r="I88" i="59"/>
  <c r="H89" i="59"/>
  <c r="I89" i="59"/>
  <c r="H90" i="59"/>
  <c r="I90" i="59"/>
  <c r="H91" i="59"/>
  <c r="I91" i="59"/>
  <c r="H92" i="59"/>
  <c r="I92" i="59"/>
  <c r="H93" i="59"/>
  <c r="I93" i="59"/>
  <c r="I47" i="59"/>
  <c r="E3" i="59"/>
  <c r="E4" i="59"/>
  <c r="E5" i="59"/>
  <c r="E6" i="59"/>
  <c r="E7" i="59"/>
  <c r="E8" i="59"/>
  <c r="E9" i="59"/>
  <c r="E10" i="59"/>
  <c r="E11" i="59"/>
  <c r="E12" i="59"/>
  <c r="E13" i="59"/>
  <c r="E14" i="59"/>
  <c r="E15" i="59"/>
  <c r="E16" i="59"/>
  <c r="E17" i="59"/>
  <c r="E18" i="59"/>
  <c r="E19" i="59"/>
  <c r="E20" i="59"/>
  <c r="E21" i="59"/>
  <c r="E22" i="59"/>
  <c r="E23" i="59"/>
  <c r="E24" i="59"/>
  <c r="E25" i="59"/>
  <c r="E26" i="59"/>
  <c r="E27" i="59"/>
  <c r="E28" i="59"/>
  <c r="E29" i="59"/>
  <c r="E30" i="59"/>
  <c r="E31" i="59"/>
  <c r="E32" i="59"/>
  <c r="E33" i="59"/>
  <c r="E34" i="59"/>
  <c r="E35" i="59"/>
  <c r="E36" i="59"/>
  <c r="E37" i="59"/>
  <c r="E38" i="59"/>
  <c r="E39" i="59"/>
  <c r="E40" i="59"/>
  <c r="E41" i="59"/>
  <c r="E42" i="59"/>
  <c r="E43" i="59"/>
  <c r="E44" i="59"/>
  <c r="E45" i="59"/>
  <c r="E46" i="59"/>
  <c r="E47" i="59"/>
  <c r="E48" i="59"/>
  <c r="E2" i="59"/>
  <c r="J49" i="58"/>
  <c r="K49" i="58"/>
  <c r="L49" i="58"/>
  <c r="F49" i="58"/>
  <c r="F47" i="58"/>
  <c r="M49" i="58"/>
  <c r="N49" i="58"/>
  <c r="J50" i="58"/>
  <c r="K50" i="58"/>
  <c r="L50" i="58"/>
  <c r="F50" i="58"/>
  <c r="M50" i="58"/>
  <c r="N50" i="58"/>
  <c r="J51" i="58"/>
  <c r="K51" i="58"/>
  <c r="L51" i="58"/>
  <c r="F51" i="58"/>
  <c r="M51" i="58"/>
  <c r="N51" i="58"/>
  <c r="J52" i="58"/>
  <c r="K52" i="58"/>
  <c r="L52" i="58"/>
  <c r="F52" i="58"/>
  <c r="M52" i="58"/>
  <c r="N52" i="58"/>
  <c r="J53" i="58"/>
  <c r="K53" i="58"/>
  <c r="L53" i="58"/>
  <c r="F53" i="58"/>
  <c r="M53" i="58"/>
  <c r="N53" i="58"/>
  <c r="J54" i="58"/>
  <c r="K54" i="58"/>
  <c r="L54" i="58"/>
  <c r="F54" i="58"/>
  <c r="M54" i="58"/>
  <c r="N54" i="58"/>
  <c r="J55" i="58"/>
  <c r="K55" i="58"/>
  <c r="L55" i="58"/>
  <c r="F55" i="58"/>
  <c r="M55" i="58"/>
  <c r="N55" i="58"/>
  <c r="J56" i="58"/>
  <c r="K56" i="58"/>
  <c r="L56" i="58"/>
  <c r="F56" i="58"/>
  <c r="M56" i="58"/>
  <c r="N56" i="58"/>
  <c r="J57" i="58"/>
  <c r="K57" i="58"/>
  <c r="L57" i="58"/>
  <c r="F57" i="58"/>
  <c r="M57" i="58"/>
  <c r="N57" i="58"/>
  <c r="J58" i="58"/>
  <c r="K58" i="58"/>
  <c r="L58" i="58"/>
  <c r="F58" i="58"/>
  <c r="M58" i="58"/>
  <c r="N58" i="58"/>
  <c r="J59" i="58"/>
  <c r="K59" i="58"/>
  <c r="L59" i="58"/>
  <c r="F59" i="58"/>
  <c r="M59" i="58"/>
  <c r="N59" i="58"/>
  <c r="J60" i="58"/>
  <c r="K60" i="58"/>
  <c r="L60" i="58"/>
  <c r="F60" i="58"/>
  <c r="M60" i="58"/>
  <c r="N60" i="58"/>
  <c r="J61" i="58"/>
  <c r="K61" i="58"/>
  <c r="L61" i="58"/>
  <c r="F61" i="58"/>
  <c r="M61" i="58"/>
  <c r="N61" i="58"/>
  <c r="J62" i="58"/>
  <c r="K62" i="58"/>
  <c r="L62" i="58"/>
  <c r="F62" i="58"/>
  <c r="M62" i="58"/>
  <c r="N62" i="58"/>
  <c r="J63" i="58"/>
  <c r="K63" i="58"/>
  <c r="L63" i="58"/>
  <c r="F63" i="58"/>
  <c r="M63" i="58"/>
  <c r="N63" i="58"/>
  <c r="J64" i="58"/>
  <c r="K64" i="58"/>
  <c r="L64" i="58"/>
  <c r="F64" i="58"/>
  <c r="M64" i="58"/>
  <c r="N64" i="58"/>
  <c r="J65" i="58"/>
  <c r="K65" i="58"/>
  <c r="L65" i="58"/>
  <c r="F65" i="58"/>
  <c r="M65" i="58"/>
  <c r="N65" i="58"/>
  <c r="J66" i="58"/>
  <c r="K66" i="58"/>
  <c r="L66" i="58"/>
  <c r="F66" i="58"/>
  <c r="M66" i="58"/>
  <c r="N66" i="58"/>
  <c r="J67" i="58"/>
  <c r="K67" i="58"/>
  <c r="L67" i="58"/>
  <c r="F67" i="58"/>
  <c r="M67" i="58"/>
  <c r="N67" i="58"/>
  <c r="J68" i="58"/>
  <c r="K68" i="58"/>
  <c r="L68" i="58"/>
  <c r="F68" i="58"/>
  <c r="M68" i="58"/>
  <c r="N68" i="58"/>
  <c r="J69" i="58"/>
  <c r="K69" i="58"/>
  <c r="L69" i="58"/>
  <c r="F69" i="58"/>
  <c r="M69" i="58"/>
  <c r="N69" i="58"/>
  <c r="J70" i="58"/>
  <c r="K70" i="58"/>
  <c r="L70" i="58"/>
  <c r="F70" i="58"/>
  <c r="M70" i="58"/>
  <c r="N70" i="58"/>
  <c r="J71" i="58"/>
  <c r="K71" i="58"/>
  <c r="L71" i="58"/>
  <c r="F71" i="58"/>
  <c r="M71" i="58"/>
  <c r="N71" i="58"/>
  <c r="J72" i="58"/>
  <c r="K72" i="58"/>
  <c r="L72" i="58"/>
  <c r="F72" i="58"/>
  <c r="M72" i="58"/>
  <c r="N72" i="58"/>
  <c r="J73" i="58"/>
  <c r="K73" i="58"/>
  <c r="L73" i="58"/>
  <c r="F73" i="58"/>
  <c r="M73" i="58"/>
  <c r="N73" i="58"/>
  <c r="J74" i="58"/>
  <c r="K74" i="58"/>
  <c r="L74" i="58"/>
  <c r="F74" i="58"/>
  <c r="M74" i="58"/>
  <c r="N74" i="58"/>
  <c r="J75" i="58"/>
  <c r="K75" i="58"/>
  <c r="L75" i="58"/>
  <c r="F75" i="58"/>
  <c r="M75" i="58"/>
  <c r="N75" i="58"/>
  <c r="J76" i="58"/>
  <c r="K76" i="58"/>
  <c r="L76" i="58"/>
  <c r="F76" i="58"/>
  <c r="M76" i="58"/>
  <c r="N76" i="58"/>
  <c r="J77" i="58"/>
  <c r="K77" i="58"/>
  <c r="L77" i="58"/>
  <c r="F77" i="58"/>
  <c r="M77" i="58"/>
  <c r="N77" i="58"/>
  <c r="J78" i="58"/>
  <c r="K78" i="58"/>
  <c r="L78" i="58"/>
  <c r="F78" i="58"/>
  <c r="M78" i="58"/>
  <c r="N78" i="58"/>
  <c r="J79" i="58"/>
  <c r="K79" i="58"/>
  <c r="L79" i="58"/>
  <c r="F79" i="58"/>
  <c r="M79" i="58"/>
  <c r="N79" i="58"/>
  <c r="J80" i="58"/>
  <c r="K80" i="58"/>
  <c r="L80" i="58"/>
  <c r="F80" i="58"/>
  <c r="M80" i="58"/>
  <c r="N80" i="58"/>
  <c r="J81" i="58"/>
  <c r="K81" i="58"/>
  <c r="L81" i="58"/>
  <c r="F81" i="58"/>
  <c r="M81" i="58"/>
  <c r="N81" i="58"/>
  <c r="J82" i="58"/>
  <c r="K82" i="58"/>
  <c r="L82" i="58"/>
  <c r="F82" i="58"/>
  <c r="M82" i="58"/>
  <c r="N82" i="58"/>
  <c r="J83" i="58"/>
  <c r="K83" i="58"/>
  <c r="L83" i="58"/>
  <c r="F83" i="58"/>
  <c r="M83" i="58"/>
  <c r="N83" i="58"/>
  <c r="J84" i="58"/>
  <c r="K84" i="58"/>
  <c r="L84" i="58"/>
  <c r="F84" i="58"/>
  <c r="M84" i="58"/>
  <c r="N84" i="58"/>
  <c r="J85" i="58"/>
  <c r="K85" i="58"/>
  <c r="L85" i="58"/>
  <c r="F85" i="58"/>
  <c r="M85" i="58"/>
  <c r="N85" i="58"/>
  <c r="J86" i="58"/>
  <c r="K86" i="58"/>
  <c r="L86" i="58"/>
  <c r="F86" i="58"/>
  <c r="M86" i="58"/>
  <c r="N86" i="58"/>
  <c r="J87" i="58"/>
  <c r="K87" i="58"/>
  <c r="L87" i="58"/>
  <c r="F87" i="58"/>
  <c r="M87" i="58"/>
  <c r="N87" i="58"/>
  <c r="J88" i="58"/>
  <c r="K88" i="58"/>
  <c r="L88" i="58"/>
  <c r="F88" i="58"/>
  <c r="M88" i="58"/>
  <c r="N88" i="58"/>
  <c r="J89" i="58"/>
  <c r="K89" i="58"/>
  <c r="L89" i="58"/>
  <c r="F89" i="58"/>
  <c r="M89" i="58"/>
  <c r="N89" i="58"/>
  <c r="J90" i="58"/>
  <c r="K90" i="58"/>
  <c r="L90" i="58"/>
  <c r="F90" i="58"/>
  <c r="M90" i="58"/>
  <c r="N90" i="58"/>
  <c r="J91" i="58"/>
  <c r="K91" i="58"/>
  <c r="L91" i="58"/>
  <c r="F91" i="58"/>
  <c r="M91" i="58"/>
  <c r="N91" i="58"/>
  <c r="J92" i="58"/>
  <c r="K92" i="58"/>
  <c r="L92" i="58"/>
  <c r="F92" i="58"/>
  <c r="M92" i="58"/>
  <c r="N92" i="58"/>
  <c r="J93" i="58"/>
  <c r="K93" i="58"/>
  <c r="L93" i="58"/>
  <c r="F93" i="58"/>
  <c r="M93" i="58"/>
  <c r="N93" i="58"/>
  <c r="K48" i="58"/>
  <c r="F48" i="58"/>
  <c r="M48" i="58"/>
  <c r="N48" i="58"/>
  <c r="L48" i="58"/>
  <c r="J48" i="58"/>
  <c r="F3" i="58"/>
  <c r="F4" i="58"/>
  <c r="F5" i="58"/>
  <c r="F6" i="58"/>
  <c r="F7" i="58"/>
  <c r="F8" i="58"/>
  <c r="F9" i="58"/>
  <c r="F10" i="58"/>
  <c r="F11" i="58"/>
  <c r="F12" i="58"/>
  <c r="F13" i="58"/>
  <c r="F14" i="58"/>
  <c r="F15" i="58"/>
  <c r="F16" i="58"/>
  <c r="F17" i="58"/>
  <c r="F18" i="58"/>
  <c r="F19" i="58"/>
  <c r="F20" i="58"/>
  <c r="F21" i="58"/>
  <c r="F22" i="58"/>
  <c r="F23" i="58"/>
  <c r="F24" i="58"/>
  <c r="F25" i="58"/>
  <c r="F26" i="58"/>
  <c r="F27" i="58"/>
  <c r="F28" i="58"/>
  <c r="F29" i="58"/>
  <c r="F30" i="58"/>
  <c r="F31" i="58"/>
  <c r="F32" i="58"/>
  <c r="F33" i="58"/>
  <c r="F34" i="58"/>
  <c r="F35" i="58"/>
  <c r="F36" i="58"/>
  <c r="F37" i="58"/>
  <c r="F38" i="58"/>
  <c r="F39" i="58"/>
  <c r="F40" i="58"/>
  <c r="F41" i="58"/>
  <c r="F42" i="58"/>
  <c r="F43" i="58"/>
  <c r="F44" i="58"/>
  <c r="F45" i="58"/>
  <c r="F46" i="58"/>
  <c r="F2" i="58"/>
  <c r="B8" i="32"/>
</calcChain>
</file>

<file path=xl/sharedStrings.xml><?xml version="1.0" encoding="utf-8"?>
<sst xmlns="http://schemas.openxmlformats.org/spreadsheetml/2006/main" count="3517" uniqueCount="330">
  <si>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</si>
  <si>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</si>
  <si>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</si>
  <si>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</si>
  <si>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</si>
  <si>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</si>
  <si>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</si>
  <si>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</si>
  <si>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</si>
  <si>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</si>
  <si>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</si>
  <si>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</si>
  <si>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</si>
  <si>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</si>
  <si>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</si>
  <si>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</si>
  <si>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</si>
  <si>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</si>
  <si>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</si>
  <si>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</si>
  <si>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</si>
  <si>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</si>
  <si>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</si>
  <si>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</si>
  <si>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</si>
  <si>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</si>
  <si>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</si>
  <si>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</si>
  <si>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</si>
  <si>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</si>
  <si>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</si>
  <si>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</si>
  <si>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</si>
  <si>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</si>
  <si>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</si>
  <si>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</si>
  <si>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</si>
  <si>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</si>
  <si>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</si>
  <si>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</si>
  <si>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</si>
  <si>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</si>
  <si>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</si>
  <si>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</si>
  <si>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</si>
  <si>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</si>
  <si>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</si>
  <si>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</si>
  <si>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</si>
  <si>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</si>
  <si>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</si>
  <si>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</si>
  <si>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</si>
  <si>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</si>
  <si>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</si>
  <si>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</si>
  <si>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</si>
  <si>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</si>
  <si>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</si>
  <si>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</si>
  <si>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</si>
  <si>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</si>
  <si>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</si>
  <si>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</si>
  <si>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</si>
  <si>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</si>
  <si>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</si>
  <si>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</si>
  <si>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</si>
  <si>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</si>
  <si>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</si>
  <si>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</si>
  <si>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</si>
  <si>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</si>
  <si>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</si>
  <si>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</si>
  <si>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</si>
  <si>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</si>
  <si>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</si>
  <si>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</si>
  <si>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</si>
  <si>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</si>
  <si>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</si>
  <si>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</si>
  <si>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</si>
  <si>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</si>
  <si>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</si>
  <si>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</si>
  <si>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</si>
  <si>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</si>
  <si>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</si>
  <si>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</si>
  <si>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</si>
  <si>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</si>
  <si>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</si>
  <si>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</si>
  <si>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</si>
  <si>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</si>
  <si>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</si>
  <si>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</si>
  <si>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</si>
  <si>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</si>
  <si>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</si>
  <si>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</si>
  <si>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</si>
  <si>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</si>
  <si>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</si>
  <si>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</si>
  <si>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</si>
  <si>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</si>
  <si>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</si>
  <si>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</si>
  <si>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</si>
  <si>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</si>
  <si>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</si>
  <si>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</si>
  <si>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</si>
  <si>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</si>
  <si>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</si>
  <si>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</si>
  <si>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</si>
  <si>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</si>
  <si>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</si>
  <si>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</si>
  <si>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</si>
  <si>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</si>
  <si>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</si>
  <si>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</si>
  <si>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</si>
  <si>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</si>
  <si>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</si>
  <si>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</si>
  <si>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</si>
  <si>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</si>
  <si>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</si>
  <si>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</si>
  <si>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</si>
  <si>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</si>
  <si>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</si>
  <si>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</si>
  <si>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</si>
  <si>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</si>
  <si>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</si>
  <si>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</si>
  <si>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</si>
  <si>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</si>
  <si>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</si>
  <si>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</si>
  <si>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</si>
  <si>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</si>
  <si>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</si>
  <si>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</si>
  <si>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</si>
  <si>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</si>
  <si>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</si>
  <si>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</si>
  <si>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</si>
  <si>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</si>
  <si>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</si>
  <si>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</si>
  <si>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</si>
  <si>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</si>
  <si>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</si>
  <si>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</si>
  <si>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</si>
  <si>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</si>
  <si>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</si>
  <si>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</si>
  <si>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</si>
  <si>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</si>
  <si>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</si>
  <si>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</si>
  <si>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</si>
  <si>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</si>
  <si>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</si>
  <si>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</si>
  <si>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</si>
  <si>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</si>
  <si>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</si>
  <si>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</si>
  <si>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</si>
  <si>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</si>
  <si>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</si>
  <si>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</si>
  <si>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</si>
  <si>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</si>
  <si>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</si>
  <si>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</si>
  <si>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</si>
  <si>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</si>
  <si>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</si>
  <si>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</si>
  <si>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</si>
  <si>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</si>
  <si>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</si>
  <si>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</si>
  <si>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</si>
  <si>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</si>
  <si>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</si>
  <si>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</si>
  <si>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</si>
  <si>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</si>
  <si>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</si>
  <si>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</si>
  <si>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</si>
  <si>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</si>
  <si>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</si>
  <si>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</si>
  <si>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</si>
  <si>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</si>
  <si>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</si>
  <si>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</si>
  <si>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</si>
  <si>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</si>
  <si>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</si>
  <si>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</si>
  <si>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</si>
  <si>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</si>
  <si>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</si>
  <si>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</si>
  <si>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</si>
  <si>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</si>
  <si>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</si>
  <si>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</si>
  <si>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</si>
  <si>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</si>
  <si>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</si>
  <si>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</si>
  <si>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</si>
  <si>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</si>
  <si>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</si>
  <si>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</si>
  <si>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</si>
  <si>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</si>
  <si>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</si>
  <si>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</si>
  <si>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</si>
  <si>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</si>
  <si>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</si>
  <si>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</si>
  <si>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</si>
  <si>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</si>
  <si>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</si>
  <si>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</si>
  <si>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</si>
  <si>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</si>
  <si>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</si>
  <si>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</si>
  <si>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</si>
  <si>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</si>
  <si>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</si>
  <si>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</si>
  <si>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</si>
  <si>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</si>
  <si>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</si>
  <si>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</si>
  <si>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</si>
  <si>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</si>
  <si>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</si>
  <si>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</si>
  <si>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</si>
  <si>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</si>
  <si>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</si>
  <si>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</si>
  <si>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</si>
  <si>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</si>
  <si>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</si>
  <si>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</si>
  <si>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</si>
  <si>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</si>
  <si>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</si>
  <si>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</si>
  <si>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</si>
  <si>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</si>
  <si>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</si>
  <si>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</si>
  <si>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</si>
  <si>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</si>
  <si>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</si>
  <si>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</si>
  <si>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</si>
  <si>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</si>
  <si>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</si>
  <si>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</si>
  <si>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</si>
  <si>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</si>
  <si>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</si>
  <si>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</si>
  <si>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</si>
  <si>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</si>
  <si>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</si>
  <si>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</si>
  <si>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</si>
  <si>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</si>
  <si>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</si>
  <si>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</si>
  <si>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</si>
  <si>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</si>
  <si>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</si>
  <si>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</si>
  <si>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</si>
  <si>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</si>
  <si>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</si>
  <si>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</si>
  <si>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</si>
  <si>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</si>
  <si>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</si>
  <si>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</si>
  <si>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</si>
  <si>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</si>
  <si>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</si>
  <si>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</si>
  <si>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</si>
  <si>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</si>
  <si>
    <t>Historical</t>
  </si>
  <si>
    <t>Projection (base)</t>
  </si>
  <si>
    <t>Consolidated</t>
  </si>
  <si>
    <t>Addition</t>
  </si>
  <si>
    <t>State share</t>
  </si>
  <si>
    <t>Increases on 2025</t>
  </si>
  <si>
    <t>Consolidate</t>
  </si>
  <si>
    <t>Expenditure</t>
  </si>
  <si>
    <t>Debt</t>
  </si>
  <si>
    <t>Expenditure_GDP</t>
  </si>
  <si>
    <t>GDP</t>
  </si>
  <si>
    <t>Actual_Expenditure</t>
  </si>
  <si>
    <t>NA</t>
  </si>
  <si>
    <t>Tax increase</t>
  </si>
  <si>
    <t>GDP increase</t>
  </si>
  <si>
    <t>Data sources are too different, so not sure this makes sense. Instead apply the expenditure projections to the OECD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</si>
</sst>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#,##0.0"/>
  </numFmts>
  <fonts count="7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top"/>
    </xf>
    <xf numFmtId="166" fontId="6" fillId="0" borderId="0" xfId="0" applyNumberFormat="1" applyFont="1"/>
    <xf numFmtId="0" fontId="6" fillId="0" borderId="0" xfId="0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 applyAlignment="1">
      <alignment horizontal="right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3D9B-5EC3-406A-A36E-7B04EB6AFC98}">
  <sheetPr>
    <tabColor theme="3"/>
  </sheetPr>
  <dimension ref="A1"/>
  <sheetViews>
    <sheetView workbookViewId="0">
      <selection activeCell="D28" sqref="D28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2944-924F-4AC6-8877-8DEB539CD2F0}">
  <dimension ref="A1:D28"/>
  <sheetViews>
    <sheetView tabSelected="1" workbookViewId="0">
      <selection activeCell="H23" sqref="H23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A1" t="s">
        <v>3</v>
      </c>
      <c r="B1" t="s">
        <v>48</v>
      </c>
      <c r="C1" t="s">
        <v>49</v>
      </c>
      <c r="D1" t="s">
        <v>238</v>
      </c>
    </row>
    <row r="2" spans="1:4" x14ac:dyDescent="0.25">
      <c r="A2">
        <v>2003</v>
      </c>
      <c r="B2">
        <v>33.482999999999997</v>
      </c>
      <c r="C2">
        <v>34.929000000000002</v>
      </c>
    </row>
    <row r="3" spans="1:4" x14ac:dyDescent="0.25">
      <c r="A3">
        <v>2004</v>
      </c>
      <c r="B3">
        <v>33.493000000000002</v>
      </c>
      <c r="C3">
        <v>35.24</v>
      </c>
    </row>
    <row r="4" spans="1:4" x14ac:dyDescent="0.25">
      <c r="A4">
        <v>2005</v>
      </c>
      <c r="B4">
        <v>33.308</v>
      </c>
      <c r="C4">
        <v>35.558</v>
      </c>
    </row>
    <row r="5" spans="1:4" x14ac:dyDescent="0.25">
      <c r="A5">
        <v>2006</v>
      </c>
      <c r="B5">
        <v>32.734999999999999</v>
      </c>
      <c r="C5">
        <v>35.633000000000003</v>
      </c>
    </row>
    <row r="6" spans="1:4" x14ac:dyDescent="0.25">
      <c r="A6">
        <v>2007</v>
      </c>
      <c r="B6">
        <v>32.387</v>
      </c>
      <c r="C6">
        <v>34.997999999999998</v>
      </c>
    </row>
    <row r="7" spans="1:4" x14ac:dyDescent="0.25">
      <c r="A7">
        <v>2008</v>
      </c>
      <c r="B7">
        <v>32.167000000000002</v>
      </c>
      <c r="C7">
        <v>34.889000000000003</v>
      </c>
    </row>
    <row r="8" spans="1:4" x14ac:dyDescent="0.25">
      <c r="A8">
        <v>2009</v>
      </c>
      <c r="B8">
        <v>34.185000000000002</v>
      </c>
      <c r="C8">
        <v>32.493000000000002</v>
      </c>
    </row>
    <row r="9" spans="1:4" x14ac:dyDescent="0.25">
      <c r="A9">
        <v>2010</v>
      </c>
      <c r="B9">
        <v>34.624000000000002</v>
      </c>
      <c r="C9">
        <v>31.413</v>
      </c>
    </row>
    <row r="10" spans="1:4" x14ac:dyDescent="0.25">
      <c r="A10">
        <v>2011</v>
      </c>
      <c r="B10">
        <v>33.585999999999999</v>
      </c>
      <c r="C10">
        <v>30.806000000000001</v>
      </c>
    </row>
    <row r="11" spans="1:4" x14ac:dyDescent="0.25">
      <c r="A11">
        <v>2012</v>
      </c>
      <c r="B11">
        <v>34.079000000000001</v>
      </c>
      <c r="C11">
        <v>31.466000000000001</v>
      </c>
    </row>
    <row r="12" spans="1:4" x14ac:dyDescent="0.25">
      <c r="A12">
        <v>2013</v>
      </c>
      <c r="B12">
        <v>34.344000000000001</v>
      </c>
      <c r="C12">
        <v>32.787999999999997</v>
      </c>
    </row>
    <row r="13" spans="1:4" x14ac:dyDescent="0.25">
      <c r="A13">
        <v>2014</v>
      </c>
      <c r="B13">
        <v>34.47</v>
      </c>
      <c r="C13">
        <v>32.787999999999997</v>
      </c>
    </row>
    <row r="14" spans="1:4" x14ac:dyDescent="0.25">
      <c r="A14">
        <v>2015</v>
      </c>
      <c r="B14">
        <v>35.040999999999997</v>
      </c>
      <c r="C14">
        <v>33.29</v>
      </c>
    </row>
    <row r="15" spans="1:4" x14ac:dyDescent="0.25">
      <c r="A15">
        <v>2016</v>
      </c>
      <c r="B15">
        <v>35.314</v>
      </c>
      <c r="C15">
        <v>33.869999999999997</v>
      </c>
    </row>
    <row r="16" spans="1:4" x14ac:dyDescent="0.25">
      <c r="A16">
        <v>2017</v>
      </c>
      <c r="B16">
        <v>34.576999999999998</v>
      </c>
      <c r="C16">
        <v>33.755000000000003</v>
      </c>
    </row>
    <row r="17" spans="1:4" x14ac:dyDescent="0.25">
      <c r="A17">
        <v>2018</v>
      </c>
      <c r="B17">
        <v>34.295999999999999</v>
      </c>
      <c r="C17">
        <v>34.79</v>
      </c>
    </row>
    <row r="18" spans="1:4" x14ac:dyDescent="0.25">
      <c r="A18">
        <v>2019</v>
      </c>
      <c r="B18">
        <v>34.130000000000003</v>
      </c>
      <c r="C18">
        <v>34.951000000000001</v>
      </c>
    </row>
    <row r="19" spans="1:4" x14ac:dyDescent="0.25">
      <c r="A19">
        <v>2020</v>
      </c>
      <c r="B19">
        <v>39.228999999999999</v>
      </c>
      <c r="C19">
        <v>33.841999999999999</v>
      </c>
    </row>
    <row r="20" spans="1:4" x14ac:dyDescent="0.25">
      <c r="A20">
        <v>2021</v>
      </c>
      <c r="B20">
        <v>41.508000000000003</v>
      </c>
      <c r="C20">
        <v>34.472000000000001</v>
      </c>
    </row>
    <row r="21" spans="1:4" x14ac:dyDescent="0.25">
      <c r="A21">
        <v>2022</v>
      </c>
      <c r="B21">
        <v>36.837000000000003</v>
      </c>
      <c r="C21">
        <v>35.363999999999997</v>
      </c>
    </row>
    <row r="22" spans="1:4" x14ac:dyDescent="0.25">
      <c r="A22">
        <v>2023</v>
      </c>
      <c r="B22">
        <v>34.116</v>
      </c>
      <c r="C22">
        <v>35.630000000000003</v>
      </c>
    </row>
    <row r="23" spans="1:4" x14ac:dyDescent="0.25">
      <c r="A23">
        <v>2024</v>
      </c>
      <c r="B23">
        <v>35.447000000000003</v>
      </c>
      <c r="C23">
        <v>36.201999999999998</v>
      </c>
    </row>
    <row r="24" spans="1:4" x14ac:dyDescent="0.25">
      <c r="A24">
        <v>2025</v>
      </c>
      <c r="B24">
        <v>36.228999999999999</v>
      </c>
      <c r="C24">
        <v>34.06</v>
      </c>
      <c r="D24">
        <f>Figure_26!C47*100-(Figure_26!C$47*100-B$24)</f>
        <v>36.228999999999999</v>
      </c>
    </row>
    <row r="25" spans="1:4" x14ac:dyDescent="0.25">
      <c r="A25">
        <v>2026</v>
      </c>
      <c r="B25">
        <v>36.204999999999998</v>
      </c>
      <c r="C25">
        <v>34.601999999999997</v>
      </c>
      <c r="D25">
        <f>Figure_26!C48*100-(Figure_26!C$47*100-B$24)</f>
        <v>36.462016529809404</v>
      </c>
    </row>
    <row r="26" spans="1:4" x14ac:dyDescent="0.25">
      <c r="A26">
        <v>2027</v>
      </c>
      <c r="B26">
        <v>35.424999999999997</v>
      </c>
      <c r="C26">
        <v>34.536000000000001</v>
      </c>
      <c r="D26">
        <f>Figure_26!C49*100-(Figure_26!C$47*100-B$24)</f>
        <v>36.669927557039799</v>
      </c>
    </row>
    <row r="27" spans="1:4" x14ac:dyDescent="0.25">
      <c r="A27">
        <v>2028</v>
      </c>
      <c r="B27">
        <v>34.808</v>
      </c>
      <c r="C27">
        <v>33.991</v>
      </c>
      <c r="D27">
        <f>Figure_26!C50*100-(Figure_26!C$47*100-B$24)</f>
        <v>36.830640283599003</v>
      </c>
    </row>
    <row r="28" spans="1:4" x14ac:dyDescent="0.25">
      <c r="A28">
        <v>2029</v>
      </c>
      <c r="B28">
        <v>34.529000000000003</v>
      </c>
      <c r="C28">
        <v>33.860999999999997</v>
      </c>
      <c r="D28">
        <f>Figure_26!C51*100-(Figure_26!C$47*100-B$24)</f>
        <v>36.953548514304799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80D95-3A35-42FC-A6F8-8778A3623A85}">
  <dimension ref="A1:D28"/>
  <sheetViews>
    <sheetView workbookViewId="0">
      <selection activeCell="I25" sqref="I25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>
        <v>0.27800000000000002</v>
      </c>
      <c r="C2">
        <v>0.59099999999999997</v>
      </c>
      <c r="D2">
        <v>0.86899999999999999</v>
      </c>
    </row>
    <row r="3" spans="1:4" x14ac:dyDescent="0.25">
      <c r="A3">
        <v>2004</v>
      </c>
      <c r="B3">
        <v>0.25700000000000001</v>
      </c>
      <c r="C3">
        <v>0.47399999999999998</v>
      </c>
      <c r="D3">
        <v>0.73099999999999998</v>
      </c>
    </row>
    <row r="4" spans="1:4" x14ac:dyDescent="0.25">
      <c r="A4">
        <v>2005</v>
      </c>
      <c r="B4">
        <v>0.215</v>
      </c>
      <c r="C4">
        <v>0.42199999999999999</v>
      </c>
      <c r="D4">
        <v>0.63700000000000001</v>
      </c>
    </row>
    <row r="5" spans="1:4" x14ac:dyDescent="0.25">
      <c r="A5">
        <v>2006</v>
      </c>
      <c r="B5">
        <v>0.221</v>
      </c>
      <c r="C5">
        <v>0.46300000000000002</v>
      </c>
      <c r="D5">
        <v>0.68400000000000005</v>
      </c>
    </row>
    <row r="6" spans="1:4" x14ac:dyDescent="0.25">
      <c r="A6">
        <v>2007</v>
      </c>
      <c r="B6">
        <v>0.183</v>
      </c>
      <c r="C6">
        <v>0.36399999999999999</v>
      </c>
      <c r="D6">
        <v>0.54700000000000004</v>
      </c>
    </row>
    <row r="7" spans="1:4" x14ac:dyDescent="0.25">
      <c r="A7">
        <v>2008</v>
      </c>
      <c r="B7">
        <v>0.193</v>
      </c>
      <c r="C7">
        <v>0.318</v>
      </c>
      <c r="D7">
        <v>0.51100000000000001</v>
      </c>
    </row>
    <row r="8" spans="1:4" x14ac:dyDescent="0.25">
      <c r="A8">
        <v>2009</v>
      </c>
      <c r="B8">
        <v>0.218</v>
      </c>
      <c r="C8">
        <v>0.315</v>
      </c>
      <c r="D8">
        <v>0.53300000000000003</v>
      </c>
    </row>
    <row r="9" spans="1:4" x14ac:dyDescent="0.25">
      <c r="A9">
        <v>2010</v>
      </c>
      <c r="B9">
        <v>0.245</v>
      </c>
      <c r="C9">
        <v>0.49099999999999999</v>
      </c>
      <c r="D9">
        <v>0.73699999999999999</v>
      </c>
    </row>
    <row r="10" spans="1:4" x14ac:dyDescent="0.25">
      <c r="A10">
        <v>2011</v>
      </c>
      <c r="B10">
        <v>0.29299999999999998</v>
      </c>
      <c r="C10">
        <v>0.67300000000000004</v>
      </c>
      <c r="D10">
        <v>0.96599999999999997</v>
      </c>
    </row>
    <row r="11" spans="1:4" x14ac:dyDescent="0.25">
      <c r="A11">
        <v>2012</v>
      </c>
      <c r="B11">
        <v>0.35299999999999998</v>
      </c>
      <c r="C11">
        <v>0.72499999999999998</v>
      </c>
      <c r="D11">
        <v>1.0780000000000001</v>
      </c>
    </row>
    <row r="12" spans="1:4" x14ac:dyDescent="0.25">
      <c r="A12">
        <v>2013</v>
      </c>
      <c r="B12">
        <v>0.41699999999999998</v>
      </c>
      <c r="C12">
        <v>0.77100000000000002</v>
      </c>
      <c r="D12">
        <v>1.1879999999999999</v>
      </c>
    </row>
    <row r="13" spans="1:4" x14ac:dyDescent="0.25">
      <c r="A13">
        <v>2014</v>
      </c>
      <c r="B13">
        <v>0.44</v>
      </c>
      <c r="C13">
        <v>0.874</v>
      </c>
      <c r="D13">
        <v>1.3140000000000001</v>
      </c>
    </row>
    <row r="14" spans="1:4" x14ac:dyDescent="0.25">
      <c r="A14">
        <v>2015</v>
      </c>
      <c r="B14">
        <v>0.44700000000000001</v>
      </c>
      <c r="C14">
        <v>0.85699999999999998</v>
      </c>
      <c r="D14">
        <v>1.3049999999999999</v>
      </c>
    </row>
    <row r="15" spans="1:4" x14ac:dyDescent="0.25">
      <c r="A15">
        <v>2016</v>
      </c>
      <c r="B15">
        <v>0.435</v>
      </c>
      <c r="C15">
        <v>0.90300000000000002</v>
      </c>
      <c r="D15">
        <v>1.339</v>
      </c>
    </row>
    <row r="16" spans="1:4" x14ac:dyDescent="0.25">
      <c r="A16">
        <v>2017</v>
      </c>
      <c r="B16">
        <v>0.375</v>
      </c>
      <c r="C16">
        <v>0.87</v>
      </c>
      <c r="D16">
        <v>1.2450000000000001</v>
      </c>
    </row>
    <row r="17" spans="1:4" x14ac:dyDescent="0.25">
      <c r="A17">
        <v>2018</v>
      </c>
      <c r="B17">
        <v>0.36599999999999999</v>
      </c>
      <c r="C17">
        <v>0.89900000000000002</v>
      </c>
      <c r="D17">
        <v>1.266</v>
      </c>
    </row>
    <row r="18" spans="1:4" x14ac:dyDescent="0.25">
      <c r="A18">
        <v>2019</v>
      </c>
      <c r="B18">
        <v>0.34799999999999998</v>
      </c>
      <c r="C18">
        <v>0.97299999999999998</v>
      </c>
      <c r="D18">
        <v>1.321</v>
      </c>
    </row>
    <row r="19" spans="1:4" x14ac:dyDescent="0.25">
      <c r="A19">
        <v>2020</v>
      </c>
      <c r="B19">
        <v>0.36599999999999999</v>
      </c>
      <c r="C19">
        <v>0.83399999999999996</v>
      </c>
      <c r="D19">
        <v>1.2</v>
      </c>
    </row>
    <row r="20" spans="1:4" x14ac:dyDescent="0.25">
      <c r="A20">
        <v>2021</v>
      </c>
      <c r="B20">
        <v>0.37</v>
      </c>
      <c r="C20">
        <v>0.82</v>
      </c>
      <c r="D20">
        <v>1.19</v>
      </c>
    </row>
    <row r="21" spans="1:4" x14ac:dyDescent="0.25">
      <c r="A21">
        <v>2022</v>
      </c>
      <c r="B21">
        <v>0.36099999999999999</v>
      </c>
      <c r="C21">
        <v>0.748</v>
      </c>
      <c r="D21">
        <v>1.109</v>
      </c>
    </row>
    <row r="22" spans="1:4" x14ac:dyDescent="0.25">
      <c r="A22">
        <v>2023</v>
      </c>
      <c r="B22">
        <v>0.40600000000000003</v>
      </c>
      <c r="C22">
        <v>0.73499999999999999</v>
      </c>
      <c r="D22">
        <v>1.141</v>
      </c>
    </row>
    <row r="23" spans="1:4" x14ac:dyDescent="0.25">
      <c r="A23">
        <v>2024</v>
      </c>
      <c r="B23">
        <v>0.52100000000000002</v>
      </c>
      <c r="C23">
        <v>0.85199999999999998</v>
      </c>
      <c r="D23">
        <v>1.373</v>
      </c>
    </row>
    <row r="24" spans="1:4" x14ac:dyDescent="0.25">
      <c r="A24">
        <v>2025</v>
      </c>
      <c r="B24">
        <v>0.63600000000000001</v>
      </c>
      <c r="C24">
        <v>0.876</v>
      </c>
      <c r="D24">
        <v>1.512</v>
      </c>
    </row>
    <row r="25" spans="1:4" x14ac:dyDescent="0.25">
      <c r="A25">
        <v>2026</v>
      </c>
      <c r="B25">
        <v>0.70399999999999996</v>
      </c>
      <c r="C25">
        <v>0.96799999999999997</v>
      </c>
      <c r="D25">
        <v>1.6719999999999999</v>
      </c>
    </row>
    <row r="26" spans="1:4" x14ac:dyDescent="0.25">
      <c r="A26">
        <v>2027</v>
      </c>
      <c r="B26">
        <v>0.8</v>
      </c>
      <c r="C26">
        <v>1.008</v>
      </c>
      <c r="D26">
        <v>1.8080000000000001</v>
      </c>
    </row>
    <row r="27" spans="1:4" x14ac:dyDescent="0.25">
      <c r="A27">
        <v>2028</v>
      </c>
      <c r="B27">
        <v>0.88100000000000001</v>
      </c>
      <c r="C27">
        <v>1.167</v>
      </c>
      <c r="D27">
        <v>2.0470000000000002</v>
      </c>
    </row>
    <row r="28" spans="1:4" x14ac:dyDescent="0.25">
      <c r="A28">
        <v>2029</v>
      </c>
      <c r="B28">
        <v>0.92400000000000004</v>
      </c>
      <c r="C28">
        <v>1.1519999999999999</v>
      </c>
      <c r="D28">
        <v>2.0750000000000002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workbookViewId="0">
      <selection activeCell="G8" sqref="G8"/>
    </sheetView>
  </sheetViews>
  <sheetFormatPr defaultRowHeight="15" x14ac:dyDescent="0.25"/>
  <cols>
    <col min="2" max="2" width="14" bestFit="1" customWidth="1"/>
    <col min="3" max="3" width="16.140625" bestFit="1" customWidth="1"/>
  </cols>
  <sheetData>
    <row r="1" spans="1:4" x14ac:dyDescent="0.25">
      <c r="B1" t="s">
        <v>308</v>
      </c>
      <c r="C1" t="s">
        <v>309</v>
      </c>
      <c r="D1" t="s">
        <v>310</v>
      </c>
    </row>
    <row r="2" spans="1:4" x14ac:dyDescent="0.25">
      <c r="A2">
        <v>2003</v>
      </c>
      <c r="B2">
        <v>0.9</v>
      </c>
      <c r="C2">
        <v>0.5</v>
      </c>
      <c r="D2">
        <v>0.6</v>
      </c>
    </row>
    <row r="3" spans="1:4" x14ac:dyDescent="0.25">
      <c r="A3">
        <v>2004</v>
      </c>
      <c r="B3">
        <v>0.7</v>
      </c>
      <c r="C3">
        <v>0.4</v>
      </c>
      <c r="D3">
        <v>0.5</v>
      </c>
    </row>
    <row r="4" spans="1:4" x14ac:dyDescent="0.25">
      <c r="A4">
        <v>2005</v>
      </c>
      <c r="B4">
        <v>0.6</v>
      </c>
      <c r="C4">
        <v>0.3</v>
      </c>
      <c r="D4">
        <v>0.4</v>
      </c>
    </row>
    <row r="5" spans="1:4" x14ac:dyDescent="0.25">
      <c r="A5">
        <v>2006</v>
      </c>
      <c r="B5">
        <v>0.7</v>
      </c>
      <c r="C5">
        <v>0.2</v>
      </c>
      <c r="D5">
        <v>0.5</v>
      </c>
    </row>
    <row r="6" spans="1:4" x14ac:dyDescent="0.25">
      <c r="A6">
        <v>2007</v>
      </c>
      <c r="B6">
        <v>0.5</v>
      </c>
      <c r="C6">
        <v>0</v>
      </c>
      <c r="D6">
        <v>0.4</v>
      </c>
    </row>
    <row r="7" spans="1:4" x14ac:dyDescent="0.25">
      <c r="A7">
        <v>2008</v>
      </c>
      <c r="B7">
        <v>0.5</v>
      </c>
      <c r="C7">
        <v>-0.1</v>
      </c>
      <c r="D7">
        <v>0.3</v>
      </c>
    </row>
    <row r="8" spans="1:4" x14ac:dyDescent="0.25">
      <c r="A8">
        <v>2009</v>
      </c>
      <c r="B8">
        <v>0.5</v>
      </c>
      <c r="C8">
        <v>-0.1</v>
      </c>
      <c r="D8">
        <v>0.3</v>
      </c>
    </row>
    <row r="9" spans="1:4" x14ac:dyDescent="0.25">
      <c r="A9">
        <v>2010</v>
      </c>
      <c r="B9">
        <v>0.7</v>
      </c>
      <c r="C9">
        <v>0.2</v>
      </c>
      <c r="D9">
        <v>0.5</v>
      </c>
    </row>
    <row r="10" spans="1:4" x14ac:dyDescent="0.25">
      <c r="A10">
        <v>2011</v>
      </c>
      <c r="B10">
        <v>1</v>
      </c>
      <c r="C10">
        <v>0.3</v>
      </c>
      <c r="D10">
        <v>0.7</v>
      </c>
    </row>
    <row r="11" spans="1:4" x14ac:dyDescent="0.25">
      <c r="A11">
        <v>2012</v>
      </c>
      <c r="B11">
        <v>1.1000000000000001</v>
      </c>
      <c r="C11">
        <v>0.4</v>
      </c>
      <c r="D11">
        <v>0.7</v>
      </c>
    </row>
    <row r="12" spans="1:4" x14ac:dyDescent="0.25">
      <c r="A12">
        <v>2013</v>
      </c>
      <c r="B12">
        <v>1.2</v>
      </c>
      <c r="C12">
        <v>0.5</v>
      </c>
      <c r="D12">
        <v>0.8</v>
      </c>
    </row>
    <row r="13" spans="1:4" x14ac:dyDescent="0.25">
      <c r="A13">
        <v>2014</v>
      </c>
      <c r="B13">
        <v>1.3</v>
      </c>
      <c r="C13">
        <v>0.7</v>
      </c>
      <c r="D13">
        <v>0.9</v>
      </c>
    </row>
    <row r="14" spans="1:4" x14ac:dyDescent="0.25">
      <c r="A14">
        <v>2015</v>
      </c>
      <c r="B14">
        <v>1.3</v>
      </c>
      <c r="C14">
        <v>0.7</v>
      </c>
      <c r="D14">
        <v>0.9</v>
      </c>
    </row>
    <row r="15" spans="1:4" x14ac:dyDescent="0.25">
      <c r="A15">
        <v>2016</v>
      </c>
      <c r="B15">
        <v>1.3</v>
      </c>
      <c r="C15">
        <v>0.7</v>
      </c>
      <c r="D15">
        <v>0.9</v>
      </c>
    </row>
    <row r="16" spans="1:4" x14ac:dyDescent="0.25">
      <c r="A16">
        <v>2017</v>
      </c>
      <c r="B16">
        <v>1.2</v>
      </c>
      <c r="C16">
        <v>0.7</v>
      </c>
      <c r="D16">
        <v>0.9</v>
      </c>
    </row>
    <row r="17" spans="1:4" x14ac:dyDescent="0.25">
      <c r="A17">
        <v>2018</v>
      </c>
      <c r="B17">
        <v>1.3</v>
      </c>
      <c r="C17">
        <v>0.7</v>
      </c>
      <c r="D17">
        <v>0.9</v>
      </c>
    </row>
    <row r="18" spans="1:4" x14ac:dyDescent="0.25">
      <c r="A18">
        <v>2019</v>
      </c>
      <c r="B18">
        <v>1.3</v>
      </c>
      <c r="C18">
        <v>0.8</v>
      </c>
      <c r="D18">
        <v>1</v>
      </c>
    </row>
    <row r="19" spans="1:4" x14ac:dyDescent="0.25">
      <c r="A19">
        <v>2020</v>
      </c>
      <c r="B19">
        <v>1.2</v>
      </c>
      <c r="C19">
        <v>0.7</v>
      </c>
      <c r="D19">
        <v>0.8</v>
      </c>
    </row>
    <row r="20" spans="1:4" x14ac:dyDescent="0.25">
      <c r="A20">
        <v>2021</v>
      </c>
      <c r="B20">
        <v>1.2</v>
      </c>
      <c r="C20">
        <v>0.7</v>
      </c>
      <c r="D20">
        <v>0.8</v>
      </c>
    </row>
    <row r="21" spans="1:4" x14ac:dyDescent="0.25">
      <c r="A21">
        <v>2022</v>
      </c>
      <c r="B21">
        <v>1.1000000000000001</v>
      </c>
      <c r="C21">
        <v>0.6</v>
      </c>
      <c r="D21">
        <v>0.7</v>
      </c>
    </row>
    <row r="22" spans="1:4" x14ac:dyDescent="0.25">
      <c r="A22">
        <v>2023</v>
      </c>
      <c r="B22">
        <v>1.1000000000000001</v>
      </c>
      <c r="C22">
        <v>0.5</v>
      </c>
      <c r="D22">
        <v>0.7</v>
      </c>
    </row>
    <row r="23" spans="1:4" x14ac:dyDescent="0.25">
      <c r="A23">
        <v>2024</v>
      </c>
      <c r="B23">
        <v>1.4</v>
      </c>
      <c r="C23">
        <v>0.5</v>
      </c>
      <c r="D23">
        <v>0.9</v>
      </c>
    </row>
    <row r="24" spans="1:4" x14ac:dyDescent="0.25">
      <c r="A24">
        <v>2025</v>
      </c>
      <c r="B24">
        <v>1.5</v>
      </c>
      <c r="C24">
        <v>0.5</v>
      </c>
      <c r="D24">
        <v>0.9</v>
      </c>
    </row>
    <row r="25" spans="1:4" x14ac:dyDescent="0.25">
      <c r="A25">
        <v>2026</v>
      </c>
      <c r="B25">
        <v>1.7</v>
      </c>
      <c r="C25">
        <v>0.6</v>
      </c>
      <c r="D25">
        <v>1</v>
      </c>
    </row>
    <row r="26" spans="1:4" x14ac:dyDescent="0.25">
      <c r="A26">
        <v>2027</v>
      </c>
      <c r="B26">
        <v>1.7</v>
      </c>
      <c r="C26">
        <v>0.7</v>
      </c>
      <c r="D26">
        <v>1</v>
      </c>
    </row>
    <row r="27" spans="1:4" x14ac:dyDescent="0.25">
      <c r="A27">
        <v>2028</v>
      </c>
      <c r="B27">
        <v>1.9</v>
      </c>
      <c r="C27">
        <v>0.9</v>
      </c>
      <c r="D27">
        <v>1.2</v>
      </c>
    </row>
    <row r="28" spans="1:4" x14ac:dyDescent="0.2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workbookViewId="0">
      <selection activeCell="B3" sqref="B3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  <row r="80" spans="1:3" x14ac:dyDescent="0.2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workbookViewId="0">
      <selection activeCell="B33" sqref="B33"/>
    </sheetView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>
        <v>1999</v>
      </c>
      <c r="B2" t="s">
        <v>17</v>
      </c>
      <c r="C2">
        <v>0.35515360000000001</v>
      </c>
    </row>
    <row r="3" spans="1:3" x14ac:dyDescent="0.25">
      <c r="A3">
        <v>2000</v>
      </c>
      <c r="B3" t="s">
        <v>17</v>
      </c>
      <c r="C3">
        <v>0.3480782</v>
      </c>
    </row>
    <row r="4" spans="1:3" x14ac:dyDescent="0.25">
      <c r="A4">
        <v>2001</v>
      </c>
      <c r="B4" t="s">
        <v>17</v>
      </c>
      <c r="C4">
        <v>0.35675380000000001</v>
      </c>
    </row>
    <row r="5" spans="1:3" x14ac:dyDescent="0.25">
      <c r="A5">
        <v>2002</v>
      </c>
      <c r="B5" t="s">
        <v>17</v>
      </c>
      <c r="C5">
        <v>0.3528773</v>
      </c>
    </row>
    <row r="6" spans="1:3" x14ac:dyDescent="0.25">
      <c r="A6">
        <v>2003</v>
      </c>
      <c r="B6" t="s">
        <v>17</v>
      </c>
      <c r="C6">
        <v>0.34660099999999999</v>
      </c>
    </row>
    <row r="7" spans="1:3" x14ac:dyDescent="0.25">
      <c r="A7">
        <v>2004</v>
      </c>
      <c r="B7" t="s">
        <v>17</v>
      </c>
      <c r="C7">
        <v>0.34731909999999999</v>
      </c>
    </row>
    <row r="8" spans="1:3" x14ac:dyDescent="0.25">
      <c r="A8">
        <v>2005</v>
      </c>
      <c r="B8" t="s">
        <v>17</v>
      </c>
      <c r="C8">
        <v>0.34742139999999999</v>
      </c>
    </row>
    <row r="9" spans="1:3" x14ac:dyDescent="0.25">
      <c r="A9">
        <v>2006</v>
      </c>
      <c r="B9" t="s">
        <v>17</v>
      </c>
      <c r="C9">
        <v>0.34380470000000002</v>
      </c>
    </row>
    <row r="10" spans="1:3" x14ac:dyDescent="0.25">
      <c r="A10">
        <v>2007</v>
      </c>
      <c r="B10" t="s">
        <v>17</v>
      </c>
      <c r="C10">
        <v>0.34268700000000002</v>
      </c>
    </row>
    <row r="11" spans="1:3" x14ac:dyDescent="0.25">
      <c r="A11">
        <v>2008</v>
      </c>
      <c r="B11" t="s">
        <v>17</v>
      </c>
      <c r="C11">
        <v>0.34115810000000002</v>
      </c>
    </row>
    <row r="12" spans="1:3" x14ac:dyDescent="0.25">
      <c r="A12">
        <v>2009</v>
      </c>
      <c r="B12" t="s">
        <v>17</v>
      </c>
      <c r="C12">
        <v>0.36635269999999998</v>
      </c>
    </row>
    <row r="13" spans="1:3" x14ac:dyDescent="0.25">
      <c r="A13">
        <v>2010</v>
      </c>
      <c r="B13" t="s">
        <v>17</v>
      </c>
      <c r="C13">
        <v>0.37641550000000001</v>
      </c>
    </row>
    <row r="14" spans="1:3" x14ac:dyDescent="0.25">
      <c r="A14">
        <v>2011</v>
      </c>
      <c r="B14" t="s">
        <v>17</v>
      </c>
      <c r="C14">
        <v>0.36339320000000003</v>
      </c>
    </row>
    <row r="15" spans="1:3" x14ac:dyDescent="0.25">
      <c r="A15">
        <v>2012</v>
      </c>
      <c r="B15" t="s">
        <v>17</v>
      </c>
      <c r="C15">
        <v>0.36536360000000001</v>
      </c>
    </row>
    <row r="16" spans="1:3" x14ac:dyDescent="0.25">
      <c r="A16">
        <v>2013</v>
      </c>
      <c r="B16" t="s">
        <v>17</v>
      </c>
      <c r="C16">
        <v>0.36243120000000001</v>
      </c>
    </row>
    <row r="17" spans="1:3" x14ac:dyDescent="0.25">
      <c r="A17">
        <v>2014</v>
      </c>
      <c r="B17" t="s">
        <v>17</v>
      </c>
      <c r="C17">
        <v>0.36532789999999998</v>
      </c>
    </row>
    <row r="18" spans="1:3" x14ac:dyDescent="0.25">
      <c r="A18">
        <v>2015</v>
      </c>
      <c r="B18" t="s">
        <v>17</v>
      </c>
      <c r="C18">
        <v>0.37059310000000001</v>
      </c>
    </row>
    <row r="19" spans="1:3" x14ac:dyDescent="0.25">
      <c r="A19">
        <v>2016</v>
      </c>
      <c r="B19" t="s">
        <v>17</v>
      </c>
      <c r="C19">
        <v>0.3739229</v>
      </c>
    </row>
    <row r="20" spans="1:3" x14ac:dyDescent="0.25">
      <c r="A20">
        <v>2017</v>
      </c>
      <c r="B20" t="s">
        <v>17</v>
      </c>
      <c r="C20">
        <v>0.36755280000000001</v>
      </c>
    </row>
    <row r="21" spans="1:3" x14ac:dyDescent="0.25">
      <c r="A21">
        <v>2018</v>
      </c>
      <c r="B21" t="s">
        <v>17</v>
      </c>
      <c r="C21">
        <v>0.36848120000000001</v>
      </c>
    </row>
    <row r="22" spans="1:3" x14ac:dyDescent="0.25">
      <c r="A22">
        <v>2019</v>
      </c>
      <c r="B22" t="s">
        <v>17</v>
      </c>
      <c r="C22">
        <v>0.36879010000000001</v>
      </c>
    </row>
    <row r="23" spans="1:3" x14ac:dyDescent="0.25">
      <c r="A23">
        <v>2020</v>
      </c>
      <c r="B23" t="s">
        <v>17</v>
      </c>
      <c r="C23">
        <v>0.42051450000000001</v>
      </c>
    </row>
    <row r="24" spans="1:3" x14ac:dyDescent="0.25">
      <c r="A24">
        <v>2021</v>
      </c>
      <c r="B24" t="s">
        <v>17</v>
      </c>
      <c r="C24">
        <v>0.44151180000000001</v>
      </c>
    </row>
    <row r="25" spans="1:3" x14ac:dyDescent="0.25">
      <c r="A25">
        <v>2022</v>
      </c>
      <c r="B25" t="s">
        <v>17</v>
      </c>
      <c r="C25">
        <v>0.39441470000000001</v>
      </c>
    </row>
    <row r="26" spans="1:3" x14ac:dyDescent="0.25">
      <c r="A26">
        <v>2023</v>
      </c>
      <c r="B26" t="s">
        <v>17</v>
      </c>
      <c r="C26">
        <v>0.36843959999999998</v>
      </c>
    </row>
    <row r="27" spans="1:3" x14ac:dyDescent="0.25">
      <c r="A27">
        <v>2024</v>
      </c>
      <c r="B27" t="s">
        <v>17</v>
      </c>
      <c r="C27">
        <v>0.38262170000000001</v>
      </c>
    </row>
    <row r="28" spans="1:3" x14ac:dyDescent="0.25">
      <c r="A28">
        <v>1999</v>
      </c>
      <c r="B28" t="s">
        <v>18</v>
      </c>
      <c r="C28">
        <v>0.34871269999999999</v>
      </c>
    </row>
    <row r="29" spans="1:3" x14ac:dyDescent="0.25">
      <c r="A29">
        <v>2000</v>
      </c>
      <c r="B29" t="s">
        <v>18</v>
      </c>
      <c r="C29">
        <v>0.34295350000000002</v>
      </c>
    </row>
    <row r="30" spans="1:3" x14ac:dyDescent="0.25">
      <c r="A30">
        <v>2001</v>
      </c>
      <c r="B30" t="s">
        <v>18</v>
      </c>
      <c r="C30">
        <v>0.35105120000000001</v>
      </c>
    </row>
    <row r="31" spans="1:3" x14ac:dyDescent="0.25">
      <c r="A31">
        <v>2002</v>
      </c>
      <c r="B31" t="s">
        <v>18</v>
      </c>
      <c r="C31">
        <v>0.3467421</v>
      </c>
    </row>
    <row r="32" spans="1:3" x14ac:dyDescent="0.25">
      <c r="A32">
        <v>2003</v>
      </c>
      <c r="B32" t="s">
        <v>18</v>
      </c>
      <c r="C32">
        <v>0.34098780000000001</v>
      </c>
    </row>
    <row r="33" spans="1:3" x14ac:dyDescent="0.25">
      <c r="A33">
        <v>2004</v>
      </c>
      <c r="B33" t="s">
        <v>18</v>
      </c>
      <c r="C33">
        <v>0.34098650000000003</v>
      </c>
    </row>
    <row r="34" spans="1:3" x14ac:dyDescent="0.25">
      <c r="A34">
        <v>2005</v>
      </c>
      <c r="B34" t="s">
        <v>18</v>
      </c>
      <c r="C34">
        <v>0.33942739999999999</v>
      </c>
    </row>
    <row r="35" spans="1:3" x14ac:dyDescent="0.25">
      <c r="A35">
        <v>2006</v>
      </c>
      <c r="B35" t="s">
        <v>18</v>
      </c>
      <c r="C35">
        <v>0.33300920000000001</v>
      </c>
    </row>
    <row r="36" spans="1:3" x14ac:dyDescent="0.25">
      <c r="A36">
        <v>2007</v>
      </c>
      <c r="B36" t="s">
        <v>18</v>
      </c>
      <c r="C36">
        <v>0.32994990000000002</v>
      </c>
    </row>
    <row r="37" spans="1:3" x14ac:dyDescent="0.25">
      <c r="A37">
        <v>2008</v>
      </c>
      <c r="B37" t="s">
        <v>18</v>
      </c>
      <c r="C37">
        <v>0.32696039999999998</v>
      </c>
    </row>
    <row r="38" spans="1:3" x14ac:dyDescent="0.25">
      <c r="A38">
        <v>2009</v>
      </c>
      <c r="B38" t="s">
        <v>18</v>
      </c>
      <c r="C38">
        <v>0.3487498</v>
      </c>
    </row>
    <row r="39" spans="1:3" x14ac:dyDescent="0.25">
      <c r="A39">
        <v>2010</v>
      </c>
      <c r="B39" t="s">
        <v>18</v>
      </c>
      <c r="C39">
        <v>0.35190539999999998</v>
      </c>
    </row>
    <row r="40" spans="1:3" x14ac:dyDescent="0.25">
      <c r="A40">
        <v>2011</v>
      </c>
      <c r="B40" t="s">
        <v>18</v>
      </c>
      <c r="C40">
        <v>0.34243249999999997</v>
      </c>
    </row>
    <row r="41" spans="1:3" x14ac:dyDescent="0.25">
      <c r="A41">
        <v>2012</v>
      </c>
      <c r="B41" t="s">
        <v>18</v>
      </c>
      <c r="C41">
        <v>0.34761700000000001</v>
      </c>
    </row>
    <row r="42" spans="1:3" x14ac:dyDescent="0.25">
      <c r="A42">
        <v>2013</v>
      </c>
      <c r="B42" t="s">
        <v>18</v>
      </c>
      <c r="C42">
        <v>0.35081319999999999</v>
      </c>
    </row>
    <row r="43" spans="1:3" x14ac:dyDescent="0.25">
      <c r="A43">
        <v>2014</v>
      </c>
      <c r="B43" t="s">
        <v>18</v>
      </c>
      <c r="C43">
        <v>0.35189920000000002</v>
      </c>
    </row>
    <row r="44" spans="1:3" x14ac:dyDescent="0.25">
      <c r="A44">
        <v>2015</v>
      </c>
      <c r="B44" t="s">
        <v>18</v>
      </c>
      <c r="C44">
        <v>0.3582224</v>
      </c>
    </row>
    <row r="45" spans="1:3" x14ac:dyDescent="0.25">
      <c r="A45">
        <v>2016</v>
      </c>
      <c r="B45" t="s">
        <v>18</v>
      </c>
      <c r="C45">
        <v>0.3609771</v>
      </c>
    </row>
    <row r="46" spans="1:3" x14ac:dyDescent="0.25">
      <c r="A46">
        <v>2017</v>
      </c>
      <c r="B46" t="s">
        <v>18</v>
      </c>
      <c r="C46">
        <v>0.35345100000000002</v>
      </c>
    </row>
    <row r="47" spans="1:3" x14ac:dyDescent="0.25">
      <c r="A47">
        <v>2018</v>
      </c>
      <c r="B47" t="s">
        <v>18</v>
      </c>
      <c r="C47">
        <v>0.35015380000000002</v>
      </c>
    </row>
    <row r="48" spans="1:3" x14ac:dyDescent="0.25">
      <c r="A48">
        <v>2019</v>
      </c>
      <c r="B48" t="s">
        <v>18</v>
      </c>
      <c r="C48">
        <v>0.34788089999999999</v>
      </c>
    </row>
    <row r="49" spans="1:3" x14ac:dyDescent="0.25">
      <c r="A49">
        <v>2020</v>
      </c>
      <c r="B49" t="s">
        <v>18</v>
      </c>
      <c r="C49">
        <v>0.39849909999999999</v>
      </c>
    </row>
    <row r="50" spans="1:3" x14ac:dyDescent="0.25">
      <c r="A50">
        <v>2021</v>
      </c>
      <c r="B50" t="s">
        <v>18</v>
      </c>
      <c r="C50">
        <v>0.41878650000000001</v>
      </c>
    </row>
    <row r="51" spans="1:3" x14ac:dyDescent="0.25">
      <c r="A51">
        <v>2022</v>
      </c>
      <c r="B51" t="s">
        <v>18</v>
      </c>
      <c r="C51">
        <v>0.37178359999999999</v>
      </c>
    </row>
    <row r="52" spans="1:3" x14ac:dyDescent="0.25">
      <c r="A52">
        <v>2023</v>
      </c>
      <c r="B52" t="s">
        <v>18</v>
      </c>
      <c r="C52">
        <v>0.34488210000000002</v>
      </c>
    </row>
    <row r="53" spans="1:3" x14ac:dyDescent="0.2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>
        <v>0.2</v>
      </c>
    </row>
    <row r="3" spans="1:3" x14ac:dyDescent="0.25">
      <c r="A3">
        <v>2004</v>
      </c>
      <c r="B3" t="s">
        <v>50</v>
      </c>
      <c r="C3">
        <v>0.5</v>
      </c>
    </row>
    <row r="4" spans="1:3" x14ac:dyDescent="0.25">
      <c r="A4">
        <v>2005</v>
      </c>
      <c r="B4" t="s">
        <v>50</v>
      </c>
      <c r="C4">
        <v>0.4</v>
      </c>
    </row>
    <row r="5" spans="1:3" x14ac:dyDescent="0.25">
      <c r="A5">
        <v>2006</v>
      </c>
      <c r="B5" t="s">
        <v>50</v>
      </c>
      <c r="C5">
        <v>0.3</v>
      </c>
    </row>
    <row r="6" spans="1:3" x14ac:dyDescent="0.25">
      <c r="A6">
        <v>2007</v>
      </c>
      <c r="B6" t="s">
        <v>50</v>
      </c>
      <c r="C6">
        <v>-0.1</v>
      </c>
    </row>
    <row r="7" spans="1:3" x14ac:dyDescent="0.25">
      <c r="A7">
        <v>2008</v>
      </c>
      <c r="B7" t="s">
        <v>50</v>
      </c>
      <c r="C7">
        <v>-0.2</v>
      </c>
    </row>
    <row r="8" spans="1:3" x14ac:dyDescent="0.25">
      <c r="A8">
        <v>2009</v>
      </c>
      <c r="B8" t="s">
        <v>50</v>
      </c>
      <c r="C8">
        <v>-0.9</v>
      </c>
    </row>
    <row r="9" spans="1:3" x14ac:dyDescent="0.25">
      <c r="A9">
        <v>2010</v>
      </c>
      <c r="B9" t="s">
        <v>50</v>
      </c>
      <c r="C9">
        <v>-1.1000000000000001</v>
      </c>
    </row>
    <row r="10" spans="1:3" x14ac:dyDescent="0.25">
      <c r="A10">
        <v>2011</v>
      </c>
      <c r="B10" t="s">
        <v>50</v>
      </c>
      <c r="C10">
        <v>-1.1000000000000001</v>
      </c>
    </row>
    <row r="11" spans="1:3" x14ac:dyDescent="0.25">
      <c r="A11">
        <v>2012</v>
      </c>
      <c r="B11" t="s">
        <v>50</v>
      </c>
      <c r="C11">
        <v>-0.9</v>
      </c>
    </row>
    <row r="12" spans="1:3" x14ac:dyDescent="0.25">
      <c r="A12">
        <v>2013</v>
      </c>
      <c r="B12" t="s">
        <v>50</v>
      </c>
      <c r="C12">
        <v>-1.2</v>
      </c>
    </row>
    <row r="13" spans="1:3" x14ac:dyDescent="0.25">
      <c r="A13">
        <v>2014</v>
      </c>
      <c r="B13" t="s">
        <v>50</v>
      </c>
      <c r="C13">
        <v>-0.4</v>
      </c>
    </row>
    <row r="14" spans="1:3" x14ac:dyDescent="0.25">
      <c r="A14">
        <v>2015</v>
      </c>
      <c r="B14" t="s">
        <v>50</v>
      </c>
      <c r="C14">
        <v>-0.2</v>
      </c>
    </row>
    <row r="15" spans="1:3" x14ac:dyDescent="0.25">
      <c r="A15">
        <v>2016</v>
      </c>
      <c r="B15" t="s">
        <v>50</v>
      </c>
      <c r="C15">
        <v>-0.3</v>
      </c>
    </row>
    <row r="16" spans="1:3" x14ac:dyDescent="0.25">
      <c r="A16">
        <v>2017</v>
      </c>
      <c r="B16" t="s">
        <v>50</v>
      </c>
      <c r="C16">
        <v>-0.4</v>
      </c>
    </row>
    <row r="17" spans="1:3" x14ac:dyDescent="0.25">
      <c r="A17">
        <v>2018</v>
      </c>
      <c r="B17" t="s">
        <v>50</v>
      </c>
      <c r="C17">
        <v>-0.7</v>
      </c>
    </row>
    <row r="18" spans="1:3" x14ac:dyDescent="0.25">
      <c r="A18">
        <v>2019</v>
      </c>
      <c r="B18" t="s">
        <v>50</v>
      </c>
      <c r="C18">
        <v>-1</v>
      </c>
    </row>
    <row r="19" spans="1:3" x14ac:dyDescent="0.25">
      <c r="A19">
        <v>2020</v>
      </c>
      <c r="B19" t="s">
        <v>50</v>
      </c>
      <c r="C19">
        <v>-2.7</v>
      </c>
    </row>
    <row r="20" spans="1:3" x14ac:dyDescent="0.25">
      <c r="A20">
        <v>2021</v>
      </c>
      <c r="B20" t="s">
        <v>50</v>
      </c>
      <c r="C20">
        <v>-2.5</v>
      </c>
    </row>
    <row r="21" spans="1:3" x14ac:dyDescent="0.25">
      <c r="A21">
        <v>2022</v>
      </c>
      <c r="B21" t="s">
        <v>50</v>
      </c>
      <c r="C21">
        <v>-2.5</v>
      </c>
    </row>
    <row r="22" spans="1:3" x14ac:dyDescent="0.25">
      <c r="A22">
        <v>2023</v>
      </c>
      <c r="B22" t="s">
        <v>50</v>
      </c>
      <c r="C22">
        <v>-1.7</v>
      </c>
    </row>
    <row r="23" spans="1:3" x14ac:dyDescent="0.25">
      <c r="A23">
        <v>2024</v>
      </c>
      <c r="B23" t="s">
        <v>50</v>
      </c>
      <c r="C23">
        <v>-1.8</v>
      </c>
    </row>
    <row r="24" spans="1:3" x14ac:dyDescent="0.25">
      <c r="A24">
        <v>2025</v>
      </c>
      <c r="B24" t="s">
        <v>50</v>
      </c>
      <c r="C24">
        <v>-1.8</v>
      </c>
    </row>
    <row r="25" spans="1:3" x14ac:dyDescent="0.25">
      <c r="A25">
        <v>2026</v>
      </c>
      <c r="B25" t="s">
        <v>50</v>
      </c>
      <c r="C25">
        <v>-0.9</v>
      </c>
    </row>
    <row r="26" spans="1:3" x14ac:dyDescent="0.25">
      <c r="A26">
        <v>2027</v>
      </c>
      <c r="B26" t="s">
        <v>50</v>
      </c>
      <c r="C26">
        <v>-1.4</v>
      </c>
    </row>
    <row r="27" spans="1:3" x14ac:dyDescent="0.25">
      <c r="A27">
        <v>2028</v>
      </c>
      <c r="B27" t="s">
        <v>50</v>
      </c>
      <c r="C27">
        <v>-1.2</v>
      </c>
    </row>
    <row r="28" spans="1:3" x14ac:dyDescent="0.25">
      <c r="A28">
        <v>2003</v>
      </c>
      <c r="B28" t="s">
        <v>1</v>
      </c>
      <c r="C28">
        <v>0.8</v>
      </c>
    </row>
    <row r="29" spans="1:3" x14ac:dyDescent="0.25">
      <c r="A29">
        <v>2004</v>
      </c>
      <c r="B29" t="s">
        <v>1</v>
      </c>
      <c r="C29">
        <v>0.8</v>
      </c>
    </row>
    <row r="30" spans="1:3" x14ac:dyDescent="0.25">
      <c r="A30">
        <v>2005</v>
      </c>
      <c r="B30" t="s">
        <v>1</v>
      </c>
      <c r="C30">
        <v>1.3</v>
      </c>
    </row>
    <row r="31" spans="1:3" x14ac:dyDescent="0.25">
      <c r="A31">
        <v>2006</v>
      </c>
      <c r="B31" t="s">
        <v>1</v>
      </c>
      <c r="C31">
        <v>1.7</v>
      </c>
    </row>
    <row r="32" spans="1:3" x14ac:dyDescent="0.25">
      <c r="A32">
        <v>2007</v>
      </c>
      <c r="B32" t="s">
        <v>1</v>
      </c>
      <c r="C32">
        <v>1.6</v>
      </c>
    </row>
    <row r="33" spans="1:3" x14ac:dyDescent="0.25">
      <c r="A33">
        <v>2008</v>
      </c>
      <c r="B33" t="s">
        <v>1</v>
      </c>
      <c r="C33">
        <v>1.8</v>
      </c>
    </row>
    <row r="34" spans="1:3" x14ac:dyDescent="0.25">
      <c r="A34">
        <v>2009</v>
      </c>
      <c r="B34" t="s">
        <v>1</v>
      </c>
      <c r="C34">
        <v>-2.2999999999999998</v>
      </c>
    </row>
    <row r="35" spans="1:3" x14ac:dyDescent="0.25">
      <c r="A35">
        <v>2010</v>
      </c>
      <c r="B35" t="s">
        <v>1</v>
      </c>
      <c r="C35">
        <v>-4.0999999999999996</v>
      </c>
    </row>
    <row r="36" spans="1:3" x14ac:dyDescent="0.25">
      <c r="A36">
        <v>2011</v>
      </c>
      <c r="B36" t="s">
        <v>1</v>
      </c>
      <c r="C36">
        <v>-3.8</v>
      </c>
    </row>
    <row r="37" spans="1:3" x14ac:dyDescent="0.25">
      <c r="A37">
        <v>2012</v>
      </c>
      <c r="B37" t="s">
        <v>1</v>
      </c>
      <c r="C37">
        <v>-3.1</v>
      </c>
    </row>
    <row r="38" spans="1:3" x14ac:dyDescent="0.25">
      <c r="A38">
        <v>2013</v>
      </c>
      <c r="B38" t="s">
        <v>1</v>
      </c>
      <c r="C38">
        <v>-1.4</v>
      </c>
    </row>
    <row r="39" spans="1:3" x14ac:dyDescent="0.25">
      <c r="A39">
        <v>2014</v>
      </c>
      <c r="B39" t="s">
        <v>1</v>
      </c>
      <c r="C39">
        <v>-2.2000000000000002</v>
      </c>
    </row>
    <row r="40" spans="1:3" x14ac:dyDescent="0.25">
      <c r="A40">
        <v>2015</v>
      </c>
      <c r="B40" t="s">
        <v>1</v>
      </c>
      <c r="C40">
        <v>-2.6</v>
      </c>
    </row>
    <row r="41" spans="1:3" x14ac:dyDescent="0.25">
      <c r="A41">
        <v>2016</v>
      </c>
      <c r="B41" t="s">
        <v>1</v>
      </c>
      <c r="C41">
        <v>-2.2999999999999998</v>
      </c>
    </row>
    <row r="42" spans="1:3" x14ac:dyDescent="0.25">
      <c r="A42">
        <v>2017</v>
      </c>
      <c r="B42" t="s">
        <v>1</v>
      </c>
      <c r="C42">
        <v>-1.7</v>
      </c>
    </row>
    <row r="43" spans="1:3" x14ac:dyDescent="0.25">
      <c r="A43">
        <v>2018</v>
      </c>
      <c r="B43" t="s">
        <v>1</v>
      </c>
      <c r="C43">
        <v>-0.5</v>
      </c>
    </row>
    <row r="44" spans="1:3" x14ac:dyDescent="0.25">
      <c r="A44">
        <v>2019</v>
      </c>
      <c r="B44" t="s">
        <v>1</v>
      </c>
      <c r="C44">
        <v>-0.1</v>
      </c>
    </row>
    <row r="45" spans="1:3" x14ac:dyDescent="0.25">
      <c r="A45">
        <v>2020</v>
      </c>
      <c r="B45" t="s">
        <v>1</v>
      </c>
      <c r="C45">
        <v>-4.8</v>
      </c>
    </row>
    <row r="46" spans="1:3" x14ac:dyDescent="0.25">
      <c r="A46">
        <v>2021</v>
      </c>
      <c r="B46" t="s">
        <v>1</v>
      </c>
      <c r="C46">
        <v>-6.9</v>
      </c>
    </row>
    <row r="47" spans="1:3" x14ac:dyDescent="0.25">
      <c r="A47">
        <v>2022</v>
      </c>
      <c r="B47" t="s">
        <v>1</v>
      </c>
      <c r="C47">
        <v>-1.3</v>
      </c>
    </row>
    <row r="48" spans="1:3" x14ac:dyDescent="0.25">
      <c r="A48">
        <v>2023</v>
      </c>
      <c r="B48" t="s">
        <v>1</v>
      </c>
      <c r="C48">
        <v>0.9</v>
      </c>
    </row>
    <row r="49" spans="1:3" x14ac:dyDescent="0.25">
      <c r="A49">
        <v>2024</v>
      </c>
      <c r="B49" t="s">
        <v>1</v>
      </c>
      <c r="C49">
        <v>0.4</v>
      </c>
    </row>
    <row r="50" spans="1:3" x14ac:dyDescent="0.25">
      <c r="A50">
        <v>2025</v>
      </c>
      <c r="B50" t="s">
        <v>1</v>
      </c>
      <c r="C50">
        <v>-1.8</v>
      </c>
    </row>
    <row r="51" spans="1:3" x14ac:dyDescent="0.25">
      <c r="A51">
        <v>2026</v>
      </c>
      <c r="B51" t="s">
        <v>1</v>
      </c>
      <c r="C51">
        <v>-1.5</v>
      </c>
    </row>
    <row r="52" spans="1:3" x14ac:dyDescent="0.25">
      <c r="A52">
        <v>2027</v>
      </c>
      <c r="B52" t="s">
        <v>1</v>
      </c>
      <c r="C52">
        <v>-1.1000000000000001</v>
      </c>
    </row>
    <row r="53" spans="1:3" x14ac:dyDescent="0.25">
      <c r="A53">
        <v>2028</v>
      </c>
      <c r="B53" t="s">
        <v>1</v>
      </c>
      <c r="C53">
        <v>-1.3</v>
      </c>
    </row>
    <row r="54" spans="1:3" x14ac:dyDescent="0.25">
      <c r="A54">
        <v>2003</v>
      </c>
      <c r="B54" t="s">
        <v>2</v>
      </c>
      <c r="C54">
        <v>0.9</v>
      </c>
    </row>
    <row r="55" spans="1:3" x14ac:dyDescent="0.25">
      <c r="A55">
        <v>2004</v>
      </c>
      <c r="B55" t="s">
        <v>2</v>
      </c>
      <c r="C55">
        <v>1.1000000000000001</v>
      </c>
    </row>
    <row r="56" spans="1:3" x14ac:dyDescent="0.25">
      <c r="A56">
        <v>2005</v>
      </c>
      <c r="B56" t="s">
        <v>2</v>
      </c>
      <c r="C56">
        <v>1.5</v>
      </c>
    </row>
    <row r="57" spans="1:3" x14ac:dyDescent="0.25">
      <c r="A57">
        <v>2006</v>
      </c>
      <c r="B57" t="s">
        <v>2</v>
      </c>
      <c r="C57">
        <v>1.9</v>
      </c>
    </row>
    <row r="58" spans="1:3" x14ac:dyDescent="0.25">
      <c r="A58">
        <v>2007</v>
      </c>
      <c r="B58" t="s">
        <v>2</v>
      </c>
      <c r="C58">
        <v>1.4</v>
      </c>
    </row>
    <row r="59" spans="1:3" x14ac:dyDescent="0.25">
      <c r="A59">
        <v>2008</v>
      </c>
      <c r="B59" t="s">
        <v>2</v>
      </c>
      <c r="C59">
        <v>1.4</v>
      </c>
    </row>
    <row r="60" spans="1:3" x14ac:dyDescent="0.25">
      <c r="A60">
        <v>2009</v>
      </c>
      <c r="B60" t="s">
        <v>2</v>
      </c>
      <c r="C60">
        <v>-3.3</v>
      </c>
    </row>
    <row r="61" spans="1:3" x14ac:dyDescent="0.25">
      <c r="A61">
        <v>2010</v>
      </c>
      <c r="B61" t="s">
        <v>2</v>
      </c>
      <c r="C61">
        <v>-5.5</v>
      </c>
    </row>
    <row r="62" spans="1:3" x14ac:dyDescent="0.25">
      <c r="A62">
        <v>2011</v>
      </c>
      <c r="B62" t="s">
        <v>2</v>
      </c>
      <c r="C62">
        <v>-4.8</v>
      </c>
    </row>
    <row r="63" spans="1:3" x14ac:dyDescent="0.25">
      <c r="A63">
        <v>2012</v>
      </c>
      <c r="B63" t="s">
        <v>2</v>
      </c>
      <c r="C63">
        <v>-4.3</v>
      </c>
    </row>
    <row r="64" spans="1:3" x14ac:dyDescent="0.25">
      <c r="A64">
        <v>2013</v>
      </c>
      <c r="B64" t="s">
        <v>2</v>
      </c>
      <c r="C64">
        <v>-2.6</v>
      </c>
    </row>
    <row r="65" spans="1:3" x14ac:dyDescent="0.25">
      <c r="A65">
        <v>2014</v>
      </c>
      <c r="B65" t="s">
        <v>2</v>
      </c>
      <c r="C65">
        <v>-2.9</v>
      </c>
    </row>
    <row r="66" spans="1:3" x14ac:dyDescent="0.25">
      <c r="A66">
        <v>2015</v>
      </c>
      <c r="B66" t="s">
        <v>2</v>
      </c>
      <c r="C66">
        <v>-2.9</v>
      </c>
    </row>
    <row r="67" spans="1:3" x14ac:dyDescent="0.25">
      <c r="A67">
        <v>2016</v>
      </c>
      <c r="B67" t="s">
        <v>2</v>
      </c>
      <c r="C67">
        <v>-2.7</v>
      </c>
    </row>
    <row r="68" spans="1:3" x14ac:dyDescent="0.25">
      <c r="A68">
        <v>2017</v>
      </c>
      <c r="B68" t="s">
        <v>2</v>
      </c>
      <c r="C68">
        <v>-2.2000000000000002</v>
      </c>
    </row>
    <row r="69" spans="1:3" x14ac:dyDescent="0.25">
      <c r="A69">
        <v>2018</v>
      </c>
      <c r="B69" t="s">
        <v>2</v>
      </c>
      <c r="C69">
        <v>-1.3</v>
      </c>
    </row>
    <row r="70" spans="1:3" x14ac:dyDescent="0.25">
      <c r="A70">
        <v>2019</v>
      </c>
      <c r="B70" t="s">
        <v>2</v>
      </c>
      <c r="C70">
        <v>-1.2</v>
      </c>
    </row>
    <row r="71" spans="1:3" x14ac:dyDescent="0.25">
      <c r="A71">
        <v>2020</v>
      </c>
      <c r="B71" t="s">
        <v>2</v>
      </c>
      <c r="C71">
        <v>-7.5</v>
      </c>
    </row>
    <row r="72" spans="1:3" x14ac:dyDescent="0.25">
      <c r="A72">
        <v>2021</v>
      </c>
      <c r="B72" t="s">
        <v>2</v>
      </c>
      <c r="C72">
        <v>-9.3000000000000007</v>
      </c>
    </row>
    <row r="73" spans="1:3" x14ac:dyDescent="0.25">
      <c r="A73">
        <v>2022</v>
      </c>
      <c r="B73" t="s">
        <v>2</v>
      </c>
      <c r="C73">
        <v>-3.7</v>
      </c>
    </row>
    <row r="74" spans="1:3" x14ac:dyDescent="0.25">
      <c r="A74">
        <v>2023</v>
      </c>
      <c r="B74" t="s">
        <v>2</v>
      </c>
      <c r="C74">
        <v>-0.8</v>
      </c>
    </row>
    <row r="75" spans="1:3" x14ac:dyDescent="0.25">
      <c r="A75">
        <v>2024</v>
      </c>
      <c r="B75" t="s">
        <v>2</v>
      </c>
      <c r="C75">
        <v>-1.4</v>
      </c>
    </row>
    <row r="76" spans="1:3" x14ac:dyDescent="0.25">
      <c r="A76">
        <v>2025</v>
      </c>
      <c r="B76" t="s">
        <v>2</v>
      </c>
      <c r="C76">
        <v>-3.6</v>
      </c>
    </row>
    <row r="77" spans="1:3" x14ac:dyDescent="0.25">
      <c r="A77">
        <v>2026</v>
      </c>
      <c r="B77" t="s">
        <v>2</v>
      </c>
      <c r="C77">
        <v>-2.4</v>
      </c>
    </row>
    <row r="78" spans="1:3" x14ac:dyDescent="0.25">
      <c r="A78">
        <v>2027</v>
      </c>
      <c r="B78" t="s">
        <v>2</v>
      </c>
      <c r="C78">
        <v>-2.5</v>
      </c>
    </row>
    <row r="79" spans="1:3" x14ac:dyDescent="0.2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EC85-39E1-416A-AFED-AE0BCD06F7CB}">
  <dimension ref="A1:C82"/>
  <sheetViews>
    <sheetView workbookViewId="0">
      <selection activeCell="G18" sqref="G18"/>
    </sheetView>
  </sheetViews>
  <sheetFormatPr defaultRowHeight="15" x14ac:dyDescent="0.25"/>
  <sheetData>
    <row r="1" spans="1:3" x14ac:dyDescent="0.25">
      <c r="A1" t="s">
        <v>5</v>
      </c>
      <c r="B1" t="s">
        <v>15</v>
      </c>
      <c r="C1" t="s">
        <v>13</v>
      </c>
    </row>
    <row r="2" spans="1:3" x14ac:dyDescent="0.25">
      <c r="A2">
        <v>2003</v>
      </c>
      <c r="B2" t="s">
        <v>50</v>
      </c>
      <c r="C2" s="18">
        <v>0.22500000000000001</v>
      </c>
    </row>
    <row r="3" spans="1:3" x14ac:dyDescent="0.25">
      <c r="A3">
        <v>2004</v>
      </c>
      <c r="B3" t="s">
        <v>50</v>
      </c>
      <c r="C3" s="18">
        <v>0.50800000000000001</v>
      </c>
    </row>
    <row r="4" spans="1:3" x14ac:dyDescent="0.25">
      <c r="A4">
        <v>2005</v>
      </c>
      <c r="B4" t="s">
        <v>50</v>
      </c>
      <c r="C4" s="18">
        <v>0.41099999999999998</v>
      </c>
    </row>
    <row r="5" spans="1:3" x14ac:dyDescent="0.25">
      <c r="A5">
        <v>2006</v>
      </c>
      <c r="B5" t="s">
        <v>50</v>
      </c>
      <c r="C5" s="18">
        <v>0.29499999999999998</v>
      </c>
    </row>
    <row r="6" spans="1:3" x14ac:dyDescent="0.25">
      <c r="A6">
        <v>2007</v>
      </c>
      <c r="B6" t="s">
        <v>50</v>
      </c>
      <c r="C6" s="18">
        <v>-7.6999999999999999E-2</v>
      </c>
    </row>
    <row r="7" spans="1:3" x14ac:dyDescent="0.25">
      <c r="A7">
        <v>2008</v>
      </c>
      <c r="B7" t="s">
        <v>50</v>
      </c>
      <c r="C7" s="18">
        <v>-0.218</v>
      </c>
    </row>
    <row r="8" spans="1:3" x14ac:dyDescent="0.25">
      <c r="A8">
        <v>2009</v>
      </c>
      <c r="B8" t="s">
        <v>50</v>
      </c>
      <c r="C8" s="18">
        <v>-0.85499999999999998</v>
      </c>
    </row>
    <row r="9" spans="1:3" x14ac:dyDescent="0.25">
      <c r="A9">
        <v>2010</v>
      </c>
      <c r="B9" t="s">
        <v>50</v>
      </c>
      <c r="C9" s="18">
        <v>-1.1000000000000001</v>
      </c>
    </row>
    <row r="10" spans="1:3" x14ac:dyDescent="0.25">
      <c r="A10">
        <v>2011</v>
      </c>
      <c r="B10" t="s">
        <v>50</v>
      </c>
      <c r="C10" s="18">
        <v>-1.077</v>
      </c>
    </row>
    <row r="11" spans="1:3" x14ac:dyDescent="0.25">
      <c r="A11">
        <v>2012</v>
      </c>
      <c r="B11" t="s">
        <v>50</v>
      </c>
      <c r="C11" s="18">
        <v>-0.89800000000000002</v>
      </c>
    </row>
    <row r="12" spans="1:3" x14ac:dyDescent="0.25">
      <c r="A12">
        <v>2013</v>
      </c>
      <c r="B12" t="s">
        <v>50</v>
      </c>
      <c r="C12" s="18">
        <v>-1.18</v>
      </c>
    </row>
    <row r="13" spans="1:3" x14ac:dyDescent="0.25">
      <c r="A13">
        <v>2014</v>
      </c>
      <c r="B13" t="s">
        <v>50</v>
      </c>
      <c r="C13" s="18">
        <v>-0.40500000000000003</v>
      </c>
    </row>
    <row r="14" spans="1:3" x14ac:dyDescent="0.25">
      <c r="A14">
        <v>2015</v>
      </c>
      <c r="B14" t="s">
        <v>50</v>
      </c>
      <c r="C14" s="18">
        <v>-0.219</v>
      </c>
    </row>
    <row r="15" spans="1:3" x14ac:dyDescent="0.25">
      <c r="A15">
        <v>2016</v>
      </c>
      <c r="B15" t="s">
        <v>50</v>
      </c>
      <c r="C15" s="18">
        <v>-0.25800000000000001</v>
      </c>
    </row>
    <row r="16" spans="1:3" x14ac:dyDescent="0.25">
      <c r="A16">
        <v>2017</v>
      </c>
      <c r="B16" t="s">
        <v>50</v>
      </c>
      <c r="C16" s="18">
        <v>-0.42299999999999999</v>
      </c>
    </row>
    <row r="17" spans="1:3" x14ac:dyDescent="0.25">
      <c r="A17">
        <v>2018</v>
      </c>
      <c r="B17" t="s">
        <v>50</v>
      </c>
      <c r="C17" s="18">
        <v>-0.71199999999999997</v>
      </c>
    </row>
    <row r="18" spans="1:3" x14ac:dyDescent="0.25">
      <c r="A18">
        <v>2019</v>
      </c>
      <c r="B18" t="s">
        <v>50</v>
      </c>
      <c r="C18" s="18">
        <v>-0.999</v>
      </c>
    </row>
    <row r="19" spans="1:3" x14ac:dyDescent="0.25">
      <c r="A19">
        <v>2020</v>
      </c>
      <c r="B19" t="s">
        <v>50</v>
      </c>
      <c r="C19" s="18">
        <v>-2.6560000000000001</v>
      </c>
    </row>
    <row r="20" spans="1:3" x14ac:dyDescent="0.25">
      <c r="A20">
        <v>2021</v>
      </c>
      <c r="B20" t="s">
        <v>50</v>
      </c>
      <c r="C20" s="18">
        <v>-2.504</v>
      </c>
    </row>
    <row r="21" spans="1:3" x14ac:dyDescent="0.25">
      <c r="A21">
        <v>2022</v>
      </c>
      <c r="B21" t="s">
        <v>50</v>
      </c>
      <c r="C21" s="18">
        <v>-2.5019999999999998</v>
      </c>
    </row>
    <row r="22" spans="1:3" x14ac:dyDescent="0.25">
      <c r="A22">
        <v>2023</v>
      </c>
      <c r="B22" t="s">
        <v>50</v>
      </c>
      <c r="C22" s="18">
        <v>-1.698</v>
      </c>
    </row>
    <row r="23" spans="1:3" x14ac:dyDescent="0.25">
      <c r="A23">
        <v>2024</v>
      </c>
      <c r="B23" t="s">
        <v>50</v>
      </c>
      <c r="C23" s="18">
        <v>-1.96</v>
      </c>
    </row>
    <row r="24" spans="1:3" x14ac:dyDescent="0.25">
      <c r="A24">
        <v>2025</v>
      </c>
      <c r="B24" t="s">
        <v>50</v>
      </c>
      <c r="C24" s="18">
        <v>-2</v>
      </c>
    </row>
    <row r="25" spans="1:3" x14ac:dyDescent="0.25">
      <c r="A25">
        <v>2026</v>
      </c>
      <c r="B25" t="s">
        <v>50</v>
      </c>
      <c r="C25" s="18">
        <v>-0.82699999999999996</v>
      </c>
    </row>
    <row r="26" spans="1:3" x14ac:dyDescent="0.25">
      <c r="A26">
        <v>2027</v>
      </c>
      <c r="B26" t="s">
        <v>50</v>
      </c>
      <c r="C26" s="18">
        <v>-1.3129999999999999</v>
      </c>
    </row>
    <row r="27" spans="1:3" x14ac:dyDescent="0.25">
      <c r="A27">
        <v>2028</v>
      </c>
      <c r="B27" t="s">
        <v>50</v>
      </c>
      <c r="C27" s="18">
        <v>-0.89</v>
      </c>
    </row>
    <row r="28" spans="1:3" x14ac:dyDescent="0.25">
      <c r="A28">
        <v>2029</v>
      </c>
      <c r="B28" t="s">
        <v>50</v>
      </c>
      <c r="C28" s="18">
        <v>-0.64800000000000002</v>
      </c>
    </row>
    <row r="29" spans="1:3" x14ac:dyDescent="0.25">
      <c r="A29">
        <v>2003</v>
      </c>
      <c r="B29" t="s">
        <v>1</v>
      </c>
      <c r="C29" s="17">
        <v>0.79600000000000004</v>
      </c>
    </row>
    <row r="30" spans="1:3" x14ac:dyDescent="0.25">
      <c r="A30">
        <v>2004</v>
      </c>
      <c r="B30" t="s">
        <v>1</v>
      </c>
      <c r="C30" s="17">
        <v>0.78200000000000003</v>
      </c>
    </row>
    <row r="31" spans="1:3" x14ac:dyDescent="0.25">
      <c r="A31">
        <v>2005</v>
      </c>
      <c r="B31" t="s">
        <v>1</v>
      </c>
      <c r="C31" s="17">
        <v>1.2689999999999999</v>
      </c>
    </row>
    <row r="32" spans="1:3" x14ac:dyDescent="0.25">
      <c r="A32">
        <v>2006</v>
      </c>
      <c r="B32" t="s">
        <v>1</v>
      </c>
      <c r="C32" s="17">
        <v>1.667</v>
      </c>
    </row>
    <row r="33" spans="1:3" x14ac:dyDescent="0.25">
      <c r="A33">
        <v>2007</v>
      </c>
      <c r="B33" t="s">
        <v>1</v>
      </c>
      <c r="C33" s="17">
        <v>1.62</v>
      </c>
    </row>
    <row r="34" spans="1:3" x14ac:dyDescent="0.25">
      <c r="A34">
        <v>2008</v>
      </c>
      <c r="B34" t="s">
        <v>1</v>
      </c>
      <c r="C34" s="17">
        <v>1.806</v>
      </c>
    </row>
    <row r="35" spans="1:3" x14ac:dyDescent="0.25">
      <c r="A35">
        <v>2009</v>
      </c>
      <c r="B35" t="s">
        <v>1</v>
      </c>
      <c r="C35" s="17">
        <v>-2.3180000000000001</v>
      </c>
    </row>
    <row r="36" spans="1:3" x14ac:dyDescent="0.25">
      <c r="A36">
        <v>2010</v>
      </c>
      <c r="B36" t="s">
        <v>1</v>
      </c>
      <c r="C36" s="17">
        <v>-4.0659999999999998</v>
      </c>
    </row>
    <row r="37" spans="1:3" x14ac:dyDescent="0.25">
      <c r="A37">
        <v>2011</v>
      </c>
      <c r="B37" t="s">
        <v>1</v>
      </c>
      <c r="C37" s="17">
        <v>-3.75</v>
      </c>
    </row>
    <row r="38" spans="1:3" x14ac:dyDescent="0.25">
      <c r="A38">
        <v>2012</v>
      </c>
      <c r="B38" t="s">
        <v>1</v>
      </c>
      <c r="C38" s="17">
        <v>-3.0739999999999998</v>
      </c>
    </row>
    <row r="39" spans="1:3" x14ac:dyDescent="0.25">
      <c r="A39">
        <v>2013</v>
      </c>
      <c r="B39" t="s">
        <v>1</v>
      </c>
      <c r="C39" s="17">
        <v>-1.3779999999999999</v>
      </c>
    </row>
    <row r="40" spans="1:3" x14ac:dyDescent="0.25">
      <c r="A40">
        <v>2014</v>
      </c>
      <c r="B40" t="s">
        <v>1</v>
      </c>
      <c r="C40" s="17">
        <v>-2.1970000000000001</v>
      </c>
    </row>
    <row r="41" spans="1:3" x14ac:dyDescent="0.25">
      <c r="A41">
        <v>2015</v>
      </c>
      <c r="B41" t="s">
        <v>1</v>
      </c>
      <c r="C41" s="17">
        <v>-2.5619999999999998</v>
      </c>
    </row>
    <row r="42" spans="1:3" x14ac:dyDescent="0.25">
      <c r="A42">
        <v>2016</v>
      </c>
      <c r="B42" t="s">
        <v>1</v>
      </c>
      <c r="C42" s="17">
        <v>-2.3039999999999998</v>
      </c>
    </row>
    <row r="43" spans="1:3" x14ac:dyDescent="0.25">
      <c r="A43">
        <v>2017</v>
      </c>
      <c r="B43" t="s">
        <v>1</v>
      </c>
      <c r="C43" s="17">
        <v>-1.742</v>
      </c>
    </row>
    <row r="44" spans="1:3" x14ac:dyDescent="0.25">
      <c r="A44">
        <v>2018</v>
      </c>
      <c r="B44" t="s">
        <v>1</v>
      </c>
      <c r="C44" s="17">
        <v>-0.46</v>
      </c>
    </row>
    <row r="45" spans="1:3" x14ac:dyDescent="0.25">
      <c r="A45">
        <v>2019</v>
      </c>
      <c r="B45" t="s">
        <v>1</v>
      </c>
      <c r="C45" s="17">
        <v>-5.1999999999999998E-2</v>
      </c>
    </row>
    <row r="46" spans="1:3" x14ac:dyDescent="0.25">
      <c r="A46">
        <v>2020</v>
      </c>
      <c r="B46" t="s">
        <v>1</v>
      </c>
      <c r="C46" s="17">
        <v>-4.819</v>
      </c>
    </row>
    <row r="47" spans="1:3" x14ac:dyDescent="0.25">
      <c r="A47">
        <v>2021</v>
      </c>
      <c r="B47" t="s">
        <v>1</v>
      </c>
      <c r="C47" s="17">
        <v>-6.8879999999999999</v>
      </c>
    </row>
    <row r="48" spans="1:3" x14ac:dyDescent="0.25">
      <c r="A48">
        <v>2022</v>
      </c>
      <c r="B48" t="s">
        <v>1</v>
      </c>
      <c r="C48" s="17">
        <v>-1.337</v>
      </c>
    </row>
    <row r="49" spans="1:3" x14ac:dyDescent="0.25">
      <c r="A49">
        <v>2023</v>
      </c>
      <c r="B49" t="s">
        <v>1</v>
      </c>
      <c r="C49" s="17">
        <v>0.83099999999999996</v>
      </c>
    </row>
    <row r="50" spans="1:3" x14ac:dyDescent="0.25">
      <c r="A50">
        <v>2024</v>
      </c>
      <c r="B50" t="s">
        <v>1</v>
      </c>
      <c r="C50" s="17">
        <v>0.41699999999999998</v>
      </c>
    </row>
    <row r="51" spans="1:3" x14ac:dyDescent="0.25">
      <c r="A51">
        <v>2025</v>
      </c>
      <c r="B51" t="s">
        <v>1</v>
      </c>
      <c r="C51" s="17">
        <v>-1.8169999999999999</v>
      </c>
    </row>
    <row r="52" spans="1:3" x14ac:dyDescent="0.25">
      <c r="A52">
        <v>2026</v>
      </c>
      <c r="B52" t="s">
        <v>1</v>
      </c>
      <c r="C52" s="17">
        <v>-1.534</v>
      </c>
    </row>
    <row r="53" spans="1:3" x14ac:dyDescent="0.25">
      <c r="A53">
        <v>2027</v>
      </c>
      <c r="B53" t="s">
        <v>1</v>
      </c>
      <c r="C53" s="17">
        <v>-1.075</v>
      </c>
    </row>
    <row r="54" spans="1:3" x14ac:dyDescent="0.25">
      <c r="A54">
        <v>2028</v>
      </c>
      <c r="B54" t="s">
        <v>1</v>
      </c>
      <c r="C54" s="17">
        <v>-1.256</v>
      </c>
    </row>
    <row r="55" spans="1:3" x14ac:dyDescent="0.25">
      <c r="A55">
        <v>2029</v>
      </c>
      <c r="B55" t="s">
        <v>1</v>
      </c>
      <c r="C55" s="17">
        <v>-1.117</v>
      </c>
    </row>
    <row r="56" spans="1:3" x14ac:dyDescent="0.25">
      <c r="A56">
        <v>2003</v>
      </c>
      <c r="B56" t="s">
        <v>2</v>
      </c>
      <c r="C56" s="17">
        <v>0.91700000000000004</v>
      </c>
    </row>
    <row r="57" spans="1:3" x14ac:dyDescent="0.25">
      <c r="A57">
        <v>2004</v>
      </c>
      <c r="B57" t="s">
        <v>2</v>
      </c>
      <c r="C57" s="17">
        <v>1.145</v>
      </c>
    </row>
    <row r="58" spans="1:3" x14ac:dyDescent="0.25">
      <c r="A58">
        <v>2005</v>
      </c>
      <c r="B58" t="s">
        <v>2</v>
      </c>
      <c r="C58" s="17">
        <v>1.5029999999999999</v>
      </c>
    </row>
    <row r="59" spans="1:3" x14ac:dyDescent="0.25">
      <c r="A59">
        <v>2006</v>
      </c>
      <c r="B59" t="s">
        <v>2</v>
      </c>
      <c r="C59" s="17">
        <v>1.877</v>
      </c>
    </row>
    <row r="60" spans="1:3" x14ac:dyDescent="0.25">
      <c r="A60">
        <v>2007</v>
      </c>
      <c r="B60" t="s">
        <v>2</v>
      </c>
      <c r="C60" s="17">
        <v>1.409</v>
      </c>
    </row>
    <row r="61" spans="1:3" x14ac:dyDescent="0.25">
      <c r="A61">
        <v>2008</v>
      </c>
      <c r="B61" t="s">
        <v>2</v>
      </c>
      <c r="C61" s="17">
        <v>1.385</v>
      </c>
    </row>
    <row r="62" spans="1:3" x14ac:dyDescent="0.25">
      <c r="A62">
        <v>2009</v>
      </c>
      <c r="B62" t="s">
        <v>2</v>
      </c>
      <c r="C62" s="17">
        <v>-3.3479999999999999</v>
      </c>
    </row>
    <row r="63" spans="1:3" x14ac:dyDescent="0.25">
      <c r="A63">
        <v>2010</v>
      </c>
      <c r="B63" t="s">
        <v>2</v>
      </c>
      <c r="C63" s="17">
        <v>-5.5449999999999999</v>
      </c>
    </row>
    <row r="64" spans="1:3" x14ac:dyDescent="0.25">
      <c r="A64">
        <v>2011</v>
      </c>
      <c r="B64" t="s">
        <v>2</v>
      </c>
      <c r="C64" s="17">
        <v>-4.766</v>
      </c>
    </row>
    <row r="65" spans="1:3" x14ac:dyDescent="0.25">
      <c r="A65">
        <v>2012</v>
      </c>
      <c r="B65" t="s">
        <v>2</v>
      </c>
      <c r="C65" s="17">
        <v>-4.2619999999999996</v>
      </c>
    </row>
    <row r="66" spans="1:3" x14ac:dyDescent="0.25">
      <c r="A66">
        <v>2013</v>
      </c>
      <c r="B66" t="s">
        <v>2</v>
      </c>
      <c r="C66" s="17">
        <v>-2.5939999999999999</v>
      </c>
    </row>
    <row r="67" spans="1:3" x14ac:dyDescent="0.25">
      <c r="A67">
        <v>2014</v>
      </c>
      <c r="B67" t="s">
        <v>2</v>
      </c>
      <c r="C67" s="17">
        <v>-2.923</v>
      </c>
    </row>
    <row r="68" spans="1:3" x14ac:dyDescent="0.25">
      <c r="A68">
        <v>2015</v>
      </c>
      <c r="B68" t="s">
        <v>2</v>
      </c>
      <c r="C68" s="17">
        <v>-2.895</v>
      </c>
    </row>
    <row r="69" spans="1:3" x14ac:dyDescent="0.25">
      <c r="A69">
        <v>2016</v>
      </c>
      <c r="B69" t="s">
        <v>2</v>
      </c>
      <c r="C69" s="17">
        <v>-2.6640000000000001</v>
      </c>
    </row>
    <row r="70" spans="1:3" x14ac:dyDescent="0.25">
      <c r="A70">
        <v>2017</v>
      </c>
      <c r="B70" t="s">
        <v>2</v>
      </c>
      <c r="C70" s="17">
        <v>-2.19</v>
      </c>
    </row>
    <row r="71" spans="1:3" x14ac:dyDescent="0.25">
      <c r="A71">
        <v>2018</v>
      </c>
      <c r="B71" t="s">
        <v>2</v>
      </c>
      <c r="C71" s="17">
        <v>-1.264</v>
      </c>
    </row>
    <row r="72" spans="1:3" x14ac:dyDescent="0.25">
      <c r="A72">
        <v>2019</v>
      </c>
      <c r="B72" t="s">
        <v>2</v>
      </c>
      <c r="C72" s="17">
        <v>-1.163</v>
      </c>
    </row>
    <row r="73" spans="1:3" x14ac:dyDescent="0.25">
      <c r="A73">
        <v>2020</v>
      </c>
      <c r="B73" t="s">
        <v>2</v>
      </c>
      <c r="C73" s="17">
        <v>-7.4880000000000004</v>
      </c>
    </row>
    <row r="74" spans="1:3" x14ac:dyDescent="0.25">
      <c r="A74">
        <v>2021</v>
      </c>
      <c r="B74" t="s">
        <v>2</v>
      </c>
      <c r="C74" s="17">
        <v>-9.2870000000000008</v>
      </c>
    </row>
    <row r="75" spans="1:3" x14ac:dyDescent="0.25">
      <c r="A75">
        <v>2022</v>
      </c>
      <c r="B75" t="s">
        <v>2</v>
      </c>
      <c r="C75" s="17">
        <v>-3.7240000000000002</v>
      </c>
    </row>
    <row r="76" spans="1:3" x14ac:dyDescent="0.25">
      <c r="A76">
        <v>2023</v>
      </c>
      <c r="B76" t="s">
        <v>2</v>
      </c>
      <c r="C76" s="17">
        <v>-0.82</v>
      </c>
    </row>
    <row r="77" spans="1:3" x14ac:dyDescent="0.25">
      <c r="A77">
        <v>2024</v>
      </c>
      <c r="B77" t="s">
        <v>2</v>
      </c>
      <c r="C77" s="17">
        <v>-1.5509999999999999</v>
      </c>
    </row>
    <row r="78" spans="1:3" x14ac:dyDescent="0.25">
      <c r="A78">
        <v>2025</v>
      </c>
      <c r="B78" t="s">
        <v>2</v>
      </c>
      <c r="C78" s="17">
        <v>-4.2370000000000001</v>
      </c>
    </row>
    <row r="79" spans="1:3" x14ac:dyDescent="0.25">
      <c r="A79">
        <v>2026</v>
      </c>
      <c r="B79" t="s">
        <v>2</v>
      </c>
      <c r="C79" s="17">
        <v>-2.7879999999999998</v>
      </c>
    </row>
    <row r="80" spans="1:3" x14ac:dyDescent="0.25">
      <c r="A80">
        <v>2027</v>
      </c>
      <c r="B80" t="s">
        <v>2</v>
      </c>
      <c r="C80" s="17">
        <v>-2.82</v>
      </c>
    </row>
    <row r="81" spans="1:3" x14ac:dyDescent="0.25">
      <c r="A81">
        <v>2028</v>
      </c>
      <c r="B81" t="s">
        <v>2</v>
      </c>
      <c r="C81" s="17">
        <v>-2.5750000000000002</v>
      </c>
    </row>
    <row r="82" spans="1:3" x14ac:dyDescent="0.25">
      <c r="A82">
        <v>2029</v>
      </c>
      <c r="B82" t="s">
        <v>2</v>
      </c>
      <c r="C82" s="17">
        <v>-2.19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B2" sqref="B2"/>
    </sheetView>
  </sheetViews>
  <sheetFormatPr defaultRowHeight="1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>
        <v>-0.9</v>
      </c>
      <c r="C2">
        <v>3.5</v>
      </c>
      <c r="D2">
        <v>2.2999999999999998</v>
      </c>
    </row>
    <row r="3" spans="1:4" x14ac:dyDescent="0.25">
      <c r="A3">
        <v>2004</v>
      </c>
      <c r="B3">
        <v>-1.6</v>
      </c>
      <c r="C3">
        <v>2.4</v>
      </c>
      <c r="D3">
        <v>0.4</v>
      </c>
    </row>
    <row r="4" spans="1:4" x14ac:dyDescent="0.25">
      <c r="A4">
        <v>2005</v>
      </c>
      <c r="B4">
        <v>-2.2999999999999998</v>
      </c>
      <c r="C4">
        <v>1</v>
      </c>
      <c r="D4">
        <v>-1.6</v>
      </c>
    </row>
    <row r="5" spans="1:4" x14ac:dyDescent="0.2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25">
      <c r="A6">
        <v>2007</v>
      </c>
      <c r="B6">
        <v>-2.4</v>
      </c>
      <c r="C6">
        <v>-3.6</v>
      </c>
      <c r="D6">
        <v>-6.5</v>
      </c>
    </row>
    <row r="7" spans="1:4" x14ac:dyDescent="0.25">
      <c r="A7">
        <v>2008</v>
      </c>
      <c r="B7">
        <v>-1.7</v>
      </c>
      <c r="C7">
        <v>-4.4000000000000004</v>
      </c>
      <c r="D7">
        <v>-6.6</v>
      </c>
    </row>
    <row r="8" spans="1:4" x14ac:dyDescent="0.25">
      <c r="A8">
        <v>2009</v>
      </c>
      <c r="B8">
        <v>-0.9</v>
      </c>
      <c r="C8">
        <v>-1.7</v>
      </c>
      <c r="D8">
        <v>-3.1</v>
      </c>
    </row>
    <row r="9" spans="1:4" x14ac:dyDescent="0.25">
      <c r="A9">
        <v>2010</v>
      </c>
      <c r="B9">
        <v>0.1</v>
      </c>
      <c r="C9">
        <v>3.2</v>
      </c>
      <c r="D9">
        <v>2.9</v>
      </c>
    </row>
    <row r="10" spans="1:4" x14ac:dyDescent="0.25">
      <c r="A10">
        <v>2011</v>
      </c>
      <c r="B10">
        <v>0.8</v>
      </c>
      <c r="C10">
        <v>5.9</v>
      </c>
      <c r="D10">
        <v>6</v>
      </c>
    </row>
    <row r="11" spans="1:4" x14ac:dyDescent="0.25">
      <c r="A11">
        <v>2012</v>
      </c>
      <c r="B11">
        <v>1.9</v>
      </c>
      <c r="C11">
        <v>9.9</v>
      </c>
      <c r="D11">
        <v>11.1</v>
      </c>
    </row>
    <row r="12" spans="1:4" x14ac:dyDescent="0.25">
      <c r="A12">
        <v>2013</v>
      </c>
      <c r="B12">
        <v>2.8</v>
      </c>
      <c r="C12">
        <v>10</v>
      </c>
      <c r="D12">
        <v>12.3</v>
      </c>
    </row>
    <row r="13" spans="1:4" x14ac:dyDescent="0.25">
      <c r="A13">
        <v>2014</v>
      </c>
      <c r="B13">
        <v>2.9</v>
      </c>
      <c r="C13">
        <v>12.7</v>
      </c>
      <c r="D13">
        <v>15.1</v>
      </c>
    </row>
    <row r="14" spans="1:4" x14ac:dyDescent="0.25">
      <c r="A14">
        <v>2015</v>
      </c>
      <c r="B14">
        <v>2.8</v>
      </c>
      <c r="C14">
        <v>14.9</v>
      </c>
      <c r="D14">
        <v>17.100000000000001</v>
      </c>
    </row>
    <row r="15" spans="1:4" x14ac:dyDescent="0.25">
      <c r="A15">
        <v>2016</v>
      </c>
      <c r="B15">
        <v>2.4</v>
      </c>
      <c r="C15">
        <v>18.100000000000001</v>
      </c>
      <c r="D15">
        <v>19.8</v>
      </c>
    </row>
    <row r="16" spans="1:4" x14ac:dyDescent="0.25">
      <c r="A16">
        <v>2017</v>
      </c>
      <c r="B16">
        <v>1.7</v>
      </c>
      <c r="C16">
        <v>18.399999999999999</v>
      </c>
      <c r="D16">
        <v>19.2</v>
      </c>
    </row>
    <row r="17" spans="1:4" x14ac:dyDescent="0.25">
      <c r="A17">
        <v>2018</v>
      </c>
      <c r="B17">
        <v>1.9</v>
      </c>
      <c r="C17">
        <v>18.8</v>
      </c>
      <c r="D17">
        <v>19.600000000000001</v>
      </c>
    </row>
    <row r="18" spans="1:4" x14ac:dyDescent="0.25">
      <c r="A18">
        <v>2019</v>
      </c>
      <c r="B18">
        <v>1.8</v>
      </c>
      <c r="C18">
        <v>19.399999999999999</v>
      </c>
      <c r="D18">
        <v>20.2</v>
      </c>
    </row>
    <row r="19" spans="1:4" x14ac:dyDescent="0.25">
      <c r="A19">
        <v>2020</v>
      </c>
      <c r="B19">
        <v>4.5999999999999996</v>
      </c>
      <c r="C19">
        <v>23.9</v>
      </c>
      <c r="D19">
        <v>27.5</v>
      </c>
    </row>
    <row r="20" spans="1:4" x14ac:dyDescent="0.25">
      <c r="A20">
        <v>2021</v>
      </c>
      <c r="B20">
        <v>6.5</v>
      </c>
      <c r="C20">
        <v>27.7</v>
      </c>
      <c r="D20">
        <v>33.1</v>
      </c>
    </row>
    <row r="21" spans="1:4" x14ac:dyDescent="0.25">
      <c r="A21">
        <v>2022</v>
      </c>
      <c r="B21">
        <v>7.9</v>
      </c>
      <c r="C21">
        <v>21.7</v>
      </c>
      <c r="D21">
        <v>28.6</v>
      </c>
    </row>
    <row r="22" spans="1:4" x14ac:dyDescent="0.2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25">
      <c r="A23">
        <v>2024</v>
      </c>
      <c r="B23">
        <v>11</v>
      </c>
      <c r="C23">
        <v>18.600000000000001</v>
      </c>
      <c r="D23">
        <v>28.6</v>
      </c>
    </row>
    <row r="24" spans="1:4" x14ac:dyDescent="0.25">
      <c r="A24">
        <v>2025</v>
      </c>
      <c r="B24">
        <v>13</v>
      </c>
      <c r="C24">
        <v>20</v>
      </c>
      <c r="D24">
        <v>32</v>
      </c>
    </row>
    <row r="25" spans="1:4" x14ac:dyDescent="0.25">
      <c r="A25">
        <v>2026</v>
      </c>
      <c r="B25">
        <v>14.1</v>
      </c>
      <c r="C25">
        <v>21.5</v>
      </c>
      <c r="D25">
        <v>34.5</v>
      </c>
    </row>
    <row r="26" spans="1:4" x14ac:dyDescent="0.25">
      <c r="A26">
        <v>2027</v>
      </c>
      <c r="B26">
        <v>14.6</v>
      </c>
      <c r="C26">
        <v>21.8</v>
      </c>
      <c r="D26">
        <v>35.4</v>
      </c>
    </row>
    <row r="27" spans="1:4" x14ac:dyDescent="0.2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9013E-AC9C-4450-BC15-408380B84B9F}">
  <dimension ref="A1:I28"/>
  <sheetViews>
    <sheetView workbookViewId="0">
      <selection activeCell="F29" sqref="F29"/>
    </sheetView>
  </sheetViews>
  <sheetFormatPr defaultRowHeight="15" x14ac:dyDescent="0.25"/>
  <cols>
    <col min="3" max="3" width="15" bestFit="1" customWidth="1"/>
  </cols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2003</v>
      </c>
      <c r="B2" s="16">
        <v>-0.88900000000000001</v>
      </c>
      <c r="C2" s="16">
        <v>3.54</v>
      </c>
      <c r="D2" s="16">
        <v>2.327</v>
      </c>
    </row>
    <row r="3" spans="1:4" x14ac:dyDescent="0.25">
      <c r="A3">
        <v>2004</v>
      </c>
      <c r="B3" s="16">
        <v>-1.5960000000000001</v>
      </c>
      <c r="C3" s="16">
        <v>2.3849999999999998</v>
      </c>
      <c r="D3" s="16">
        <v>0.42099999999999999</v>
      </c>
    </row>
    <row r="4" spans="1:4" x14ac:dyDescent="0.25">
      <c r="A4">
        <v>2005</v>
      </c>
      <c r="B4" s="16">
        <v>-2.2709999999999999</v>
      </c>
      <c r="C4" s="16">
        <v>1.0329999999999999</v>
      </c>
      <c r="D4" s="16">
        <v>-1.623</v>
      </c>
    </row>
    <row r="5" spans="1:4" x14ac:dyDescent="0.25">
      <c r="A5">
        <v>2006</v>
      </c>
      <c r="B5" s="16">
        <v>-3.0270000000000001</v>
      </c>
      <c r="C5" s="16">
        <v>-1.0920000000000001</v>
      </c>
      <c r="D5" s="16">
        <v>-4.5659999999999998</v>
      </c>
    </row>
    <row r="6" spans="1:4" x14ac:dyDescent="0.25">
      <c r="A6">
        <v>2007</v>
      </c>
      <c r="B6" s="16">
        <v>-2.39</v>
      </c>
      <c r="C6" s="16">
        <v>-3.6459999999999999</v>
      </c>
      <c r="D6" s="16">
        <v>-6.4820000000000002</v>
      </c>
    </row>
    <row r="7" spans="1:4" x14ac:dyDescent="0.25">
      <c r="A7">
        <v>2008</v>
      </c>
      <c r="B7" s="16">
        <v>-1.508</v>
      </c>
      <c r="C7" s="16">
        <v>-4.4370000000000003</v>
      </c>
      <c r="D7" s="16">
        <v>-6.3780000000000001</v>
      </c>
    </row>
    <row r="8" spans="1:4" x14ac:dyDescent="0.25">
      <c r="A8">
        <v>2009</v>
      </c>
      <c r="B8" s="16">
        <v>-0.69</v>
      </c>
      <c r="C8" s="16">
        <v>-1.72</v>
      </c>
      <c r="D8" s="16">
        <v>-2.9319999999999999</v>
      </c>
    </row>
    <row r="9" spans="1:4" x14ac:dyDescent="0.25">
      <c r="A9">
        <v>2010</v>
      </c>
      <c r="B9" s="16">
        <v>0.246</v>
      </c>
      <c r="C9" s="16">
        <v>3.2170000000000001</v>
      </c>
      <c r="D9" s="16">
        <v>3.0179999999999998</v>
      </c>
    </row>
    <row r="10" spans="1:4" x14ac:dyDescent="0.25">
      <c r="A10">
        <v>2011</v>
      </c>
      <c r="B10" s="16">
        <v>0.97299999999999998</v>
      </c>
      <c r="C10" s="16">
        <v>5.9260000000000002</v>
      </c>
      <c r="D10" s="16">
        <v>6.1870000000000003</v>
      </c>
    </row>
    <row r="11" spans="1:4" x14ac:dyDescent="0.25">
      <c r="A11">
        <v>2012</v>
      </c>
      <c r="B11" s="16">
        <v>2.0219999999999998</v>
      </c>
      <c r="C11" s="16">
        <v>9.9030000000000005</v>
      </c>
      <c r="D11" s="16">
        <v>11.223000000000001</v>
      </c>
    </row>
    <row r="12" spans="1:4" x14ac:dyDescent="0.25">
      <c r="A12">
        <v>2013</v>
      </c>
      <c r="B12" s="16">
        <v>2.98</v>
      </c>
      <c r="C12" s="16">
        <v>10.018000000000001</v>
      </c>
      <c r="D12" s="16">
        <v>12.486000000000001</v>
      </c>
    </row>
    <row r="13" spans="1:4" x14ac:dyDescent="0.25">
      <c r="A13">
        <v>2014</v>
      </c>
      <c r="B13" s="16">
        <v>3.0720000000000001</v>
      </c>
      <c r="C13" s="16">
        <v>12.683</v>
      </c>
      <c r="D13" s="16">
        <v>15.288</v>
      </c>
    </row>
    <row r="14" spans="1:4" x14ac:dyDescent="0.25">
      <c r="A14">
        <v>2015</v>
      </c>
      <c r="B14" s="16">
        <v>2.976</v>
      </c>
      <c r="C14" s="16">
        <v>14.920999999999999</v>
      </c>
      <c r="D14" s="16">
        <v>17.268000000000001</v>
      </c>
    </row>
    <row r="15" spans="1:4" x14ac:dyDescent="0.25">
      <c r="A15">
        <v>2016</v>
      </c>
      <c r="B15" s="16">
        <v>2.589</v>
      </c>
      <c r="C15" s="16">
        <v>18.103000000000002</v>
      </c>
      <c r="D15" s="16">
        <v>19.952999999999999</v>
      </c>
    </row>
    <row r="16" spans="1:4" x14ac:dyDescent="0.25">
      <c r="A16">
        <v>2017</v>
      </c>
      <c r="B16" s="16">
        <v>1.8879999999999999</v>
      </c>
      <c r="C16" s="16">
        <v>18.446999999999999</v>
      </c>
      <c r="D16" s="16">
        <v>19.45</v>
      </c>
    </row>
    <row r="17" spans="1:9" x14ac:dyDescent="0.25">
      <c r="A17">
        <v>2018</v>
      </c>
      <c r="B17" s="16">
        <v>2.0649999999999999</v>
      </c>
      <c r="C17" s="16">
        <v>18.791</v>
      </c>
      <c r="D17" s="16">
        <v>19.882000000000001</v>
      </c>
    </row>
    <row r="18" spans="1:9" x14ac:dyDescent="0.25">
      <c r="A18">
        <v>2019</v>
      </c>
      <c r="B18" s="16">
        <v>2.0150000000000001</v>
      </c>
      <c r="C18" s="16">
        <v>19.401</v>
      </c>
      <c r="D18" s="16">
        <v>20.417000000000002</v>
      </c>
      <c r="E18" s="16">
        <f>B18-B7</f>
        <v>3.5230000000000001</v>
      </c>
      <c r="F18" s="16">
        <f>C18-C$7</f>
        <v>23.838000000000001</v>
      </c>
      <c r="G18" s="16">
        <f>D18-D7</f>
        <v>26.795000000000002</v>
      </c>
      <c r="I18">
        <f>F18/G18</f>
        <v>0.8896435902220563</v>
      </c>
    </row>
    <row r="19" spans="1:9" x14ac:dyDescent="0.25">
      <c r="A19">
        <v>2020</v>
      </c>
      <c r="B19" s="16">
        <v>4.8609999999999998</v>
      </c>
      <c r="C19" s="16">
        <v>23.946000000000002</v>
      </c>
      <c r="D19" s="16">
        <v>27.832000000000001</v>
      </c>
    </row>
    <row r="20" spans="1:9" x14ac:dyDescent="0.25">
      <c r="A20">
        <v>2021</v>
      </c>
      <c r="B20" s="16">
        <v>6.7329999999999997</v>
      </c>
      <c r="C20" s="16">
        <v>27.704000000000001</v>
      </c>
      <c r="D20" s="16">
        <v>33.423999999999999</v>
      </c>
    </row>
    <row r="21" spans="1:9" x14ac:dyDescent="0.25">
      <c r="A21">
        <v>2022</v>
      </c>
      <c r="B21" s="16">
        <v>8.1280000000000001</v>
      </c>
      <c r="C21" s="16">
        <v>21.725999999999999</v>
      </c>
      <c r="D21" s="16">
        <v>28.849</v>
      </c>
    </row>
    <row r="22" spans="1:9" x14ac:dyDescent="0.25">
      <c r="A22">
        <v>2023</v>
      </c>
      <c r="B22" s="16">
        <v>8.3930000000000007</v>
      </c>
      <c r="C22" s="16">
        <v>18.619</v>
      </c>
      <c r="D22" s="16">
        <v>26.024000000000001</v>
      </c>
    </row>
    <row r="23" spans="1:9" x14ac:dyDescent="0.25">
      <c r="A23">
        <v>2024</v>
      </c>
      <c r="B23" s="16">
        <v>9.7989999999999995</v>
      </c>
      <c r="C23" s="16">
        <v>17.783000000000001</v>
      </c>
      <c r="D23" s="16">
        <v>26.657</v>
      </c>
    </row>
    <row r="24" spans="1:9" x14ac:dyDescent="0.25">
      <c r="A24">
        <v>2025</v>
      </c>
      <c r="B24" s="16">
        <v>12.801</v>
      </c>
      <c r="C24" s="16">
        <v>19.946999999999999</v>
      </c>
      <c r="D24" s="16">
        <v>31.731999999999999</v>
      </c>
      <c r="F24" s="16">
        <f>C24-C$7</f>
        <v>24.384</v>
      </c>
    </row>
    <row r="25" spans="1:9" x14ac:dyDescent="0.25">
      <c r="A25">
        <v>2026</v>
      </c>
      <c r="B25" s="16">
        <v>14.311</v>
      </c>
      <c r="C25" s="16">
        <v>21.545000000000002</v>
      </c>
      <c r="D25" s="16">
        <v>34.811</v>
      </c>
    </row>
    <row r="26" spans="1:9" x14ac:dyDescent="0.25">
      <c r="A26">
        <v>2027</v>
      </c>
      <c r="B26" s="16">
        <v>15.318</v>
      </c>
      <c r="C26" s="16">
        <v>22.603999999999999</v>
      </c>
      <c r="D26" s="16">
        <v>36.859000000000002</v>
      </c>
    </row>
    <row r="27" spans="1:9" x14ac:dyDescent="0.25">
      <c r="A27">
        <v>2028</v>
      </c>
      <c r="B27" s="16">
        <v>15.677</v>
      </c>
      <c r="C27" s="16">
        <v>22.681999999999999</v>
      </c>
      <c r="D27" s="16">
        <v>37.293999999999997</v>
      </c>
    </row>
    <row r="28" spans="1:9" x14ac:dyDescent="0.25">
      <c r="A28">
        <v>2029</v>
      </c>
      <c r="B28" s="16">
        <v>15.795999999999999</v>
      </c>
      <c r="C28" s="16">
        <v>23.143999999999998</v>
      </c>
      <c r="D28" s="16">
        <v>37.877000000000002</v>
      </c>
      <c r="F28">
        <f>B28/D28</f>
        <v>0.41703408400876518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H50" sqref="H50"/>
    </sheetView>
  </sheetViews>
  <sheetFormatPr defaultRowHeight="15" x14ac:dyDescent="0.25"/>
  <cols>
    <col min="1" max="1" width="14.140625" bestFit="1" customWidth="1"/>
    <col min="2" max="2" width="10.85546875" bestFit="1" customWidth="1"/>
  </cols>
  <sheetData>
    <row r="1" spans="1:3" x14ac:dyDescent="0.25">
      <c r="A1" t="s">
        <v>35</v>
      </c>
      <c r="B1" t="s">
        <v>36</v>
      </c>
      <c r="C1" t="s">
        <v>37</v>
      </c>
    </row>
    <row r="2" spans="1:3" x14ac:dyDescent="0.25">
      <c r="A2" t="s">
        <v>19</v>
      </c>
      <c r="B2">
        <v>30.888999999999999</v>
      </c>
      <c r="C2" t="s">
        <v>20</v>
      </c>
    </row>
    <row r="3" spans="1:3" x14ac:dyDescent="0.25">
      <c r="A3" t="s">
        <v>21</v>
      </c>
      <c r="B3">
        <v>38.487000000000002</v>
      </c>
      <c r="C3" t="s">
        <v>20</v>
      </c>
    </row>
    <row r="4" spans="1:3" x14ac:dyDescent="0.25">
      <c r="A4" t="s">
        <v>22</v>
      </c>
      <c r="B4">
        <v>39.017000000000003</v>
      </c>
      <c r="C4" t="s">
        <v>20</v>
      </c>
    </row>
    <row r="5" spans="1:3" x14ac:dyDescent="0.25">
      <c r="A5" t="s">
        <v>23</v>
      </c>
      <c r="B5">
        <v>39.22</v>
      </c>
      <c r="C5" t="s">
        <v>20</v>
      </c>
    </row>
    <row r="6" spans="1:3" x14ac:dyDescent="0.25">
      <c r="A6" t="s">
        <v>24</v>
      </c>
      <c r="B6">
        <v>42.091999999999999</v>
      </c>
      <c r="C6" t="s">
        <v>20</v>
      </c>
    </row>
    <row r="7" spans="1:3" x14ac:dyDescent="0.25">
      <c r="A7" t="s">
        <v>25</v>
      </c>
      <c r="B7">
        <v>46.265999999999998</v>
      </c>
      <c r="C7" t="s">
        <v>20</v>
      </c>
    </row>
    <row r="8" spans="1:3" x14ac:dyDescent="0.25">
      <c r="A8" t="s">
        <v>26</v>
      </c>
      <c r="B8">
        <v>49.747999999999998</v>
      </c>
      <c r="C8" t="s">
        <v>20</v>
      </c>
    </row>
    <row r="9" spans="1:3" x14ac:dyDescent="0.25">
      <c r="A9" t="s">
        <v>27</v>
      </c>
      <c r="B9">
        <v>50.155000000000001</v>
      </c>
      <c r="C9" t="s">
        <v>20</v>
      </c>
    </row>
    <row r="10" spans="1:3" x14ac:dyDescent="0.25">
      <c r="A10" t="s">
        <v>8</v>
      </c>
      <c r="B10">
        <v>54.575000000000003</v>
      </c>
      <c r="C10" t="s">
        <v>8</v>
      </c>
    </row>
    <row r="11" spans="1:3" x14ac:dyDescent="0.25">
      <c r="A11" t="s">
        <v>38</v>
      </c>
      <c r="B11">
        <v>63.44</v>
      </c>
      <c r="C11" t="s">
        <v>20</v>
      </c>
    </row>
    <row r="12" spans="1:3" x14ac:dyDescent="0.25">
      <c r="A12" t="s">
        <v>28</v>
      </c>
      <c r="B12">
        <v>68.320999999999998</v>
      </c>
      <c r="C12" t="s">
        <v>20</v>
      </c>
    </row>
    <row r="13" spans="1:3" x14ac:dyDescent="0.25">
      <c r="A13" t="s">
        <v>29</v>
      </c>
      <c r="B13">
        <v>80.694000000000003</v>
      </c>
      <c r="C13" t="s">
        <v>20</v>
      </c>
    </row>
    <row r="14" spans="1:3" x14ac:dyDescent="0.25">
      <c r="A14" t="s">
        <v>30</v>
      </c>
      <c r="B14">
        <v>82.477999999999994</v>
      </c>
      <c r="C14" t="s">
        <v>20</v>
      </c>
    </row>
    <row r="15" spans="1:3" x14ac:dyDescent="0.25">
      <c r="A15" t="s">
        <v>39</v>
      </c>
      <c r="B15">
        <v>98.213999999999999</v>
      </c>
      <c r="C15" t="s">
        <v>20</v>
      </c>
    </row>
    <row r="16" spans="1:3" x14ac:dyDescent="0.25">
      <c r="A16" t="s">
        <v>31</v>
      </c>
      <c r="B16">
        <v>104.748</v>
      </c>
      <c r="C16" t="s">
        <v>20</v>
      </c>
    </row>
    <row r="17" spans="1:3" x14ac:dyDescent="0.25">
      <c r="A17" t="s">
        <v>32</v>
      </c>
      <c r="B17">
        <v>104.786</v>
      </c>
      <c r="C17" t="s">
        <v>20</v>
      </c>
    </row>
    <row r="18" spans="1:3" x14ac:dyDescent="0.25">
      <c r="A18" t="s">
        <v>33</v>
      </c>
      <c r="B18">
        <v>116.452</v>
      </c>
      <c r="C18" t="s">
        <v>20</v>
      </c>
    </row>
    <row r="19" spans="1:3" x14ac:dyDescent="0.25">
      <c r="A19" t="s">
        <v>40</v>
      </c>
      <c r="B19">
        <v>121.26600000000001</v>
      </c>
      <c r="C19" t="s">
        <v>20</v>
      </c>
    </row>
    <row r="20" spans="1:3" x14ac:dyDescent="0.2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2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2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2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2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2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2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2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2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2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2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2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2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2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2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2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2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2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2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2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2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2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2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2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2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2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2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2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2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2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2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2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2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2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2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2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2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2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2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2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2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2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2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2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2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2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2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2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2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2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2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2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2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5" x14ac:dyDescent="0.25"/>
  <cols>
    <col min="1" max="1" width="12" bestFit="1" customWidth="1"/>
  </cols>
  <sheetData>
    <row r="1" spans="1:3" x14ac:dyDescent="0.25">
      <c r="A1" t="s">
        <v>42</v>
      </c>
      <c r="B1" t="s">
        <v>3</v>
      </c>
      <c r="C1" t="s">
        <v>46</v>
      </c>
    </row>
    <row r="2" spans="1:3" x14ac:dyDescent="0.25">
      <c r="A2" t="s">
        <v>44</v>
      </c>
      <c r="B2">
        <v>1999</v>
      </c>
      <c r="C2">
        <v>0</v>
      </c>
    </row>
    <row r="3" spans="1:3" x14ac:dyDescent="0.25">
      <c r="A3" t="s">
        <v>44</v>
      </c>
      <c r="B3">
        <v>2000</v>
      </c>
      <c r="C3">
        <v>-2.2352609999999998E-2</v>
      </c>
    </row>
    <row r="4" spans="1:3" x14ac:dyDescent="0.25">
      <c r="A4" t="s">
        <v>44</v>
      </c>
      <c r="B4">
        <v>2001</v>
      </c>
      <c r="C4">
        <v>0.92864237000000005</v>
      </c>
    </row>
    <row r="5" spans="1:3" x14ac:dyDescent="0.25">
      <c r="A5" t="s">
        <v>44</v>
      </c>
      <c r="B5">
        <v>2002</v>
      </c>
      <c r="C5">
        <v>0.74572247000000003</v>
      </c>
    </row>
    <row r="6" spans="1:3" x14ac:dyDescent="0.25">
      <c r="A6" t="s">
        <v>44</v>
      </c>
      <c r="B6">
        <v>2003</v>
      </c>
      <c r="C6">
        <v>0.11653626</v>
      </c>
    </row>
    <row r="7" spans="1:3" x14ac:dyDescent="0.25">
      <c r="A7" t="s">
        <v>44</v>
      </c>
      <c r="B7">
        <v>2004</v>
      </c>
      <c r="C7">
        <v>0.33220907</v>
      </c>
    </row>
    <row r="8" spans="1:3" x14ac:dyDescent="0.25">
      <c r="A8" t="s">
        <v>44</v>
      </c>
      <c r="B8">
        <v>2005</v>
      </c>
      <c r="C8">
        <v>0.30841805999999999</v>
      </c>
    </row>
    <row r="9" spans="1:3" x14ac:dyDescent="0.25">
      <c r="A9" t="s">
        <v>44</v>
      </c>
      <c r="B9">
        <v>2006</v>
      </c>
      <c r="C9">
        <v>-0.16800482999999999</v>
      </c>
    </row>
    <row r="10" spans="1:3" x14ac:dyDescent="0.25">
      <c r="A10" t="s">
        <v>44</v>
      </c>
      <c r="B10">
        <v>2007</v>
      </c>
      <c r="C10">
        <v>-0.32360629000000002</v>
      </c>
    </row>
    <row r="11" spans="1:3" x14ac:dyDescent="0.25">
      <c r="A11" t="s">
        <v>44</v>
      </c>
      <c r="B11">
        <v>2008</v>
      </c>
      <c r="C11">
        <v>-0.43853409999999998</v>
      </c>
    </row>
    <row r="12" spans="1:3" x14ac:dyDescent="0.25">
      <c r="A12" t="s">
        <v>44</v>
      </c>
      <c r="B12">
        <v>2009</v>
      </c>
      <c r="C12">
        <v>1.2859557800000001</v>
      </c>
    </row>
    <row r="13" spans="1:3" x14ac:dyDescent="0.25">
      <c r="A13" t="s">
        <v>44</v>
      </c>
      <c r="B13">
        <v>2010</v>
      </c>
      <c r="C13">
        <v>1.0966252599999999</v>
      </c>
    </row>
    <row r="14" spans="1:3" x14ac:dyDescent="0.25">
      <c r="A14" t="s">
        <v>44</v>
      </c>
      <c r="B14">
        <v>2011</v>
      </c>
      <c r="C14">
        <v>0.76855994000000005</v>
      </c>
    </row>
    <row r="15" spans="1:3" x14ac:dyDescent="0.25">
      <c r="A15" t="s">
        <v>44</v>
      </c>
      <c r="B15">
        <v>2012</v>
      </c>
      <c r="C15">
        <v>1.30929392</v>
      </c>
    </row>
    <row r="16" spans="1:3" x14ac:dyDescent="0.25">
      <c r="A16" t="s">
        <v>44</v>
      </c>
      <c r="B16">
        <v>2013</v>
      </c>
      <c r="C16">
        <v>0.86562733000000003</v>
      </c>
    </row>
    <row r="17" spans="1:3" x14ac:dyDescent="0.25">
      <c r="A17" t="s">
        <v>44</v>
      </c>
      <c r="B17">
        <v>2014</v>
      </c>
      <c r="C17">
        <v>1.3687843</v>
      </c>
    </row>
    <row r="18" spans="1:3" x14ac:dyDescent="0.25">
      <c r="A18" t="s">
        <v>44</v>
      </c>
      <c r="B18">
        <v>2015</v>
      </c>
      <c r="C18">
        <v>1.3962114400000001</v>
      </c>
    </row>
    <row r="19" spans="1:3" x14ac:dyDescent="0.25">
      <c r="A19" t="s">
        <v>44</v>
      </c>
      <c r="B19">
        <v>2016</v>
      </c>
      <c r="C19">
        <v>1.6913871899999999</v>
      </c>
    </row>
    <row r="20" spans="1:3" x14ac:dyDescent="0.25">
      <c r="A20" t="s">
        <v>44</v>
      </c>
      <c r="B20">
        <v>2017</v>
      </c>
      <c r="C20">
        <v>0.85791691000000003</v>
      </c>
    </row>
    <row r="21" spans="1:3" x14ac:dyDescent="0.25">
      <c r="A21" t="s">
        <v>44</v>
      </c>
      <c r="B21">
        <v>2018</v>
      </c>
      <c r="C21">
        <v>0.70898106000000005</v>
      </c>
    </row>
    <row r="22" spans="1:3" x14ac:dyDescent="0.25">
      <c r="A22" t="s">
        <v>44</v>
      </c>
      <c r="B22">
        <v>2019</v>
      </c>
      <c r="C22">
        <v>0.50823715000000003</v>
      </c>
    </row>
    <row r="23" spans="1:3" x14ac:dyDescent="0.25">
      <c r="A23" t="s">
        <v>44</v>
      </c>
      <c r="B23">
        <v>2020</v>
      </c>
      <c r="C23">
        <v>4.5168512600000001</v>
      </c>
    </row>
    <row r="24" spans="1:3" x14ac:dyDescent="0.25">
      <c r="A24" t="s">
        <v>44</v>
      </c>
      <c r="B24">
        <v>2021</v>
      </c>
      <c r="C24">
        <v>6.4907211699999996</v>
      </c>
    </row>
    <row r="25" spans="1:3" x14ac:dyDescent="0.25">
      <c r="A25" t="s">
        <v>44</v>
      </c>
      <c r="B25">
        <v>2022</v>
      </c>
      <c r="C25">
        <v>1.71296402</v>
      </c>
    </row>
    <row r="26" spans="1:3" x14ac:dyDescent="0.25">
      <c r="A26" t="s">
        <v>44</v>
      </c>
      <c r="B26">
        <v>2023</v>
      </c>
      <c r="C26">
        <v>0.51377680000000003</v>
      </c>
    </row>
    <row r="27" spans="1:3" x14ac:dyDescent="0.25">
      <c r="A27" t="s">
        <v>45</v>
      </c>
      <c r="B27">
        <v>1999</v>
      </c>
      <c r="C27">
        <v>0</v>
      </c>
    </row>
    <row r="28" spans="1:3" x14ac:dyDescent="0.25">
      <c r="A28" t="s">
        <v>45</v>
      </c>
      <c r="B28">
        <v>2000</v>
      </c>
      <c r="C28">
        <v>-0.50758828</v>
      </c>
    </row>
    <row r="29" spans="1:3" x14ac:dyDescent="0.25">
      <c r="A29" t="s">
        <v>45</v>
      </c>
      <c r="B29">
        <v>2001</v>
      </c>
      <c r="C29">
        <v>-0.34518788</v>
      </c>
    </row>
    <row r="30" spans="1:3" x14ac:dyDescent="0.25">
      <c r="A30" t="s">
        <v>45</v>
      </c>
      <c r="B30">
        <v>2002</v>
      </c>
      <c r="C30">
        <v>-0.63463170000000002</v>
      </c>
    </row>
    <row r="31" spans="1:3" x14ac:dyDescent="0.25">
      <c r="A31" t="s">
        <v>45</v>
      </c>
      <c r="B31">
        <v>2003</v>
      </c>
      <c r="C31">
        <v>-0.93209268999999995</v>
      </c>
    </row>
    <row r="32" spans="1:3" x14ac:dyDescent="0.25">
      <c r="A32" t="s">
        <v>45</v>
      </c>
      <c r="B32">
        <v>2004</v>
      </c>
      <c r="C32">
        <v>-1.04983618</v>
      </c>
    </row>
    <row r="33" spans="1:3" x14ac:dyDescent="0.25">
      <c r="A33" t="s">
        <v>45</v>
      </c>
      <c r="B33">
        <v>2005</v>
      </c>
      <c r="C33">
        <v>-1.0341715499999999</v>
      </c>
    </row>
    <row r="34" spans="1:3" x14ac:dyDescent="0.25">
      <c r="A34" t="s">
        <v>45</v>
      </c>
      <c r="B34">
        <v>2006</v>
      </c>
      <c r="C34">
        <v>-0.90302044000000004</v>
      </c>
    </row>
    <row r="35" spans="1:3" x14ac:dyDescent="0.25">
      <c r="A35" t="s">
        <v>45</v>
      </c>
      <c r="B35">
        <v>2007</v>
      </c>
      <c r="C35">
        <v>-0.90759424</v>
      </c>
    </row>
    <row r="36" spans="1:3" x14ac:dyDescent="0.25">
      <c r="A36" t="s">
        <v>45</v>
      </c>
      <c r="B36">
        <v>2008</v>
      </c>
      <c r="C36">
        <v>-0.83763021000000004</v>
      </c>
    </row>
    <row r="37" spans="1:3" x14ac:dyDescent="0.25">
      <c r="A37" t="s">
        <v>45</v>
      </c>
      <c r="B37">
        <v>2009</v>
      </c>
      <c r="C37">
        <v>-0.22800112</v>
      </c>
    </row>
    <row r="38" spans="1:3" x14ac:dyDescent="0.25">
      <c r="A38" t="s">
        <v>45</v>
      </c>
      <c r="B38">
        <v>2010</v>
      </c>
      <c r="C38">
        <v>1.2858175300000001</v>
      </c>
    </row>
    <row r="39" spans="1:3" x14ac:dyDescent="0.25">
      <c r="A39" t="s">
        <v>45</v>
      </c>
      <c r="B39">
        <v>2011</v>
      </c>
      <c r="C39">
        <v>0.20797085000000001</v>
      </c>
    </row>
    <row r="40" spans="1:3" x14ac:dyDescent="0.25">
      <c r="A40" t="s">
        <v>45</v>
      </c>
      <c r="B40">
        <v>2012</v>
      </c>
      <c r="C40">
        <v>-4.8275449999999998E-2</v>
      </c>
    </row>
    <row r="41" spans="1:3" x14ac:dyDescent="0.25">
      <c r="A41" t="s">
        <v>45</v>
      </c>
      <c r="B41">
        <v>2013</v>
      </c>
      <c r="C41">
        <v>-0.48329840000000002</v>
      </c>
    </row>
    <row r="42" spans="1:3" x14ac:dyDescent="0.25">
      <c r="A42" t="s">
        <v>45</v>
      </c>
      <c r="B42">
        <v>2014</v>
      </c>
      <c r="C42">
        <v>-0.71402493</v>
      </c>
    </row>
    <row r="43" spans="1:3" x14ac:dyDescent="0.25">
      <c r="A43" t="s">
        <v>45</v>
      </c>
      <c r="B43">
        <v>2015</v>
      </c>
      <c r="C43">
        <v>-0.58464722000000002</v>
      </c>
    </row>
    <row r="44" spans="1:3" x14ac:dyDescent="0.25">
      <c r="A44" t="s">
        <v>45</v>
      </c>
      <c r="B44">
        <v>2016</v>
      </c>
      <c r="C44">
        <v>-0.12797776999999999</v>
      </c>
    </row>
    <row r="45" spans="1:3" x14ac:dyDescent="0.25">
      <c r="A45" t="s">
        <v>45</v>
      </c>
      <c r="B45">
        <v>2017</v>
      </c>
      <c r="C45">
        <v>3.62501E-2</v>
      </c>
    </row>
    <row r="46" spans="1:3" x14ac:dyDescent="0.25">
      <c r="A46" t="s">
        <v>45</v>
      </c>
      <c r="B46">
        <v>2018</v>
      </c>
      <c r="C46">
        <v>0.34901164000000001</v>
      </c>
    </row>
    <row r="47" spans="1:3" x14ac:dyDescent="0.25">
      <c r="A47" t="s">
        <v>45</v>
      </c>
      <c r="B47">
        <v>2019</v>
      </c>
      <c r="C47">
        <v>0.35210721</v>
      </c>
    </row>
    <row r="48" spans="1:3" x14ac:dyDescent="0.25">
      <c r="A48" t="s">
        <v>45</v>
      </c>
      <c r="B48">
        <v>2020</v>
      </c>
      <c r="C48">
        <v>1.23928379</v>
      </c>
    </row>
    <row r="49" spans="1:3" x14ac:dyDescent="0.25">
      <c r="A49" t="s">
        <v>45</v>
      </c>
      <c r="B49">
        <v>2021</v>
      </c>
      <c r="C49">
        <v>1.6887804900000001</v>
      </c>
    </row>
    <row r="50" spans="1:3" x14ac:dyDescent="0.25">
      <c r="A50" t="s">
        <v>45</v>
      </c>
      <c r="B50">
        <v>2022</v>
      </c>
      <c r="C50">
        <v>1.98339398</v>
      </c>
    </row>
    <row r="51" spans="1:3" x14ac:dyDescent="0.2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5" x14ac:dyDescent="0.25"/>
  <cols>
    <col min="2" max="2" width="11.85546875" bestFit="1" customWidth="1"/>
  </cols>
  <sheetData>
    <row r="1" spans="1:2" x14ac:dyDescent="0.25">
      <c r="A1" t="s">
        <v>3</v>
      </c>
      <c r="B1" t="s">
        <v>4</v>
      </c>
    </row>
    <row r="2" spans="1:2" x14ac:dyDescent="0.25">
      <c r="A2">
        <v>2001</v>
      </c>
      <c r="B2">
        <v>0.61436919013262092</v>
      </c>
    </row>
    <row r="3" spans="1:2" x14ac:dyDescent="0.25">
      <c r="A3">
        <v>2002</v>
      </c>
      <c r="B3">
        <v>0.61942110177404297</v>
      </c>
    </row>
    <row r="4" spans="1:2" x14ac:dyDescent="0.25">
      <c r="A4">
        <v>2003</v>
      </c>
      <c r="B4">
        <v>0.59433655883025915</v>
      </c>
    </row>
    <row r="5" spans="1:2" x14ac:dyDescent="0.25">
      <c r="A5">
        <v>2004</v>
      </c>
      <c r="B5">
        <v>0.59471442872596125</v>
      </c>
    </row>
    <row r="6" spans="1:2" x14ac:dyDescent="0.25">
      <c r="A6">
        <v>2005</v>
      </c>
      <c r="B6">
        <v>0.59518369726469311</v>
      </c>
    </row>
    <row r="7" spans="1:2" x14ac:dyDescent="0.25">
      <c r="A7">
        <v>2006</v>
      </c>
      <c r="B7">
        <v>0.5863913923062386</v>
      </c>
    </row>
    <row r="8" spans="1:2" x14ac:dyDescent="0.25">
      <c r="A8">
        <v>2007</v>
      </c>
      <c r="B8">
        <v>0.60828969688030088</v>
      </c>
    </row>
    <row r="9" spans="1:2" x14ac:dyDescent="0.25">
      <c r="A9">
        <v>2008</v>
      </c>
      <c r="B9">
        <v>0.57095352564102564</v>
      </c>
    </row>
    <row r="10" spans="1:2" x14ac:dyDescent="0.25">
      <c r="A10">
        <v>2009</v>
      </c>
      <c r="B10">
        <v>0.50579277606749229</v>
      </c>
    </row>
    <row r="11" spans="1:2" x14ac:dyDescent="0.25">
      <c r="A11">
        <v>2010</v>
      </c>
      <c r="B11">
        <v>0.45913117598709247</v>
      </c>
    </row>
    <row r="12" spans="1:2" x14ac:dyDescent="0.25">
      <c r="A12">
        <v>2011</v>
      </c>
      <c r="B12">
        <v>0.49556881124840224</v>
      </c>
    </row>
    <row r="13" spans="1:2" x14ac:dyDescent="0.25">
      <c r="A13">
        <v>2012</v>
      </c>
      <c r="B13">
        <v>0.48581471775032237</v>
      </c>
    </row>
    <row r="14" spans="1:2" x14ac:dyDescent="0.25">
      <c r="A14">
        <v>2013</v>
      </c>
      <c r="B14">
        <v>0.53215668363130197</v>
      </c>
    </row>
    <row r="15" spans="1:2" x14ac:dyDescent="0.25">
      <c r="A15">
        <v>2014</v>
      </c>
      <c r="B15">
        <v>0.53207952164358363</v>
      </c>
    </row>
    <row r="16" spans="1:2" x14ac:dyDescent="0.25">
      <c r="A16">
        <v>2015</v>
      </c>
      <c r="B16">
        <v>0.54251386321626616</v>
      </c>
    </row>
    <row r="17" spans="1:2" x14ac:dyDescent="0.25">
      <c r="A17">
        <v>2016</v>
      </c>
      <c r="B17">
        <v>0.53825535611956299</v>
      </c>
    </row>
    <row r="18" spans="1:2" x14ac:dyDescent="0.25">
      <c r="A18">
        <v>2017</v>
      </c>
      <c r="B18">
        <v>0.51789615480929474</v>
      </c>
    </row>
    <row r="19" spans="1:2" x14ac:dyDescent="0.25">
      <c r="A19">
        <v>2018</v>
      </c>
      <c r="B19">
        <v>0.52672759496565635</v>
      </c>
    </row>
    <row r="20" spans="1:2" x14ac:dyDescent="0.25">
      <c r="A20">
        <v>2019</v>
      </c>
      <c r="B20">
        <v>0.52446798537545702</v>
      </c>
    </row>
    <row r="21" spans="1:2" x14ac:dyDescent="0.25">
      <c r="A21">
        <v>2020</v>
      </c>
      <c r="B21">
        <v>0.47136822074215035</v>
      </c>
    </row>
    <row r="22" spans="1:2" x14ac:dyDescent="0.25">
      <c r="A22">
        <v>2021</v>
      </c>
      <c r="B22">
        <v>0.50353454872201664</v>
      </c>
    </row>
    <row r="23" spans="1:2" x14ac:dyDescent="0.25">
      <c r="A23">
        <v>2022</v>
      </c>
      <c r="B23">
        <v>0.45934617601844735</v>
      </c>
    </row>
    <row r="24" spans="1:2" x14ac:dyDescent="0.25">
      <c r="A24">
        <v>2023</v>
      </c>
      <c r="B24">
        <v>0.52137445727181719</v>
      </c>
    </row>
    <row r="25" spans="1:2" x14ac:dyDescent="0.25">
      <c r="A25">
        <v>2024</v>
      </c>
      <c r="B25">
        <v>0.52312122313598985</v>
      </c>
    </row>
    <row r="26" spans="1:2" x14ac:dyDescent="0.2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5" x14ac:dyDescent="0.25"/>
  <sheetData>
    <row r="1" spans="1:5" x14ac:dyDescent="0.2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2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2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2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2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2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2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2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2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2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2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2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2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2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2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2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2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2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2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2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2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2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2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2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2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2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2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2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2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2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2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2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2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2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2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2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2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2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2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2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2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2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2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2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2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5" x14ac:dyDescent="0.25"/>
  <cols>
    <col min="1" max="1" width="13.5703125" bestFit="1" customWidth="1"/>
    <col min="2" max="2" width="11.5703125" bestFit="1" customWidth="1"/>
  </cols>
  <sheetData>
    <row r="1" spans="1:6" x14ac:dyDescent="0.2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2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2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2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2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2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2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2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2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2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2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2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2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2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2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2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2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2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2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2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2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2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2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2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2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2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2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2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2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2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2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2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2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2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2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2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2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2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2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5" x14ac:dyDescent="0.25"/>
  <cols>
    <col min="1" max="1" width="13.5703125" bestFit="1" customWidth="1"/>
  </cols>
  <sheetData>
    <row r="1" spans="1:3" x14ac:dyDescent="0.25">
      <c r="A1" t="s">
        <v>178</v>
      </c>
      <c r="B1" t="s">
        <v>47</v>
      </c>
      <c r="C1" t="s">
        <v>13</v>
      </c>
    </row>
    <row r="2" spans="1:3" x14ac:dyDescent="0.25">
      <c r="A2" t="s">
        <v>8</v>
      </c>
      <c r="B2" t="s">
        <v>44</v>
      </c>
      <c r="C2">
        <v>20.210257899999998</v>
      </c>
    </row>
    <row r="3" spans="1:3" x14ac:dyDescent="0.25">
      <c r="A3" t="s">
        <v>8</v>
      </c>
      <c r="B3" t="s">
        <v>45</v>
      </c>
      <c r="C3">
        <v>15.895459900000001</v>
      </c>
    </row>
    <row r="4" spans="1:3" x14ac:dyDescent="0.25">
      <c r="A4" t="s">
        <v>30</v>
      </c>
      <c r="B4" t="s">
        <v>44</v>
      </c>
      <c r="C4">
        <v>44.6685813</v>
      </c>
    </row>
    <row r="5" spans="1:3" x14ac:dyDescent="0.25">
      <c r="A5" t="s">
        <v>30</v>
      </c>
      <c r="B5" t="s">
        <v>45</v>
      </c>
      <c r="C5">
        <v>5.0706880999999999</v>
      </c>
    </row>
    <row r="6" spans="1:3" x14ac:dyDescent="0.25">
      <c r="A6" t="s">
        <v>32</v>
      </c>
      <c r="B6" t="s">
        <v>44</v>
      </c>
      <c r="C6">
        <v>37.316349600000002</v>
      </c>
    </row>
    <row r="7" spans="1:3" x14ac:dyDescent="0.25">
      <c r="A7" t="s">
        <v>32</v>
      </c>
      <c r="B7" t="s">
        <v>45</v>
      </c>
      <c r="C7">
        <v>11.3512956</v>
      </c>
    </row>
    <row r="8" spans="1:3" x14ac:dyDescent="0.25">
      <c r="A8" t="s">
        <v>22</v>
      </c>
      <c r="B8" t="s">
        <v>44</v>
      </c>
      <c r="C8">
        <v>35.340311100000001</v>
      </c>
    </row>
    <row r="9" spans="1:3" x14ac:dyDescent="0.25">
      <c r="A9" t="s">
        <v>22</v>
      </c>
      <c r="B9" t="s">
        <v>45</v>
      </c>
      <c r="C9">
        <v>12.9975167</v>
      </c>
    </row>
    <row r="10" spans="1:3" x14ac:dyDescent="0.25">
      <c r="A10" t="s">
        <v>29</v>
      </c>
      <c r="B10" t="s">
        <v>44</v>
      </c>
      <c r="C10">
        <v>38.239615200000003</v>
      </c>
    </row>
    <row r="11" spans="1:3" x14ac:dyDescent="0.25">
      <c r="A11" t="s">
        <v>29</v>
      </c>
      <c r="B11" t="s">
        <v>45</v>
      </c>
      <c r="C11">
        <v>14.221353799999999</v>
      </c>
    </row>
    <row r="12" spans="1:3" x14ac:dyDescent="0.25">
      <c r="A12" t="s">
        <v>33</v>
      </c>
      <c r="B12" t="s">
        <v>44</v>
      </c>
      <c r="C12">
        <v>45.019437500000002</v>
      </c>
    </row>
    <row r="13" spans="1:3" x14ac:dyDescent="0.25">
      <c r="A13" t="s">
        <v>33</v>
      </c>
      <c r="B13" t="s">
        <v>45</v>
      </c>
      <c r="C13">
        <v>8.6500178000000005</v>
      </c>
    </row>
    <row r="14" spans="1:3" x14ac:dyDescent="0.25">
      <c r="A14" t="s">
        <v>34</v>
      </c>
      <c r="B14" t="s">
        <v>44</v>
      </c>
      <c r="C14">
        <v>49.150802499999998</v>
      </c>
    </row>
    <row r="15" spans="1:3" x14ac:dyDescent="0.25">
      <c r="A15" t="s">
        <v>34</v>
      </c>
      <c r="B15" t="s">
        <v>45</v>
      </c>
      <c r="C15">
        <v>1.4356218000000001</v>
      </c>
    </row>
    <row r="16" spans="1:3" x14ac:dyDescent="0.25">
      <c r="A16" t="s">
        <v>25</v>
      </c>
      <c r="B16" t="s">
        <v>44</v>
      </c>
      <c r="C16">
        <v>21.510539099999999</v>
      </c>
    </row>
    <row r="17" spans="1:3" x14ac:dyDescent="0.25">
      <c r="A17" t="s">
        <v>25</v>
      </c>
      <c r="B17" t="s">
        <v>45</v>
      </c>
      <c r="C17">
        <v>0.75602469999999999</v>
      </c>
    </row>
    <row r="18" spans="1:3" x14ac:dyDescent="0.25">
      <c r="A18" t="s">
        <v>28</v>
      </c>
      <c r="B18" t="s">
        <v>44</v>
      </c>
      <c r="C18">
        <v>35.620744700000003</v>
      </c>
    </row>
    <row r="19" spans="1:3" x14ac:dyDescent="0.25">
      <c r="A19" t="s">
        <v>28</v>
      </c>
      <c r="B19" t="s">
        <v>45</v>
      </c>
      <c r="C19">
        <v>3.1778857999999999</v>
      </c>
    </row>
    <row r="20" spans="1:3" x14ac:dyDescent="0.25">
      <c r="A20" t="s">
        <v>21</v>
      </c>
      <c r="B20" t="s">
        <v>44</v>
      </c>
      <c r="C20">
        <v>34.513586599999996</v>
      </c>
    </row>
    <row r="21" spans="1:3" x14ac:dyDescent="0.25">
      <c r="A21" t="s">
        <v>21</v>
      </c>
      <c r="B21" t="s">
        <v>45</v>
      </c>
      <c r="C21">
        <v>1.0268998</v>
      </c>
    </row>
    <row r="22" spans="1:3" x14ac:dyDescent="0.25">
      <c r="A22" t="s">
        <v>19</v>
      </c>
      <c r="B22" t="s">
        <v>44</v>
      </c>
      <c r="C22">
        <v>41.896438799999999</v>
      </c>
    </row>
    <row r="23" spans="1:3" x14ac:dyDescent="0.25">
      <c r="A23" t="s">
        <v>19</v>
      </c>
      <c r="B23" t="s">
        <v>45</v>
      </c>
      <c r="C23">
        <v>2.1330857000000001</v>
      </c>
    </row>
    <row r="24" spans="1:3" x14ac:dyDescent="0.25">
      <c r="A24" t="s">
        <v>26</v>
      </c>
      <c r="B24" t="s">
        <v>44</v>
      </c>
      <c r="C24">
        <v>39.995874499999999</v>
      </c>
    </row>
    <row r="25" spans="1:3" x14ac:dyDescent="0.25">
      <c r="A25" t="s">
        <v>26</v>
      </c>
      <c r="B25" t="s">
        <v>45</v>
      </c>
      <c r="C25">
        <v>3.2851018999999999</v>
      </c>
    </row>
    <row r="26" spans="1:3" x14ac:dyDescent="0.25">
      <c r="A26" t="s">
        <v>27</v>
      </c>
      <c r="B26" t="s">
        <v>44</v>
      </c>
      <c r="C26">
        <v>57.057456000000002</v>
      </c>
    </row>
    <row r="27" spans="1:3" x14ac:dyDescent="0.25">
      <c r="A27" t="s">
        <v>27</v>
      </c>
      <c r="B27" t="s">
        <v>45</v>
      </c>
      <c r="C27">
        <v>6.8354591999999998</v>
      </c>
    </row>
    <row r="28" spans="1:3" x14ac:dyDescent="0.25">
      <c r="A28" t="s">
        <v>31</v>
      </c>
      <c r="B28" t="s">
        <v>44</v>
      </c>
      <c r="C28">
        <v>39.4816164</v>
      </c>
    </row>
    <row r="29" spans="1:3" x14ac:dyDescent="0.25">
      <c r="A29" t="s">
        <v>31</v>
      </c>
      <c r="B29" t="s">
        <v>45</v>
      </c>
      <c r="C29">
        <v>4.2234068000000002</v>
      </c>
    </row>
    <row r="30" spans="1:3" x14ac:dyDescent="0.25">
      <c r="A30" t="s">
        <v>38</v>
      </c>
      <c r="B30" t="s">
        <v>44</v>
      </c>
      <c r="C30">
        <v>39.583674500000001</v>
      </c>
    </row>
    <row r="31" spans="1:3" x14ac:dyDescent="0.25">
      <c r="A31" t="s">
        <v>38</v>
      </c>
      <c r="B31" t="s">
        <v>45</v>
      </c>
      <c r="C31">
        <v>1.7472296</v>
      </c>
    </row>
    <row r="32" spans="1:3" x14ac:dyDescent="0.25">
      <c r="A32" t="s">
        <v>24</v>
      </c>
      <c r="B32" t="s">
        <v>44</v>
      </c>
      <c r="C32">
        <v>34.678837600000001</v>
      </c>
    </row>
    <row r="33" spans="1:3" x14ac:dyDescent="0.25">
      <c r="A33" t="s">
        <v>24</v>
      </c>
      <c r="B33" t="s">
        <v>45</v>
      </c>
      <c r="C33">
        <v>15.250346499999999</v>
      </c>
    </row>
    <row r="34" spans="1:3" x14ac:dyDescent="0.25">
      <c r="A34" t="s">
        <v>23</v>
      </c>
      <c r="B34" t="s">
        <v>44</v>
      </c>
      <c r="C34">
        <v>17.204347599999998</v>
      </c>
    </row>
    <row r="35" spans="1:3" x14ac:dyDescent="0.25">
      <c r="A35" t="s">
        <v>23</v>
      </c>
      <c r="B35" t="s">
        <v>45</v>
      </c>
      <c r="C35">
        <v>16.830545600000001</v>
      </c>
    </row>
    <row r="36" spans="1:3" x14ac:dyDescent="0.25">
      <c r="A36" t="s">
        <v>39</v>
      </c>
      <c r="B36" t="s">
        <v>44</v>
      </c>
      <c r="C36">
        <v>38.6426607</v>
      </c>
    </row>
    <row r="37" spans="1:3" x14ac:dyDescent="0.25">
      <c r="A37" t="s">
        <v>39</v>
      </c>
      <c r="B37" t="s">
        <v>45</v>
      </c>
      <c r="C37">
        <v>3.4169982000000001</v>
      </c>
    </row>
    <row r="38" spans="1:3" x14ac:dyDescent="0.25">
      <c r="A38" t="s">
        <v>40</v>
      </c>
      <c r="B38" t="s">
        <v>44</v>
      </c>
      <c r="C38">
        <v>19.522411099999999</v>
      </c>
    </row>
    <row r="39" spans="1:3" x14ac:dyDescent="0.2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5" x14ac:dyDescent="0.25"/>
  <sheetData>
    <row r="1" spans="1:3" x14ac:dyDescent="0.25">
      <c r="A1" t="s">
        <v>5</v>
      </c>
      <c r="B1" t="s">
        <v>6</v>
      </c>
      <c r="C1" t="s">
        <v>7</v>
      </c>
    </row>
    <row r="2" spans="1:3" x14ac:dyDescent="0.25">
      <c r="A2">
        <v>1999</v>
      </c>
      <c r="B2">
        <v>1</v>
      </c>
      <c r="C2" t="s">
        <v>8</v>
      </c>
    </row>
    <row r="3" spans="1:3" x14ac:dyDescent="0.25">
      <c r="A3">
        <v>2000</v>
      </c>
      <c r="B3">
        <v>1.0081986000000001</v>
      </c>
      <c r="C3" t="s">
        <v>8</v>
      </c>
    </row>
    <row r="4" spans="1:3" x14ac:dyDescent="0.25">
      <c r="A4">
        <v>2001</v>
      </c>
      <c r="B4">
        <v>1.0172063</v>
      </c>
      <c r="C4" t="s">
        <v>8</v>
      </c>
    </row>
    <row r="5" spans="1:3" x14ac:dyDescent="0.25">
      <c r="A5">
        <v>2002</v>
      </c>
      <c r="B5">
        <v>0.99754759999999998</v>
      </c>
      <c r="C5" t="s">
        <v>8</v>
      </c>
    </row>
    <row r="6" spans="1:3" x14ac:dyDescent="0.25">
      <c r="A6">
        <v>2003</v>
      </c>
      <c r="B6">
        <v>0.98590259999999996</v>
      </c>
      <c r="C6" t="s">
        <v>8</v>
      </c>
    </row>
    <row r="7" spans="1:3" x14ac:dyDescent="0.25">
      <c r="A7">
        <v>2004</v>
      </c>
      <c r="B7">
        <v>0.9871645</v>
      </c>
      <c r="C7" t="s">
        <v>8</v>
      </c>
    </row>
    <row r="8" spans="1:3" x14ac:dyDescent="0.25">
      <c r="A8">
        <v>2005</v>
      </c>
      <c r="B8">
        <v>0.98219860000000003</v>
      </c>
      <c r="C8" t="s">
        <v>8</v>
      </c>
    </row>
    <row r="9" spans="1:3" x14ac:dyDescent="0.25">
      <c r="A9">
        <v>2006</v>
      </c>
      <c r="B9">
        <v>0.97509610000000002</v>
      </c>
      <c r="C9" t="s">
        <v>8</v>
      </c>
    </row>
    <row r="10" spans="1:3" x14ac:dyDescent="0.25">
      <c r="A10">
        <v>2007</v>
      </c>
      <c r="B10">
        <v>0.97221349999999995</v>
      </c>
      <c r="C10" t="s">
        <v>8</v>
      </c>
    </row>
    <row r="11" spans="1:3" x14ac:dyDescent="0.25">
      <c r="A11">
        <v>2008</v>
      </c>
      <c r="B11">
        <v>1.0043804000000001</v>
      </c>
      <c r="C11" t="s">
        <v>8</v>
      </c>
    </row>
    <row r="12" spans="1:3" x14ac:dyDescent="0.25">
      <c r="A12">
        <v>2009</v>
      </c>
      <c r="B12">
        <v>1.0557905999999999</v>
      </c>
      <c r="C12" t="s">
        <v>8</v>
      </c>
    </row>
    <row r="13" spans="1:3" x14ac:dyDescent="0.25">
      <c r="A13">
        <v>2010</v>
      </c>
      <c r="B13">
        <v>1.0546465</v>
      </c>
      <c r="C13" t="s">
        <v>8</v>
      </c>
    </row>
    <row r="14" spans="1:3" x14ac:dyDescent="0.25">
      <c r="A14">
        <v>2011</v>
      </c>
      <c r="B14">
        <v>1.0388884</v>
      </c>
      <c r="C14" t="s">
        <v>8</v>
      </c>
    </row>
    <row r="15" spans="1:3" x14ac:dyDescent="0.25">
      <c r="A15">
        <v>2012</v>
      </c>
      <c r="B15">
        <v>1.0305386999999999</v>
      </c>
      <c r="C15" t="s">
        <v>8</v>
      </c>
    </row>
    <row r="16" spans="1:3" x14ac:dyDescent="0.25">
      <c r="A16">
        <v>2013</v>
      </c>
      <c r="B16">
        <v>1.0220197</v>
      </c>
      <c r="C16" t="s">
        <v>8</v>
      </c>
    </row>
    <row r="17" spans="1:3" x14ac:dyDescent="0.25">
      <c r="A17">
        <v>2014</v>
      </c>
      <c r="B17">
        <v>1.0280511999999999</v>
      </c>
      <c r="C17" t="s">
        <v>8</v>
      </c>
    </row>
    <row r="18" spans="1:3" x14ac:dyDescent="0.25">
      <c r="A18">
        <v>2015</v>
      </c>
      <c r="B18">
        <v>1.0408194</v>
      </c>
      <c r="C18" t="s">
        <v>8</v>
      </c>
    </row>
    <row r="19" spans="1:3" x14ac:dyDescent="0.25">
      <c r="A19">
        <v>2016</v>
      </c>
      <c r="B19">
        <v>1.0419802</v>
      </c>
      <c r="C19" t="s">
        <v>8</v>
      </c>
    </row>
    <row r="20" spans="1:3" x14ac:dyDescent="0.25">
      <c r="A20">
        <v>2017</v>
      </c>
      <c r="B20">
        <v>1.0348781</v>
      </c>
      <c r="C20" t="s">
        <v>8</v>
      </c>
    </row>
    <row r="21" spans="1:3" x14ac:dyDescent="0.25">
      <c r="A21">
        <v>2018</v>
      </c>
      <c r="B21">
        <v>1.0344028999999999</v>
      </c>
      <c r="C21" t="s">
        <v>8</v>
      </c>
    </row>
    <row r="22" spans="1:3" x14ac:dyDescent="0.25">
      <c r="A22">
        <v>2019</v>
      </c>
      <c r="B22">
        <v>1.1004205</v>
      </c>
      <c r="C22" t="s">
        <v>8</v>
      </c>
    </row>
    <row r="23" spans="1:3" x14ac:dyDescent="0.25">
      <c r="A23">
        <v>2020</v>
      </c>
      <c r="B23">
        <v>1.2032681999999999</v>
      </c>
      <c r="C23" t="s">
        <v>8</v>
      </c>
    </row>
    <row r="24" spans="1:3" x14ac:dyDescent="0.25">
      <c r="A24">
        <v>2021</v>
      </c>
      <c r="B24">
        <v>1.1743245</v>
      </c>
      <c r="C24" t="s">
        <v>8</v>
      </c>
    </row>
    <row r="25" spans="1:3" x14ac:dyDescent="0.25">
      <c r="A25">
        <v>2022</v>
      </c>
      <c r="B25">
        <v>1.0789782000000001</v>
      </c>
      <c r="C25" t="s">
        <v>8</v>
      </c>
    </row>
    <row r="26" spans="1:3" x14ac:dyDescent="0.25">
      <c r="A26">
        <v>2023</v>
      </c>
      <c r="B26">
        <v>1.0651126</v>
      </c>
      <c r="C26" t="s">
        <v>8</v>
      </c>
    </row>
    <row r="27" spans="1:3" x14ac:dyDescent="0.25">
      <c r="A27">
        <v>1999</v>
      </c>
      <c r="B27">
        <v>1</v>
      </c>
      <c r="C27" t="s">
        <v>9</v>
      </c>
    </row>
    <row r="28" spans="1:3" x14ac:dyDescent="0.25">
      <c r="A28">
        <v>2000</v>
      </c>
      <c r="B28">
        <v>0.96281969999999995</v>
      </c>
      <c r="C28" t="s">
        <v>9</v>
      </c>
    </row>
    <row r="29" spans="1:3" x14ac:dyDescent="0.25">
      <c r="A29">
        <v>2001</v>
      </c>
      <c r="B29">
        <v>0.96906559999999997</v>
      </c>
      <c r="C29" t="s">
        <v>9</v>
      </c>
    </row>
    <row r="30" spans="1:3" x14ac:dyDescent="0.25">
      <c r="A30">
        <v>2002</v>
      </c>
      <c r="B30">
        <v>0.9922088</v>
      </c>
      <c r="C30" t="s">
        <v>9</v>
      </c>
    </row>
    <row r="31" spans="1:3" x14ac:dyDescent="0.25">
      <c r="A31">
        <v>2003</v>
      </c>
      <c r="B31">
        <v>0.98362400000000005</v>
      </c>
      <c r="C31" t="s">
        <v>9</v>
      </c>
    </row>
    <row r="32" spans="1:3" x14ac:dyDescent="0.25">
      <c r="A32">
        <v>2004</v>
      </c>
      <c r="B32">
        <v>0.97252019999999995</v>
      </c>
      <c r="C32" t="s">
        <v>9</v>
      </c>
    </row>
    <row r="33" spans="1:3" x14ac:dyDescent="0.25">
      <c r="A33">
        <v>2005</v>
      </c>
      <c r="B33">
        <v>0.96579280000000001</v>
      </c>
      <c r="C33" t="s">
        <v>9</v>
      </c>
    </row>
    <row r="34" spans="1:3" x14ac:dyDescent="0.25">
      <c r="A34">
        <v>2006</v>
      </c>
      <c r="B34">
        <v>0.94144680000000003</v>
      </c>
      <c r="C34" t="s">
        <v>9</v>
      </c>
    </row>
    <row r="35" spans="1:3" x14ac:dyDescent="0.25">
      <c r="A35">
        <v>2007</v>
      </c>
      <c r="B35">
        <v>0.925068</v>
      </c>
      <c r="C35" t="s">
        <v>9</v>
      </c>
    </row>
    <row r="36" spans="1:3" x14ac:dyDescent="0.25">
      <c r="A36">
        <v>2008</v>
      </c>
      <c r="B36">
        <v>0.94737689999999997</v>
      </c>
      <c r="C36" t="s">
        <v>9</v>
      </c>
    </row>
    <row r="37" spans="1:3" x14ac:dyDescent="0.25">
      <c r="A37">
        <v>2009</v>
      </c>
      <c r="B37">
        <v>1.0178986999999999</v>
      </c>
      <c r="C37" t="s">
        <v>9</v>
      </c>
    </row>
    <row r="38" spans="1:3" x14ac:dyDescent="0.25">
      <c r="A38">
        <v>2010</v>
      </c>
      <c r="B38">
        <v>1.0014924000000001</v>
      </c>
      <c r="C38" t="s">
        <v>9</v>
      </c>
    </row>
    <row r="39" spans="1:3" x14ac:dyDescent="0.25">
      <c r="A39">
        <v>2011</v>
      </c>
      <c r="B39">
        <v>0.99361949999999999</v>
      </c>
      <c r="C39" t="s">
        <v>9</v>
      </c>
    </row>
    <row r="40" spans="1:3" x14ac:dyDescent="0.25">
      <c r="A40">
        <v>2012</v>
      </c>
      <c r="B40">
        <v>1.0129865</v>
      </c>
      <c r="C40" t="s">
        <v>9</v>
      </c>
    </row>
    <row r="41" spans="1:3" x14ac:dyDescent="0.25">
      <c r="A41">
        <v>2013</v>
      </c>
      <c r="B41">
        <v>1.0165145</v>
      </c>
      <c r="C41" t="s">
        <v>9</v>
      </c>
    </row>
    <row r="42" spans="1:3" x14ac:dyDescent="0.25">
      <c r="A42">
        <v>2014</v>
      </c>
      <c r="B42">
        <v>1.0076723999999999</v>
      </c>
      <c r="C42" t="s">
        <v>9</v>
      </c>
    </row>
    <row r="43" spans="1:3" x14ac:dyDescent="0.25">
      <c r="A43">
        <v>2015</v>
      </c>
      <c r="B43">
        <v>0.98471010000000003</v>
      </c>
      <c r="C43" t="s">
        <v>9</v>
      </c>
    </row>
    <row r="44" spans="1:3" x14ac:dyDescent="0.25">
      <c r="A44">
        <v>2016</v>
      </c>
      <c r="B44">
        <v>0.97528369999999998</v>
      </c>
      <c r="C44" t="s">
        <v>9</v>
      </c>
    </row>
    <row r="45" spans="1:3" x14ac:dyDescent="0.25">
      <c r="A45">
        <v>2017</v>
      </c>
      <c r="B45">
        <v>0.96063810000000005</v>
      </c>
      <c r="C45" t="s">
        <v>9</v>
      </c>
    </row>
    <row r="46" spans="1:3" x14ac:dyDescent="0.25">
      <c r="A46">
        <v>2018</v>
      </c>
      <c r="B46">
        <v>0.96007200000000004</v>
      </c>
      <c r="C46" t="s">
        <v>9</v>
      </c>
    </row>
    <row r="47" spans="1:3" x14ac:dyDescent="0.25">
      <c r="A47">
        <v>2019</v>
      </c>
      <c r="B47">
        <v>0.94772140000000005</v>
      </c>
      <c r="C47" t="s">
        <v>9</v>
      </c>
    </row>
    <row r="48" spans="1:3" x14ac:dyDescent="0.25">
      <c r="A48">
        <v>2020</v>
      </c>
      <c r="B48">
        <v>1.0518616000000001</v>
      </c>
      <c r="C48" t="s">
        <v>9</v>
      </c>
    </row>
    <row r="49" spans="1:3" x14ac:dyDescent="0.25">
      <c r="A49">
        <v>2021</v>
      </c>
      <c r="B49">
        <v>0.99712840000000003</v>
      </c>
      <c r="C49" t="s">
        <v>9</v>
      </c>
    </row>
    <row r="50" spans="1:3" x14ac:dyDescent="0.25">
      <c r="A50">
        <v>2022</v>
      </c>
      <c r="B50">
        <v>0.94900949999999995</v>
      </c>
      <c r="C50" t="s">
        <v>9</v>
      </c>
    </row>
    <row r="51" spans="1:3" x14ac:dyDescent="0.25">
      <c r="A51">
        <v>2023</v>
      </c>
      <c r="B51">
        <v>0.96950009999999998</v>
      </c>
      <c r="C51" t="s">
        <v>9</v>
      </c>
    </row>
    <row r="52" spans="1:3" x14ac:dyDescent="0.25">
      <c r="A52">
        <v>1999</v>
      </c>
      <c r="B52">
        <v>1</v>
      </c>
      <c r="C52" t="s">
        <v>10</v>
      </c>
    </row>
    <row r="53" spans="1:3" x14ac:dyDescent="0.25">
      <c r="A53">
        <v>2000</v>
      </c>
      <c r="B53">
        <v>0.95584460000000004</v>
      </c>
      <c r="C53" t="s">
        <v>10</v>
      </c>
    </row>
    <row r="54" spans="1:3" x14ac:dyDescent="0.25">
      <c r="A54">
        <v>2001</v>
      </c>
      <c r="B54">
        <v>0.94196060000000004</v>
      </c>
      <c r="C54" t="s">
        <v>10</v>
      </c>
    </row>
    <row r="55" spans="1:3" x14ac:dyDescent="0.25">
      <c r="A55">
        <v>2002</v>
      </c>
      <c r="B55">
        <v>0.97382150000000001</v>
      </c>
      <c r="C55" t="s">
        <v>10</v>
      </c>
    </row>
    <row r="56" spans="1:3" x14ac:dyDescent="0.25">
      <c r="A56">
        <v>2003</v>
      </c>
      <c r="B56">
        <v>0.97165979999999996</v>
      </c>
      <c r="C56" t="s">
        <v>10</v>
      </c>
    </row>
    <row r="57" spans="1:3" x14ac:dyDescent="0.25">
      <c r="A57">
        <v>2004</v>
      </c>
      <c r="B57">
        <v>0.97654870000000005</v>
      </c>
      <c r="C57" t="s">
        <v>10</v>
      </c>
    </row>
    <row r="58" spans="1:3" x14ac:dyDescent="0.25">
      <c r="A58">
        <v>2005</v>
      </c>
      <c r="B58">
        <v>0.97598010000000002</v>
      </c>
      <c r="C58" t="s">
        <v>10</v>
      </c>
    </row>
    <row r="59" spans="1:3" x14ac:dyDescent="0.25">
      <c r="A59">
        <v>2006</v>
      </c>
      <c r="B59">
        <v>0.95912379999999997</v>
      </c>
      <c r="C59" t="s">
        <v>10</v>
      </c>
    </row>
    <row r="60" spans="1:3" x14ac:dyDescent="0.25">
      <c r="A60">
        <v>2007</v>
      </c>
      <c r="B60">
        <v>0.94883609999999996</v>
      </c>
      <c r="C60" t="s">
        <v>10</v>
      </c>
    </row>
    <row r="61" spans="1:3" x14ac:dyDescent="0.25">
      <c r="A61">
        <v>2008</v>
      </c>
      <c r="B61">
        <v>1.0191886999999999</v>
      </c>
      <c r="C61" t="s">
        <v>10</v>
      </c>
    </row>
    <row r="62" spans="1:3" x14ac:dyDescent="0.25">
      <c r="A62">
        <v>2009</v>
      </c>
      <c r="B62">
        <v>1.1392115</v>
      </c>
      <c r="C62" t="s">
        <v>10</v>
      </c>
    </row>
    <row r="63" spans="1:3" x14ac:dyDescent="0.25">
      <c r="A63">
        <v>2010</v>
      </c>
      <c r="B63">
        <v>1.1110812999999999</v>
      </c>
      <c r="C63" t="s">
        <v>10</v>
      </c>
    </row>
    <row r="64" spans="1:3" x14ac:dyDescent="0.25">
      <c r="A64">
        <v>2011</v>
      </c>
      <c r="B64">
        <v>1.0659677999999999</v>
      </c>
      <c r="C64" t="s">
        <v>10</v>
      </c>
    </row>
    <row r="65" spans="1:3" x14ac:dyDescent="0.25">
      <c r="A65">
        <v>2012</v>
      </c>
      <c r="B65">
        <v>1.0430075000000001</v>
      </c>
      <c r="C65" t="s">
        <v>10</v>
      </c>
    </row>
    <row r="66" spans="1:3" x14ac:dyDescent="0.25">
      <c r="A66">
        <v>2013</v>
      </c>
      <c r="B66">
        <v>1.0238474</v>
      </c>
      <c r="C66" t="s">
        <v>10</v>
      </c>
    </row>
    <row r="67" spans="1:3" x14ac:dyDescent="0.25">
      <c r="A67">
        <v>2014</v>
      </c>
      <c r="B67">
        <v>1.0106275</v>
      </c>
      <c r="C67" t="s">
        <v>10</v>
      </c>
    </row>
    <row r="68" spans="1:3" x14ac:dyDescent="0.25">
      <c r="A68">
        <v>2015</v>
      </c>
      <c r="B68">
        <v>1.0120131000000001</v>
      </c>
      <c r="C68" t="s">
        <v>10</v>
      </c>
    </row>
    <row r="69" spans="1:3" x14ac:dyDescent="0.25">
      <c r="A69">
        <v>2016</v>
      </c>
      <c r="B69">
        <v>1.0009561</v>
      </c>
      <c r="C69" t="s">
        <v>10</v>
      </c>
    </row>
    <row r="70" spans="1:3" x14ac:dyDescent="0.25">
      <c r="A70">
        <v>2017</v>
      </c>
      <c r="B70">
        <v>1.0004381</v>
      </c>
      <c r="C70" t="s">
        <v>10</v>
      </c>
    </row>
    <row r="71" spans="1:3" x14ac:dyDescent="0.25">
      <c r="A71">
        <v>2018</v>
      </c>
      <c r="B71">
        <v>1.0042951</v>
      </c>
      <c r="C71" t="s">
        <v>10</v>
      </c>
    </row>
    <row r="72" spans="1:3" x14ac:dyDescent="0.25">
      <c r="A72">
        <v>2019</v>
      </c>
      <c r="B72">
        <v>1.0103785999999999</v>
      </c>
      <c r="C72" t="s">
        <v>10</v>
      </c>
    </row>
    <row r="73" spans="1:3" x14ac:dyDescent="0.25">
      <c r="A73">
        <v>2020</v>
      </c>
      <c r="B73">
        <v>1.1920005</v>
      </c>
      <c r="C73" t="s">
        <v>10</v>
      </c>
    </row>
    <row r="74" spans="1:3" x14ac:dyDescent="0.25">
      <c r="A74">
        <v>2021</v>
      </c>
      <c r="B74">
        <v>1.1218013</v>
      </c>
      <c r="C74" t="s">
        <v>10</v>
      </c>
    </row>
    <row r="75" spans="1:3" x14ac:dyDescent="0.25">
      <c r="A75">
        <v>2022</v>
      </c>
      <c r="B75">
        <v>1.0586389</v>
      </c>
      <c r="C75" t="s">
        <v>10</v>
      </c>
    </row>
    <row r="76" spans="1:3" x14ac:dyDescent="0.2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13</v>
      </c>
    </row>
    <row r="2" spans="1:3" x14ac:dyDescent="0.25">
      <c r="A2">
        <v>1999</v>
      </c>
      <c r="B2" t="s">
        <v>11</v>
      </c>
      <c r="C2">
        <v>1</v>
      </c>
    </row>
    <row r="3" spans="1:3" x14ac:dyDescent="0.25">
      <c r="A3">
        <v>1999</v>
      </c>
      <c r="B3" t="s">
        <v>12</v>
      </c>
      <c r="C3">
        <v>1</v>
      </c>
    </row>
    <row r="4" spans="1:3" x14ac:dyDescent="0.25">
      <c r="A4">
        <v>2000</v>
      </c>
      <c r="B4" t="s">
        <v>11</v>
      </c>
      <c r="C4">
        <v>1.0081986000000001</v>
      </c>
    </row>
    <row r="5" spans="1:3" x14ac:dyDescent="0.25">
      <c r="A5">
        <v>2000</v>
      </c>
      <c r="B5" t="s">
        <v>12</v>
      </c>
      <c r="C5">
        <v>0.96943449999999998</v>
      </c>
    </row>
    <row r="6" spans="1:3" x14ac:dyDescent="0.25">
      <c r="A6">
        <v>2001</v>
      </c>
      <c r="B6" t="s">
        <v>11</v>
      </c>
      <c r="C6">
        <v>1.0172063</v>
      </c>
    </row>
    <row r="7" spans="1:3" x14ac:dyDescent="0.25">
      <c r="A7">
        <v>2001</v>
      </c>
      <c r="B7" t="s">
        <v>12</v>
      </c>
      <c r="C7">
        <v>0.99501289999999998</v>
      </c>
    </row>
    <row r="8" spans="1:3" x14ac:dyDescent="0.25">
      <c r="A8">
        <v>2002</v>
      </c>
      <c r="B8" t="s">
        <v>11</v>
      </c>
      <c r="C8">
        <v>0.99754759999999998</v>
      </c>
    </row>
    <row r="9" spans="1:3" x14ac:dyDescent="0.25">
      <c r="A9">
        <v>2002</v>
      </c>
      <c r="B9" t="s">
        <v>12</v>
      </c>
      <c r="C9">
        <v>1.0333237</v>
      </c>
    </row>
    <row r="10" spans="1:3" x14ac:dyDescent="0.25">
      <c r="A10">
        <v>2003</v>
      </c>
      <c r="B10" t="s">
        <v>11</v>
      </c>
      <c r="C10">
        <v>0.98590259999999996</v>
      </c>
    </row>
    <row r="11" spans="1:3" x14ac:dyDescent="0.25">
      <c r="A11">
        <v>2003</v>
      </c>
      <c r="B11" t="s">
        <v>12</v>
      </c>
      <c r="C11">
        <v>1.0145052999999999</v>
      </c>
    </row>
    <row r="12" spans="1:3" x14ac:dyDescent="0.25">
      <c r="A12">
        <v>2004</v>
      </c>
      <c r="B12" t="s">
        <v>11</v>
      </c>
      <c r="C12">
        <v>0.9871645</v>
      </c>
    </row>
    <row r="13" spans="1:3" x14ac:dyDescent="0.25">
      <c r="A13">
        <v>2004</v>
      </c>
      <c r="B13" t="s">
        <v>12</v>
      </c>
      <c r="C13">
        <v>0.99088410000000005</v>
      </c>
    </row>
    <row r="14" spans="1:3" x14ac:dyDescent="0.25">
      <c r="A14">
        <v>2005</v>
      </c>
      <c r="B14" t="s">
        <v>11</v>
      </c>
      <c r="C14">
        <v>0.98219860000000003</v>
      </c>
    </row>
    <row r="15" spans="1:3" x14ac:dyDescent="0.25">
      <c r="A15">
        <v>2005</v>
      </c>
      <c r="B15" t="s">
        <v>12</v>
      </c>
      <c r="C15">
        <v>0.98316440000000005</v>
      </c>
    </row>
    <row r="16" spans="1:3" x14ac:dyDescent="0.25">
      <c r="A16">
        <v>2006</v>
      </c>
      <c r="B16" t="s">
        <v>11</v>
      </c>
      <c r="C16">
        <v>0.97509610000000002</v>
      </c>
    </row>
    <row r="17" spans="1:3" x14ac:dyDescent="0.25">
      <c r="A17">
        <v>2006</v>
      </c>
      <c r="B17" t="s">
        <v>12</v>
      </c>
      <c r="C17">
        <v>0.97017520000000002</v>
      </c>
    </row>
    <row r="18" spans="1:3" x14ac:dyDescent="0.25">
      <c r="A18">
        <v>2007</v>
      </c>
      <c r="B18" t="s">
        <v>11</v>
      </c>
      <c r="C18">
        <v>0.97221349999999995</v>
      </c>
    </row>
    <row r="19" spans="1:3" x14ac:dyDescent="0.25">
      <c r="A19">
        <v>2007</v>
      </c>
      <c r="B19" t="s">
        <v>12</v>
      </c>
      <c r="C19">
        <v>0.96899360000000001</v>
      </c>
    </row>
    <row r="20" spans="1:3" x14ac:dyDescent="0.25">
      <c r="A20">
        <v>2008</v>
      </c>
      <c r="B20" t="s">
        <v>11</v>
      </c>
      <c r="C20">
        <v>1.0043804000000001</v>
      </c>
    </row>
    <row r="21" spans="1:3" x14ac:dyDescent="0.25">
      <c r="A21">
        <v>2008</v>
      </c>
      <c r="B21" t="s">
        <v>12</v>
      </c>
      <c r="C21">
        <v>1.0241259</v>
      </c>
    </row>
    <row r="22" spans="1:3" x14ac:dyDescent="0.25">
      <c r="A22">
        <v>2009</v>
      </c>
      <c r="B22" t="s">
        <v>11</v>
      </c>
      <c r="C22">
        <v>1.0557905999999999</v>
      </c>
    </row>
    <row r="23" spans="1:3" x14ac:dyDescent="0.25">
      <c r="A23">
        <v>2009</v>
      </c>
      <c r="B23" t="s">
        <v>12</v>
      </c>
      <c r="C23">
        <v>1.0937199</v>
      </c>
    </row>
    <row r="24" spans="1:3" x14ac:dyDescent="0.25">
      <c r="A24">
        <v>2010</v>
      </c>
      <c r="B24" t="s">
        <v>11</v>
      </c>
      <c r="C24">
        <v>1.0546465</v>
      </c>
    </row>
    <row r="25" spans="1:3" x14ac:dyDescent="0.25">
      <c r="A25">
        <v>2010</v>
      </c>
      <c r="B25" t="s">
        <v>12</v>
      </c>
      <c r="C25">
        <v>1.0767211999999999</v>
      </c>
    </row>
    <row r="26" spans="1:3" x14ac:dyDescent="0.25">
      <c r="A26">
        <v>2011</v>
      </c>
      <c r="B26" t="s">
        <v>11</v>
      </c>
      <c r="C26">
        <v>1.0388884</v>
      </c>
    </row>
    <row r="27" spans="1:3" x14ac:dyDescent="0.25">
      <c r="A27">
        <v>2011</v>
      </c>
      <c r="B27" t="s">
        <v>12</v>
      </c>
      <c r="C27">
        <v>1.0533627999999999</v>
      </c>
    </row>
    <row r="28" spans="1:3" x14ac:dyDescent="0.25">
      <c r="A28">
        <v>2012</v>
      </c>
      <c r="B28" t="s">
        <v>11</v>
      </c>
      <c r="C28">
        <v>1.0305386999999999</v>
      </c>
    </row>
    <row r="29" spans="1:3" x14ac:dyDescent="0.25">
      <c r="A29">
        <v>2012</v>
      </c>
      <c r="B29" t="s">
        <v>12</v>
      </c>
      <c r="C29">
        <v>1.0292513000000001</v>
      </c>
    </row>
    <row r="30" spans="1:3" x14ac:dyDescent="0.25">
      <c r="A30">
        <v>2013</v>
      </c>
      <c r="B30" t="s">
        <v>11</v>
      </c>
      <c r="C30">
        <v>1.0220197</v>
      </c>
    </row>
    <row r="31" spans="1:3" x14ac:dyDescent="0.25">
      <c r="A31">
        <v>2013</v>
      </c>
      <c r="B31" t="s">
        <v>12</v>
      </c>
      <c r="C31">
        <v>1.0163057</v>
      </c>
    </row>
    <row r="32" spans="1:3" x14ac:dyDescent="0.25">
      <c r="A32">
        <v>2014</v>
      </c>
      <c r="B32" t="s">
        <v>11</v>
      </c>
      <c r="C32">
        <v>1.0280511999999999</v>
      </c>
    </row>
    <row r="33" spans="1:3" x14ac:dyDescent="0.25">
      <c r="A33">
        <v>2014</v>
      </c>
      <c r="B33" t="s">
        <v>12</v>
      </c>
      <c r="C33">
        <v>0.99900549999999999</v>
      </c>
    </row>
    <row r="34" spans="1:3" x14ac:dyDescent="0.25">
      <c r="A34">
        <v>2015</v>
      </c>
      <c r="B34" t="s">
        <v>11</v>
      </c>
      <c r="C34">
        <v>1.0408194</v>
      </c>
    </row>
    <row r="35" spans="1:3" x14ac:dyDescent="0.25">
      <c r="A35">
        <v>2015</v>
      </c>
      <c r="B35" t="s">
        <v>12</v>
      </c>
      <c r="C35">
        <v>0.99393920000000002</v>
      </c>
    </row>
    <row r="36" spans="1:3" x14ac:dyDescent="0.25">
      <c r="A36">
        <v>2016</v>
      </c>
      <c r="B36" t="s">
        <v>11</v>
      </c>
      <c r="C36">
        <v>1.0419802</v>
      </c>
    </row>
    <row r="37" spans="1:3" x14ac:dyDescent="0.25">
      <c r="A37">
        <v>2016</v>
      </c>
      <c r="B37" t="s">
        <v>12</v>
      </c>
      <c r="C37">
        <v>0.99794439999999995</v>
      </c>
    </row>
    <row r="38" spans="1:3" x14ac:dyDescent="0.25">
      <c r="A38">
        <v>2017</v>
      </c>
      <c r="B38" t="s">
        <v>11</v>
      </c>
      <c r="C38">
        <v>1.0348781</v>
      </c>
    </row>
    <row r="39" spans="1:3" x14ac:dyDescent="0.25">
      <c r="A39">
        <v>2017</v>
      </c>
      <c r="B39" t="s">
        <v>12</v>
      </c>
      <c r="C39">
        <v>0.98864280000000004</v>
      </c>
    </row>
    <row r="40" spans="1:3" x14ac:dyDescent="0.25">
      <c r="A40">
        <v>2018</v>
      </c>
      <c r="B40" t="s">
        <v>11</v>
      </c>
      <c r="C40">
        <v>1.0344028999999999</v>
      </c>
    </row>
    <row r="41" spans="1:3" x14ac:dyDescent="0.25">
      <c r="A41">
        <v>2018</v>
      </c>
      <c r="B41" t="s">
        <v>12</v>
      </c>
      <c r="C41">
        <v>0.98957669999999998</v>
      </c>
    </row>
    <row r="42" spans="1:3" x14ac:dyDescent="0.25">
      <c r="A42">
        <v>2019</v>
      </c>
      <c r="B42" t="s">
        <v>11</v>
      </c>
      <c r="C42">
        <v>1.1004205</v>
      </c>
    </row>
    <row r="43" spans="1:3" x14ac:dyDescent="0.25">
      <c r="A43">
        <v>2019</v>
      </c>
      <c r="B43" t="s">
        <v>12</v>
      </c>
      <c r="C43">
        <v>0.99813390000000002</v>
      </c>
    </row>
    <row r="44" spans="1:3" x14ac:dyDescent="0.25">
      <c r="A44">
        <v>2020</v>
      </c>
      <c r="B44" t="s">
        <v>11</v>
      </c>
      <c r="C44">
        <v>1.2032681999999999</v>
      </c>
    </row>
    <row r="45" spans="1:3" x14ac:dyDescent="0.25">
      <c r="A45">
        <v>2020</v>
      </c>
      <c r="B45" t="s">
        <v>12</v>
      </c>
      <c r="C45">
        <v>1.1803524000000001</v>
      </c>
    </row>
    <row r="46" spans="1:3" x14ac:dyDescent="0.25">
      <c r="A46">
        <v>2021</v>
      </c>
      <c r="B46" t="s">
        <v>11</v>
      </c>
      <c r="C46">
        <v>1.1743245</v>
      </c>
    </row>
    <row r="47" spans="1:3" x14ac:dyDescent="0.25">
      <c r="A47">
        <v>2021</v>
      </c>
      <c r="B47" t="s">
        <v>12</v>
      </c>
      <c r="C47">
        <v>1.1031403</v>
      </c>
    </row>
    <row r="48" spans="1:3" x14ac:dyDescent="0.25">
      <c r="A48">
        <v>2022</v>
      </c>
      <c r="B48" t="s">
        <v>11</v>
      </c>
      <c r="C48">
        <v>1.0789782000000001</v>
      </c>
    </row>
    <row r="49" spans="1:3" x14ac:dyDescent="0.2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5" x14ac:dyDescent="0.25"/>
  <cols>
    <col min="1" max="1" width="26.28515625" bestFit="1" customWidth="1"/>
  </cols>
  <sheetData>
    <row r="1" spans="1:3" x14ac:dyDescent="0.25">
      <c r="A1" t="s">
        <v>179</v>
      </c>
      <c r="B1" t="s">
        <v>15</v>
      </c>
      <c r="C1" t="s">
        <v>13</v>
      </c>
    </row>
    <row r="2" spans="1:3" x14ac:dyDescent="0.25">
      <c r="A2" t="s">
        <v>184</v>
      </c>
      <c r="B2" t="s">
        <v>185</v>
      </c>
      <c r="C2">
        <v>5.8094908000000001E-2</v>
      </c>
    </row>
    <row r="3" spans="1:3" x14ac:dyDescent="0.25">
      <c r="A3" t="s">
        <v>189</v>
      </c>
      <c r="B3" t="s">
        <v>185</v>
      </c>
      <c r="C3">
        <v>0.13627059</v>
      </c>
    </row>
    <row r="4" spans="1:3" x14ac:dyDescent="0.25">
      <c r="A4" t="s">
        <v>186</v>
      </c>
      <c r="B4" t="s">
        <v>185</v>
      </c>
      <c r="C4">
        <v>0.14493503499999999</v>
      </c>
    </row>
    <row r="5" spans="1:3" x14ac:dyDescent="0.25">
      <c r="A5" t="s">
        <v>195</v>
      </c>
      <c r="B5" t="s">
        <v>185</v>
      </c>
      <c r="C5">
        <v>2.4355109999999999E-2</v>
      </c>
    </row>
    <row r="6" spans="1:3" x14ac:dyDescent="0.25">
      <c r="A6" t="s">
        <v>193</v>
      </c>
      <c r="B6" t="s">
        <v>185</v>
      </c>
      <c r="C6">
        <v>0.105686342</v>
      </c>
    </row>
    <row r="7" spans="1:3" x14ac:dyDescent="0.25">
      <c r="A7" t="s">
        <v>187</v>
      </c>
      <c r="B7" t="s">
        <v>185</v>
      </c>
      <c r="C7">
        <v>0.19772492999999999</v>
      </c>
    </row>
    <row r="8" spans="1:3" x14ac:dyDescent="0.25">
      <c r="A8" t="s">
        <v>192</v>
      </c>
      <c r="B8" t="s">
        <v>185</v>
      </c>
      <c r="C8">
        <v>1.6908830999999999E-2</v>
      </c>
    </row>
    <row r="9" spans="1:3" x14ac:dyDescent="0.25">
      <c r="A9" t="s">
        <v>191</v>
      </c>
      <c r="B9" t="s">
        <v>185</v>
      </c>
      <c r="C9">
        <v>5.0015469999999999E-2</v>
      </c>
    </row>
    <row r="10" spans="1:3" x14ac:dyDescent="0.25">
      <c r="A10" t="s">
        <v>194</v>
      </c>
      <c r="B10" t="s">
        <v>185</v>
      </c>
      <c r="C10">
        <v>9.5516860000000002E-3</v>
      </c>
    </row>
    <row r="11" spans="1:3" x14ac:dyDescent="0.25">
      <c r="A11" t="s">
        <v>190</v>
      </c>
      <c r="B11" t="s">
        <v>185</v>
      </c>
      <c r="C11">
        <v>0.256457096</v>
      </c>
    </row>
    <row r="12" spans="1:3" x14ac:dyDescent="0.25">
      <c r="A12" t="s">
        <v>184</v>
      </c>
      <c r="B12" t="s">
        <v>188</v>
      </c>
      <c r="C12">
        <v>0.107318735</v>
      </c>
    </row>
    <row r="13" spans="1:3" x14ac:dyDescent="0.25">
      <c r="A13" t="s">
        <v>189</v>
      </c>
      <c r="B13" t="s">
        <v>188</v>
      </c>
      <c r="C13">
        <v>5.5228343999999999E-2</v>
      </c>
    </row>
    <row r="14" spans="1:3" x14ac:dyDescent="0.25">
      <c r="A14" t="s">
        <v>186</v>
      </c>
      <c r="B14" t="s">
        <v>188</v>
      </c>
      <c r="C14">
        <v>0.121017469</v>
      </c>
    </row>
    <row r="15" spans="1:3" x14ac:dyDescent="0.25">
      <c r="A15" t="s">
        <v>195</v>
      </c>
      <c r="B15" t="s">
        <v>188</v>
      </c>
      <c r="C15">
        <v>1.4745349E-2</v>
      </c>
    </row>
    <row r="16" spans="1:3" x14ac:dyDescent="0.25">
      <c r="A16" t="s">
        <v>193</v>
      </c>
      <c r="B16" t="s">
        <v>188</v>
      </c>
      <c r="C16">
        <v>9.9403827E-2</v>
      </c>
    </row>
    <row r="17" spans="1:3" x14ac:dyDescent="0.25">
      <c r="A17" t="s">
        <v>187</v>
      </c>
      <c r="B17" t="s">
        <v>188</v>
      </c>
      <c r="C17">
        <v>0.14667941000000001</v>
      </c>
    </row>
    <row r="18" spans="1:3" x14ac:dyDescent="0.25">
      <c r="A18" t="s">
        <v>192</v>
      </c>
      <c r="B18" t="s">
        <v>188</v>
      </c>
      <c r="C18">
        <v>2.2749210000000001E-3</v>
      </c>
    </row>
    <row r="19" spans="1:3" x14ac:dyDescent="0.25">
      <c r="A19" t="s">
        <v>191</v>
      </c>
      <c r="B19" t="s">
        <v>188</v>
      </c>
      <c r="C19">
        <v>1.4497417E-2</v>
      </c>
    </row>
    <row r="20" spans="1:3" x14ac:dyDescent="0.25">
      <c r="A20" t="s">
        <v>194</v>
      </c>
      <c r="B20" t="s">
        <v>188</v>
      </c>
      <c r="C20">
        <v>8.7703690000000001E-3</v>
      </c>
    </row>
    <row r="21" spans="1:3" x14ac:dyDescent="0.2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F5" sqref="F5"/>
    </sheetView>
  </sheetViews>
  <sheetFormatPr defaultRowHeight="15" x14ac:dyDescent="0.25"/>
  <cols>
    <col min="1" max="1" width="27" bestFit="1" customWidth="1"/>
    <col min="2" max="2" width="18.5703125" customWidth="1"/>
  </cols>
  <sheetData>
    <row r="1" spans="1:3" x14ac:dyDescent="0.25">
      <c r="A1" t="s">
        <v>196</v>
      </c>
      <c r="B1" t="s">
        <v>15</v>
      </c>
      <c r="C1" t="s">
        <v>13</v>
      </c>
    </row>
    <row r="2" spans="1:3" x14ac:dyDescent="0.25">
      <c r="A2" t="s">
        <v>184</v>
      </c>
      <c r="B2" t="s">
        <v>197</v>
      </c>
      <c r="C2">
        <v>5.3518759999999999</v>
      </c>
    </row>
    <row r="3" spans="1:3" x14ac:dyDescent="0.25">
      <c r="A3" t="s">
        <v>189</v>
      </c>
      <c r="B3" t="s">
        <v>197</v>
      </c>
      <c r="C3">
        <v>4.5686879999999999</v>
      </c>
    </row>
    <row r="4" spans="1:3" x14ac:dyDescent="0.25">
      <c r="A4" t="s">
        <v>186</v>
      </c>
      <c r="B4" t="s">
        <v>197</v>
      </c>
      <c r="C4">
        <v>14.410906000000001</v>
      </c>
    </row>
    <row r="5" spans="1:3" x14ac:dyDescent="0.25">
      <c r="A5" t="s">
        <v>195</v>
      </c>
      <c r="B5" t="s">
        <v>197</v>
      </c>
      <c r="C5">
        <v>2.4618329999999999</v>
      </c>
    </row>
    <row r="6" spans="1:3" x14ac:dyDescent="0.25">
      <c r="A6" t="s">
        <v>193</v>
      </c>
      <c r="B6" t="s">
        <v>197</v>
      </c>
      <c r="C6">
        <v>9.5264120000000005</v>
      </c>
    </row>
    <row r="7" spans="1:3" x14ac:dyDescent="0.25">
      <c r="A7" t="s">
        <v>187</v>
      </c>
      <c r="B7" t="s">
        <v>197</v>
      </c>
      <c r="C7">
        <v>21.208273999999999</v>
      </c>
    </row>
    <row r="8" spans="1:3" x14ac:dyDescent="0.25">
      <c r="A8" t="s">
        <v>192</v>
      </c>
      <c r="B8" t="s">
        <v>197</v>
      </c>
      <c r="C8">
        <v>1.392185</v>
      </c>
    </row>
    <row r="9" spans="1:3" x14ac:dyDescent="0.25">
      <c r="A9" t="s">
        <v>191</v>
      </c>
      <c r="B9" t="s">
        <v>197</v>
      </c>
      <c r="C9">
        <v>5.3385490000000004</v>
      </c>
    </row>
    <row r="10" spans="1:3" x14ac:dyDescent="0.25">
      <c r="A10" t="s">
        <v>194</v>
      </c>
      <c r="B10" t="s">
        <v>197</v>
      </c>
      <c r="C10">
        <v>1.8187789999999999</v>
      </c>
    </row>
    <row r="11" spans="1:3" x14ac:dyDescent="0.25">
      <c r="A11" t="s">
        <v>190</v>
      </c>
      <c r="B11" t="s">
        <v>197</v>
      </c>
      <c r="C11">
        <v>29.720365000000001</v>
      </c>
    </row>
    <row r="12" spans="1:3" x14ac:dyDescent="0.25">
      <c r="A12" t="s">
        <v>198</v>
      </c>
      <c r="B12" t="s">
        <v>197</v>
      </c>
      <c r="C12">
        <v>4.2021319999999998</v>
      </c>
    </row>
    <row r="13" spans="1:3" x14ac:dyDescent="0.25">
      <c r="A13" t="s">
        <v>184</v>
      </c>
      <c r="B13" t="s">
        <v>199</v>
      </c>
      <c r="C13">
        <v>4.1165510000000003</v>
      </c>
    </row>
    <row r="14" spans="1:3" x14ac:dyDescent="0.25">
      <c r="A14" t="s">
        <v>189</v>
      </c>
      <c r="B14" t="s">
        <v>199</v>
      </c>
      <c r="C14">
        <v>5.8178679999999998</v>
      </c>
    </row>
    <row r="15" spans="1:3" x14ac:dyDescent="0.25">
      <c r="A15" t="s">
        <v>186</v>
      </c>
      <c r="B15" t="s">
        <v>199</v>
      </c>
      <c r="C15">
        <v>14.961353000000001</v>
      </c>
    </row>
    <row r="16" spans="1:3" x14ac:dyDescent="0.25">
      <c r="A16" t="s">
        <v>195</v>
      </c>
      <c r="B16" t="s">
        <v>199</v>
      </c>
      <c r="C16">
        <v>1.140976</v>
      </c>
    </row>
    <row r="17" spans="1:3" x14ac:dyDescent="0.25">
      <c r="A17" t="s">
        <v>193</v>
      </c>
      <c r="B17" t="s">
        <v>199</v>
      </c>
      <c r="C17">
        <v>15.066503000000001</v>
      </c>
    </row>
    <row r="18" spans="1:3" x14ac:dyDescent="0.25">
      <c r="A18" t="s">
        <v>187</v>
      </c>
      <c r="B18" t="s">
        <v>199</v>
      </c>
      <c r="C18">
        <v>16.21209</v>
      </c>
    </row>
    <row r="19" spans="1:3" x14ac:dyDescent="0.25">
      <c r="A19" t="s">
        <v>192</v>
      </c>
      <c r="B19" t="s">
        <v>199</v>
      </c>
      <c r="C19">
        <v>1.618765</v>
      </c>
    </row>
    <row r="20" spans="1:3" x14ac:dyDescent="0.25">
      <c r="A20" t="s">
        <v>191</v>
      </c>
      <c r="B20" t="s">
        <v>199</v>
      </c>
      <c r="C20">
        <v>4.3632860000000004</v>
      </c>
    </row>
    <row r="21" spans="1:3" x14ac:dyDescent="0.25">
      <c r="A21" t="s">
        <v>194</v>
      </c>
      <c r="B21" t="s">
        <v>199</v>
      </c>
      <c r="C21">
        <v>2.4327589999999999</v>
      </c>
    </row>
    <row r="22" spans="1:3" x14ac:dyDescent="0.25">
      <c r="A22" t="s">
        <v>190</v>
      </c>
      <c r="B22" t="s">
        <v>199</v>
      </c>
      <c r="C22">
        <v>28.606479</v>
      </c>
    </row>
    <row r="23" spans="1:3" x14ac:dyDescent="0.2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5" x14ac:dyDescent="0.25"/>
  <sheetData>
    <row r="1" spans="1:3" x14ac:dyDescent="0.25">
      <c r="A1" t="s">
        <v>14</v>
      </c>
      <c r="B1" t="s">
        <v>200</v>
      </c>
      <c r="C1" t="s">
        <v>201</v>
      </c>
    </row>
    <row r="2" spans="1:3" x14ac:dyDescent="0.25">
      <c r="A2">
        <v>1999</v>
      </c>
      <c r="B2" t="s">
        <v>202</v>
      </c>
      <c r="C2">
        <v>0.28427538370720201</v>
      </c>
    </row>
    <row r="3" spans="1:3" x14ac:dyDescent="0.25">
      <c r="A3">
        <v>2000</v>
      </c>
      <c r="B3" t="s">
        <v>202</v>
      </c>
      <c r="C3">
        <v>0.273604498693161</v>
      </c>
    </row>
    <row r="4" spans="1:3" x14ac:dyDescent="0.25">
      <c r="A4">
        <v>2001</v>
      </c>
      <c r="B4" t="s">
        <v>202</v>
      </c>
      <c r="C4">
        <v>0.26411204265223398</v>
      </c>
    </row>
    <row r="5" spans="1:3" x14ac:dyDescent="0.25">
      <c r="A5">
        <v>2002</v>
      </c>
      <c r="B5" t="s">
        <v>202</v>
      </c>
      <c r="C5">
        <v>0.26833834047549998</v>
      </c>
    </row>
    <row r="6" spans="1:3" x14ac:dyDescent="0.25">
      <c r="A6">
        <v>2003</v>
      </c>
      <c r="B6" t="s">
        <v>202</v>
      </c>
      <c r="C6">
        <v>0.27714077049479702</v>
      </c>
    </row>
    <row r="7" spans="1:3" x14ac:dyDescent="0.25">
      <c r="A7">
        <v>2004</v>
      </c>
      <c r="B7" t="s">
        <v>202</v>
      </c>
      <c r="C7">
        <v>0.27640907810469001</v>
      </c>
    </row>
    <row r="8" spans="1:3" x14ac:dyDescent="0.25">
      <c r="A8">
        <v>2005</v>
      </c>
      <c r="B8" t="s">
        <v>202</v>
      </c>
      <c r="C8">
        <v>0.27634343562969599</v>
      </c>
    </row>
    <row r="9" spans="1:3" x14ac:dyDescent="0.25">
      <c r="A9">
        <v>2006</v>
      </c>
      <c r="B9" t="s">
        <v>202</v>
      </c>
      <c r="C9">
        <v>0.28103679803887999</v>
      </c>
    </row>
    <row r="10" spans="1:3" x14ac:dyDescent="0.25">
      <c r="A10">
        <v>2007</v>
      </c>
      <c r="B10" t="s">
        <v>202</v>
      </c>
      <c r="C10">
        <v>0.27789481886770401</v>
      </c>
    </row>
    <row r="11" spans="1:3" x14ac:dyDescent="0.25">
      <c r="A11">
        <v>2008</v>
      </c>
      <c r="B11" t="s">
        <v>202</v>
      </c>
      <c r="C11">
        <v>0.28129699345591802</v>
      </c>
    </row>
    <row r="12" spans="1:3" x14ac:dyDescent="0.25">
      <c r="A12">
        <v>2009</v>
      </c>
      <c r="B12" t="s">
        <v>202</v>
      </c>
      <c r="C12">
        <v>0.26832406285588301</v>
      </c>
    </row>
    <row r="13" spans="1:3" x14ac:dyDescent="0.25">
      <c r="A13">
        <v>2010</v>
      </c>
      <c r="B13" t="s">
        <v>202</v>
      </c>
      <c r="C13">
        <v>0.27563954527035001</v>
      </c>
    </row>
    <row r="14" spans="1:3" x14ac:dyDescent="0.25">
      <c r="A14">
        <v>2011</v>
      </c>
      <c r="B14" t="s">
        <v>202</v>
      </c>
      <c r="C14">
        <v>0.27875436685942301</v>
      </c>
    </row>
    <row r="15" spans="1:3" x14ac:dyDescent="0.25">
      <c r="A15">
        <v>2012</v>
      </c>
      <c r="B15" t="s">
        <v>202</v>
      </c>
      <c r="C15">
        <v>0.27522513715251801</v>
      </c>
    </row>
    <row r="16" spans="1:3" x14ac:dyDescent="0.25">
      <c r="A16">
        <v>2013</v>
      </c>
      <c r="B16" t="s">
        <v>202</v>
      </c>
      <c r="C16">
        <v>0.28056629488498902</v>
      </c>
    </row>
    <row r="17" spans="1:3" x14ac:dyDescent="0.25">
      <c r="A17">
        <v>2014</v>
      </c>
      <c r="B17" t="s">
        <v>202</v>
      </c>
      <c r="C17">
        <v>0.270669718054598</v>
      </c>
    </row>
    <row r="18" spans="1:3" x14ac:dyDescent="0.25">
      <c r="A18">
        <v>2015</v>
      </c>
      <c r="B18" t="s">
        <v>202</v>
      </c>
      <c r="C18">
        <v>0.26976239747547298</v>
      </c>
    </row>
    <row r="19" spans="1:3" x14ac:dyDescent="0.25">
      <c r="A19">
        <v>2016</v>
      </c>
      <c r="B19" t="s">
        <v>202</v>
      </c>
      <c r="C19">
        <v>0.276129590672198</v>
      </c>
    </row>
    <row r="20" spans="1:3" x14ac:dyDescent="0.25">
      <c r="A20">
        <v>2017</v>
      </c>
      <c r="B20" t="s">
        <v>202</v>
      </c>
      <c r="C20">
        <v>0.27821873817897902</v>
      </c>
    </row>
    <row r="21" spans="1:3" x14ac:dyDescent="0.25">
      <c r="A21">
        <v>2018</v>
      </c>
      <c r="B21" t="s">
        <v>202</v>
      </c>
      <c r="C21">
        <v>0.27812911337847002</v>
      </c>
    </row>
    <row r="22" spans="1:3" x14ac:dyDescent="0.25">
      <c r="A22">
        <v>2019</v>
      </c>
      <c r="B22" t="s">
        <v>202</v>
      </c>
      <c r="C22">
        <v>0.280919940658513</v>
      </c>
    </row>
    <row r="23" spans="1:3" x14ac:dyDescent="0.25">
      <c r="A23">
        <v>2020</v>
      </c>
      <c r="B23" t="s">
        <v>202</v>
      </c>
      <c r="C23">
        <v>0.25963319830161402</v>
      </c>
    </row>
    <row r="24" spans="1:3" x14ac:dyDescent="0.25">
      <c r="A24">
        <v>2021</v>
      </c>
      <c r="B24" t="s">
        <v>202</v>
      </c>
      <c r="C24">
        <v>0.24379231471962601</v>
      </c>
    </row>
    <row r="25" spans="1:3" x14ac:dyDescent="0.25">
      <c r="A25">
        <v>2022</v>
      </c>
      <c r="B25" t="s">
        <v>202</v>
      </c>
      <c r="C25">
        <v>0.25888469005445702</v>
      </c>
    </row>
    <row r="26" spans="1:3" x14ac:dyDescent="0.25">
      <c r="A26">
        <v>2023</v>
      </c>
      <c r="B26" t="s">
        <v>202</v>
      </c>
      <c r="C26">
        <v>0.26590731223087</v>
      </c>
    </row>
    <row r="27" spans="1:3" x14ac:dyDescent="0.25">
      <c r="A27">
        <v>2024</v>
      </c>
      <c r="B27" t="s">
        <v>202</v>
      </c>
      <c r="C27">
        <v>0.268433759546021</v>
      </c>
    </row>
    <row r="28" spans="1:3" x14ac:dyDescent="0.25">
      <c r="A28">
        <v>1999</v>
      </c>
      <c r="B28" t="s">
        <v>203</v>
      </c>
      <c r="C28">
        <v>0.27481183589138097</v>
      </c>
    </row>
    <row r="29" spans="1:3" x14ac:dyDescent="0.25">
      <c r="A29">
        <v>2000</v>
      </c>
      <c r="B29" t="s">
        <v>203</v>
      </c>
      <c r="C29">
        <v>0.287341705314477</v>
      </c>
    </row>
    <row r="30" spans="1:3" x14ac:dyDescent="0.25">
      <c r="A30">
        <v>2001</v>
      </c>
      <c r="B30" t="s">
        <v>203</v>
      </c>
      <c r="C30">
        <v>0.28329588376943998</v>
      </c>
    </row>
    <row r="31" spans="1:3" x14ac:dyDescent="0.25">
      <c r="A31">
        <v>2002</v>
      </c>
      <c r="B31" t="s">
        <v>203</v>
      </c>
      <c r="C31">
        <v>0.283874460524911</v>
      </c>
    </row>
    <row r="32" spans="1:3" x14ac:dyDescent="0.25">
      <c r="A32">
        <v>2003</v>
      </c>
      <c r="B32" t="s">
        <v>203</v>
      </c>
      <c r="C32">
        <v>0.28591564725214502</v>
      </c>
    </row>
    <row r="33" spans="1:3" x14ac:dyDescent="0.25">
      <c r="A33">
        <v>2004</v>
      </c>
      <c r="B33" t="s">
        <v>203</v>
      </c>
      <c r="C33">
        <v>0.28482943765845398</v>
      </c>
    </row>
    <row r="34" spans="1:3" x14ac:dyDescent="0.25">
      <c r="A34">
        <v>2005</v>
      </c>
      <c r="B34" t="s">
        <v>203</v>
      </c>
      <c r="C34">
        <v>0.28949446071564999</v>
      </c>
    </row>
    <row r="35" spans="1:3" x14ac:dyDescent="0.25">
      <c r="A35">
        <v>2006</v>
      </c>
      <c r="B35" t="s">
        <v>203</v>
      </c>
      <c r="C35">
        <v>0.29119989425332898</v>
      </c>
    </row>
    <row r="36" spans="1:3" x14ac:dyDescent="0.25">
      <c r="A36">
        <v>2007</v>
      </c>
      <c r="B36" t="s">
        <v>203</v>
      </c>
      <c r="C36">
        <v>0.29632948628392802</v>
      </c>
    </row>
    <row r="37" spans="1:3" x14ac:dyDescent="0.25">
      <c r="A37">
        <v>2008</v>
      </c>
      <c r="B37" t="s">
        <v>203</v>
      </c>
      <c r="C37">
        <v>0.297701274592162</v>
      </c>
    </row>
    <row r="38" spans="1:3" x14ac:dyDescent="0.25">
      <c r="A38">
        <v>2009</v>
      </c>
      <c r="B38" t="s">
        <v>203</v>
      </c>
      <c r="C38">
        <v>0.284106226714887</v>
      </c>
    </row>
    <row r="39" spans="1:3" x14ac:dyDescent="0.25">
      <c r="A39">
        <v>2010</v>
      </c>
      <c r="B39" t="s">
        <v>203</v>
      </c>
      <c r="C39">
        <v>0.28907751232031498</v>
      </c>
    </row>
    <row r="40" spans="1:3" x14ac:dyDescent="0.25">
      <c r="A40">
        <v>2011</v>
      </c>
      <c r="B40" t="s">
        <v>203</v>
      </c>
      <c r="C40">
        <v>0.29188428054125298</v>
      </c>
    </row>
    <row r="41" spans="1:3" x14ac:dyDescent="0.25">
      <c r="A41">
        <v>2012</v>
      </c>
      <c r="B41" t="s">
        <v>203</v>
      </c>
      <c r="C41">
        <v>0.293542809604318</v>
      </c>
    </row>
    <row r="42" spans="1:3" x14ac:dyDescent="0.25">
      <c r="A42">
        <v>2013</v>
      </c>
      <c r="B42" t="s">
        <v>203</v>
      </c>
      <c r="C42">
        <v>0.28971898497111997</v>
      </c>
    </row>
    <row r="43" spans="1:3" x14ac:dyDescent="0.25">
      <c r="A43">
        <v>2014</v>
      </c>
      <c r="B43" t="s">
        <v>203</v>
      </c>
      <c r="C43">
        <v>0.29100006396542999</v>
      </c>
    </row>
    <row r="44" spans="1:3" x14ac:dyDescent="0.25">
      <c r="A44">
        <v>2015</v>
      </c>
      <c r="B44" t="s">
        <v>203</v>
      </c>
      <c r="C44">
        <v>0.29591689411700001</v>
      </c>
    </row>
    <row r="45" spans="1:3" x14ac:dyDescent="0.25">
      <c r="A45">
        <v>2016</v>
      </c>
      <c r="B45" t="s">
        <v>203</v>
      </c>
      <c r="C45">
        <v>0.30278594212899901</v>
      </c>
    </row>
    <row r="46" spans="1:3" x14ac:dyDescent="0.25">
      <c r="A46">
        <v>2017</v>
      </c>
      <c r="B46" t="s">
        <v>203</v>
      </c>
      <c r="C46">
        <v>0.31440253040265898</v>
      </c>
    </row>
    <row r="47" spans="1:3" x14ac:dyDescent="0.25">
      <c r="A47">
        <v>2018</v>
      </c>
      <c r="B47" t="s">
        <v>203</v>
      </c>
      <c r="C47">
        <v>0.32201290234558499</v>
      </c>
    </row>
    <row r="48" spans="1:3" x14ac:dyDescent="0.25">
      <c r="A48">
        <v>2019</v>
      </c>
      <c r="B48" t="s">
        <v>203</v>
      </c>
      <c r="C48">
        <v>0.33287326459365102</v>
      </c>
    </row>
    <row r="49" spans="1:3" x14ac:dyDescent="0.25">
      <c r="A49">
        <v>2020</v>
      </c>
      <c r="B49" t="s">
        <v>203</v>
      </c>
      <c r="C49">
        <v>0.31395951074534201</v>
      </c>
    </row>
    <row r="50" spans="1:3" x14ac:dyDescent="0.25">
      <c r="A50">
        <v>2021</v>
      </c>
      <c r="B50" t="s">
        <v>203</v>
      </c>
      <c r="C50">
        <v>0.30719942668348799</v>
      </c>
    </row>
    <row r="51" spans="1:3" x14ac:dyDescent="0.25">
      <c r="A51">
        <v>2022</v>
      </c>
      <c r="B51" t="s">
        <v>203</v>
      </c>
      <c r="C51">
        <v>0.34687053457036099</v>
      </c>
    </row>
    <row r="52" spans="1:3" x14ac:dyDescent="0.25">
      <c r="A52">
        <v>2023</v>
      </c>
      <c r="B52" t="s">
        <v>203</v>
      </c>
      <c r="C52">
        <v>0.36157422621850699</v>
      </c>
    </row>
    <row r="53" spans="1:3" x14ac:dyDescent="0.25">
      <c r="A53">
        <v>2024</v>
      </c>
      <c r="B53" t="s">
        <v>203</v>
      </c>
      <c r="C53">
        <v>0.36517302929165901</v>
      </c>
    </row>
    <row r="54" spans="1:3" x14ac:dyDescent="0.25">
      <c r="A54">
        <v>1999</v>
      </c>
      <c r="B54" t="s">
        <v>204</v>
      </c>
      <c r="C54">
        <v>5.0762802538370698E-2</v>
      </c>
    </row>
    <row r="55" spans="1:3" x14ac:dyDescent="0.25">
      <c r="A55">
        <v>2000</v>
      </c>
      <c r="B55" t="s">
        <v>204</v>
      </c>
      <c r="C55">
        <v>5.2515554460411999E-2</v>
      </c>
    </row>
    <row r="56" spans="1:3" x14ac:dyDescent="0.25">
      <c r="A56">
        <v>2001</v>
      </c>
      <c r="B56" t="s">
        <v>204</v>
      </c>
      <c r="C56">
        <v>4.9437451174627702E-2</v>
      </c>
    </row>
    <row r="57" spans="1:3" x14ac:dyDescent="0.25">
      <c r="A57">
        <v>2002</v>
      </c>
      <c r="B57" t="s">
        <v>204</v>
      </c>
      <c r="C57">
        <v>5.0924160858890101E-2</v>
      </c>
    </row>
    <row r="58" spans="1:3" x14ac:dyDescent="0.25">
      <c r="A58">
        <v>2003</v>
      </c>
      <c r="B58" t="s">
        <v>204</v>
      </c>
      <c r="C58">
        <v>5.05860872740551E-2</v>
      </c>
    </row>
    <row r="59" spans="1:3" x14ac:dyDescent="0.25">
      <c r="A59">
        <v>2004</v>
      </c>
      <c r="B59" t="s">
        <v>204</v>
      </c>
      <c r="C59">
        <v>4.6765068235118397E-2</v>
      </c>
    </row>
    <row r="60" spans="1:3" x14ac:dyDescent="0.25">
      <c r="A60">
        <v>2005</v>
      </c>
      <c r="B60" t="s">
        <v>204</v>
      </c>
      <c r="C60">
        <v>4.6682796383547699E-2</v>
      </c>
    </row>
    <row r="61" spans="1:3" x14ac:dyDescent="0.25">
      <c r="A61">
        <v>2006</v>
      </c>
      <c r="B61" t="s">
        <v>204</v>
      </c>
      <c r="C61">
        <v>4.6666726750002198E-2</v>
      </c>
    </row>
    <row r="62" spans="1:3" x14ac:dyDescent="0.25">
      <c r="A62">
        <v>2007</v>
      </c>
      <c r="B62" t="s">
        <v>204</v>
      </c>
      <c r="C62">
        <v>4.6417846895411598E-2</v>
      </c>
    </row>
    <row r="63" spans="1:3" x14ac:dyDescent="0.25">
      <c r="A63">
        <v>2008</v>
      </c>
      <c r="B63" t="s">
        <v>204</v>
      </c>
      <c r="C63">
        <v>4.5129274135838997E-2</v>
      </c>
    </row>
    <row r="64" spans="1:3" x14ac:dyDescent="0.25">
      <c r="A64">
        <v>2009</v>
      </c>
      <c r="B64" t="s">
        <v>204</v>
      </c>
      <c r="C64">
        <v>4.47619718726062E-2</v>
      </c>
    </row>
    <row r="65" spans="1:3" x14ac:dyDescent="0.25">
      <c r="A65">
        <v>2010</v>
      </c>
      <c r="B65" t="s">
        <v>204</v>
      </c>
      <c r="C65">
        <v>4.5516538198423502E-2</v>
      </c>
    </row>
    <row r="66" spans="1:3" x14ac:dyDescent="0.25">
      <c r="A66">
        <v>2011</v>
      </c>
      <c r="B66" t="s">
        <v>204</v>
      </c>
      <c r="C66">
        <v>4.4404552856240002E-2</v>
      </c>
    </row>
    <row r="67" spans="1:3" x14ac:dyDescent="0.25">
      <c r="A67">
        <v>2012</v>
      </c>
      <c r="B67" t="s">
        <v>204</v>
      </c>
      <c r="C67">
        <v>4.3919475849272201E-2</v>
      </c>
    </row>
    <row r="68" spans="1:3" x14ac:dyDescent="0.25">
      <c r="A68">
        <v>2013</v>
      </c>
      <c r="B68" t="s">
        <v>204</v>
      </c>
      <c r="C68">
        <v>4.6696149602722101E-2</v>
      </c>
    </row>
    <row r="69" spans="1:3" x14ac:dyDescent="0.25">
      <c r="A69">
        <v>2014</v>
      </c>
      <c r="B69" t="s">
        <v>204</v>
      </c>
      <c r="C69">
        <v>4.7019921677884297E-2</v>
      </c>
    </row>
    <row r="70" spans="1:3" x14ac:dyDescent="0.25">
      <c r="A70">
        <v>2015</v>
      </c>
      <c r="B70" t="s">
        <v>204</v>
      </c>
      <c r="C70">
        <v>4.8115198723986403E-2</v>
      </c>
    </row>
    <row r="71" spans="1:3" x14ac:dyDescent="0.25">
      <c r="A71">
        <v>2016</v>
      </c>
      <c r="B71" t="s">
        <v>204</v>
      </c>
      <c r="C71">
        <v>4.9237303853666599E-2</v>
      </c>
    </row>
    <row r="72" spans="1:3" x14ac:dyDescent="0.25">
      <c r="A72">
        <v>2017</v>
      </c>
      <c r="B72" t="s">
        <v>204</v>
      </c>
      <c r="C72">
        <v>5.0364992877206298E-2</v>
      </c>
    </row>
    <row r="73" spans="1:3" x14ac:dyDescent="0.25">
      <c r="A73">
        <v>2018</v>
      </c>
      <c r="B73" t="s">
        <v>204</v>
      </c>
      <c r="C73">
        <v>5.0192325879574999E-2</v>
      </c>
    </row>
    <row r="74" spans="1:3" x14ac:dyDescent="0.25">
      <c r="A74">
        <v>2019</v>
      </c>
      <c r="B74" t="s">
        <v>204</v>
      </c>
      <c r="C74">
        <v>4.9595902189877999E-2</v>
      </c>
    </row>
    <row r="75" spans="1:3" x14ac:dyDescent="0.25">
      <c r="A75">
        <v>2020</v>
      </c>
      <c r="B75" t="s">
        <v>204</v>
      </c>
      <c r="C75">
        <v>4.4086864355805E-2</v>
      </c>
    </row>
    <row r="76" spans="1:3" x14ac:dyDescent="0.25">
      <c r="A76">
        <v>2021</v>
      </c>
      <c r="B76" t="s">
        <v>204</v>
      </c>
      <c r="C76">
        <v>4.0840787898076103E-2</v>
      </c>
    </row>
    <row r="77" spans="1:3" x14ac:dyDescent="0.25">
      <c r="A77">
        <v>2022</v>
      </c>
      <c r="B77" t="s">
        <v>204</v>
      </c>
      <c r="C77">
        <v>4.23868103760714E-2</v>
      </c>
    </row>
    <row r="78" spans="1:3" x14ac:dyDescent="0.25">
      <c r="A78">
        <v>2023</v>
      </c>
      <c r="B78" t="s">
        <v>204</v>
      </c>
      <c r="C78">
        <v>4.43020748987282E-2</v>
      </c>
    </row>
    <row r="79" spans="1:3" x14ac:dyDescent="0.25">
      <c r="A79">
        <v>2024</v>
      </c>
      <c r="B79" t="s">
        <v>204</v>
      </c>
      <c r="C79">
        <v>4.5242593204285197E-2</v>
      </c>
    </row>
    <row r="80" spans="1:3" x14ac:dyDescent="0.25">
      <c r="A80">
        <v>1999</v>
      </c>
      <c r="B80" t="s">
        <v>205</v>
      </c>
      <c r="C80">
        <v>0.30709950560802801</v>
      </c>
    </row>
    <row r="81" spans="1:3" x14ac:dyDescent="0.25">
      <c r="A81">
        <v>2000</v>
      </c>
      <c r="B81" t="s">
        <v>205</v>
      </c>
      <c r="C81">
        <v>0.31449490904930799</v>
      </c>
    </row>
    <row r="82" spans="1:3" x14ac:dyDescent="0.25">
      <c r="A82">
        <v>2001</v>
      </c>
      <c r="B82" t="s">
        <v>205</v>
      </c>
      <c r="C82">
        <v>0.336047420006926</v>
      </c>
    </row>
    <row r="83" spans="1:3" x14ac:dyDescent="0.25">
      <c r="A83">
        <v>2002</v>
      </c>
      <c r="B83" t="s">
        <v>205</v>
      </c>
      <c r="C83">
        <v>0.336331264392357</v>
      </c>
    </row>
    <row r="84" spans="1:3" x14ac:dyDescent="0.25">
      <c r="A84">
        <v>2003</v>
      </c>
      <c r="B84" t="s">
        <v>205</v>
      </c>
      <c r="C84">
        <v>0.32808836954537202</v>
      </c>
    </row>
    <row r="85" spans="1:3" x14ac:dyDescent="0.25">
      <c r="A85">
        <v>2004</v>
      </c>
      <c r="B85" t="s">
        <v>205</v>
      </c>
      <c r="C85">
        <v>0.33988250187515101</v>
      </c>
    </row>
    <row r="86" spans="1:3" x14ac:dyDescent="0.25">
      <c r="A86">
        <v>2005</v>
      </c>
      <c r="B86" t="s">
        <v>205</v>
      </c>
      <c r="C86">
        <v>0.33815420858270701</v>
      </c>
    </row>
    <row r="87" spans="1:3" x14ac:dyDescent="0.25">
      <c r="A87">
        <v>2006</v>
      </c>
      <c r="B87" t="s">
        <v>205</v>
      </c>
      <c r="C87">
        <v>0.334330716704068</v>
      </c>
    </row>
    <row r="88" spans="1:3" x14ac:dyDescent="0.25">
      <c r="A88">
        <v>2007</v>
      </c>
      <c r="B88" t="s">
        <v>205</v>
      </c>
      <c r="C88">
        <v>0.335979049490291</v>
      </c>
    </row>
    <row r="89" spans="1:3" x14ac:dyDescent="0.25">
      <c r="A89">
        <v>2008</v>
      </c>
      <c r="B89" t="s">
        <v>205</v>
      </c>
      <c r="C89">
        <v>0.33473082148450101</v>
      </c>
    </row>
    <row r="90" spans="1:3" x14ac:dyDescent="0.25">
      <c r="A90">
        <v>2009</v>
      </c>
      <c r="B90" t="s">
        <v>205</v>
      </c>
      <c r="C90">
        <v>0.36100989482345902</v>
      </c>
    </row>
    <row r="91" spans="1:3" x14ac:dyDescent="0.25">
      <c r="A91">
        <v>2010</v>
      </c>
      <c r="B91" t="s">
        <v>205</v>
      </c>
      <c r="C91">
        <v>0.34097752059921799</v>
      </c>
    </row>
    <row r="92" spans="1:3" x14ac:dyDescent="0.25">
      <c r="A92">
        <v>2011</v>
      </c>
      <c r="B92" t="s">
        <v>205</v>
      </c>
      <c r="C92">
        <v>0.33027970545185797</v>
      </c>
    </row>
    <row r="93" spans="1:3" x14ac:dyDescent="0.25">
      <c r="A93">
        <v>2012</v>
      </c>
      <c r="B93" t="s">
        <v>205</v>
      </c>
      <c r="C93">
        <v>0.32767471371448498</v>
      </c>
    </row>
    <row r="94" spans="1:3" x14ac:dyDescent="0.25">
      <c r="A94">
        <v>2013</v>
      </c>
      <c r="B94" t="s">
        <v>205</v>
      </c>
      <c r="C94">
        <v>0.32407124115743702</v>
      </c>
    </row>
    <row r="95" spans="1:3" x14ac:dyDescent="0.25">
      <c r="A95">
        <v>2014</v>
      </c>
      <c r="B95" t="s">
        <v>205</v>
      </c>
      <c r="C95">
        <v>0.32835232158975403</v>
      </c>
    </row>
    <row r="96" spans="1:3" x14ac:dyDescent="0.25">
      <c r="A96">
        <v>2015</v>
      </c>
      <c r="B96" t="s">
        <v>205</v>
      </c>
      <c r="C96">
        <v>0.32121200662756999</v>
      </c>
    </row>
    <row r="97" spans="1:3" x14ac:dyDescent="0.25">
      <c r="A97">
        <v>2016</v>
      </c>
      <c r="B97" t="s">
        <v>205</v>
      </c>
      <c r="C97">
        <v>0.30820309823900699</v>
      </c>
    </row>
    <row r="98" spans="1:3" x14ac:dyDescent="0.25">
      <c r="A98">
        <v>2017</v>
      </c>
      <c r="B98" t="s">
        <v>205</v>
      </c>
      <c r="C98">
        <v>0.29835089216009802</v>
      </c>
    </row>
    <row r="99" spans="1:3" x14ac:dyDescent="0.25">
      <c r="A99">
        <v>2018</v>
      </c>
      <c r="B99" t="s">
        <v>205</v>
      </c>
      <c r="C99">
        <v>0.28972603058299301</v>
      </c>
    </row>
    <row r="100" spans="1:3" x14ac:dyDescent="0.25">
      <c r="A100">
        <v>2019</v>
      </c>
      <c r="B100" t="s">
        <v>205</v>
      </c>
      <c r="C100">
        <v>0.27879722777831101</v>
      </c>
    </row>
    <row r="101" spans="1:3" x14ac:dyDescent="0.25">
      <c r="A101">
        <v>2020</v>
      </c>
      <c r="B101" t="s">
        <v>205</v>
      </c>
      <c r="C101">
        <v>0.337185050861666</v>
      </c>
    </row>
    <row r="102" spans="1:3" x14ac:dyDescent="0.25">
      <c r="A102">
        <v>2021</v>
      </c>
      <c r="B102" t="s">
        <v>205</v>
      </c>
      <c r="C102">
        <v>0.36835242480372399</v>
      </c>
    </row>
    <row r="103" spans="1:3" x14ac:dyDescent="0.25">
      <c r="A103">
        <v>2022</v>
      </c>
      <c r="B103" t="s">
        <v>205</v>
      </c>
      <c r="C103">
        <v>0.30596921897832102</v>
      </c>
    </row>
    <row r="104" spans="1:3" x14ac:dyDescent="0.25">
      <c r="A104">
        <v>2023</v>
      </c>
      <c r="B104" t="s">
        <v>205</v>
      </c>
      <c r="C104">
        <v>0.268174985798807</v>
      </c>
    </row>
    <row r="105" spans="1:3" x14ac:dyDescent="0.25">
      <c r="A105">
        <v>2024</v>
      </c>
      <c r="B105" t="s">
        <v>205</v>
      </c>
      <c r="C105">
        <v>0.25830239461994597</v>
      </c>
    </row>
    <row r="106" spans="1:3" x14ac:dyDescent="0.25">
      <c r="A106">
        <v>1999</v>
      </c>
      <c r="B106" t="s">
        <v>206</v>
      </c>
      <c r="C106">
        <v>8.3050472255017702E-2</v>
      </c>
    </row>
    <row r="107" spans="1:3" x14ac:dyDescent="0.25">
      <c r="A107">
        <v>2000</v>
      </c>
      <c r="B107" t="s">
        <v>206</v>
      </c>
      <c r="C107">
        <v>7.2043332482641498E-2</v>
      </c>
    </row>
    <row r="108" spans="1:3" x14ac:dyDescent="0.25">
      <c r="A108">
        <v>2001</v>
      </c>
      <c r="B108" t="s">
        <v>206</v>
      </c>
      <c r="C108">
        <v>6.7107202396772106E-2</v>
      </c>
    </row>
    <row r="109" spans="1:3" x14ac:dyDescent="0.25">
      <c r="A109">
        <v>2002</v>
      </c>
      <c r="B109" t="s">
        <v>206</v>
      </c>
      <c r="C109">
        <v>6.0531773748341601E-2</v>
      </c>
    </row>
    <row r="110" spans="1:3" x14ac:dyDescent="0.25">
      <c r="A110">
        <v>2003</v>
      </c>
      <c r="B110" t="s">
        <v>206</v>
      </c>
      <c r="C110">
        <v>5.8269125433631497E-2</v>
      </c>
    </row>
    <row r="111" spans="1:3" x14ac:dyDescent="0.25">
      <c r="A111">
        <v>2004</v>
      </c>
      <c r="B111" t="s">
        <v>206</v>
      </c>
      <c r="C111">
        <v>5.2113914126587099E-2</v>
      </c>
    </row>
    <row r="112" spans="1:3" x14ac:dyDescent="0.25">
      <c r="A112">
        <v>2005</v>
      </c>
      <c r="B112" t="s">
        <v>206</v>
      </c>
      <c r="C112">
        <v>4.9325098688399301E-2</v>
      </c>
    </row>
    <row r="113" spans="1:3" x14ac:dyDescent="0.25">
      <c r="A113">
        <v>2006</v>
      </c>
      <c r="B113" t="s">
        <v>206</v>
      </c>
      <c r="C113">
        <v>4.6765864253719903E-2</v>
      </c>
    </row>
    <row r="114" spans="1:3" x14ac:dyDescent="0.25">
      <c r="A114">
        <v>2007</v>
      </c>
      <c r="B114" t="s">
        <v>206</v>
      </c>
      <c r="C114">
        <v>4.33787984626645E-2</v>
      </c>
    </row>
    <row r="115" spans="1:3" x14ac:dyDescent="0.25">
      <c r="A115">
        <v>2008</v>
      </c>
      <c r="B115" t="s">
        <v>206</v>
      </c>
      <c r="C115">
        <v>4.1141636331580599E-2</v>
      </c>
    </row>
    <row r="116" spans="1:3" x14ac:dyDescent="0.25">
      <c r="A116">
        <v>2009</v>
      </c>
      <c r="B116" t="s">
        <v>206</v>
      </c>
      <c r="C116">
        <v>4.1797843733164801E-2</v>
      </c>
    </row>
    <row r="117" spans="1:3" x14ac:dyDescent="0.25">
      <c r="A117">
        <v>2010</v>
      </c>
      <c r="B117" t="s">
        <v>206</v>
      </c>
      <c r="C117">
        <v>4.8788883611693298E-2</v>
      </c>
    </row>
    <row r="118" spans="1:3" x14ac:dyDescent="0.25">
      <c r="A118">
        <v>2011</v>
      </c>
      <c r="B118" t="s">
        <v>206</v>
      </c>
      <c r="C118">
        <v>5.4677094291225498E-2</v>
      </c>
    </row>
    <row r="119" spans="1:3" x14ac:dyDescent="0.25">
      <c r="A119">
        <v>2012</v>
      </c>
      <c r="B119" t="s">
        <v>206</v>
      </c>
      <c r="C119">
        <v>5.9637863679406197E-2</v>
      </c>
    </row>
    <row r="120" spans="1:3" x14ac:dyDescent="0.25">
      <c r="A120">
        <v>2013</v>
      </c>
      <c r="B120" t="s">
        <v>206</v>
      </c>
      <c r="C120">
        <v>5.8947329383732497E-2</v>
      </c>
    </row>
    <row r="121" spans="1:3" x14ac:dyDescent="0.25">
      <c r="A121">
        <v>2014</v>
      </c>
      <c r="B121" t="s">
        <v>206</v>
      </c>
      <c r="C121">
        <v>6.2957974712333206E-2</v>
      </c>
    </row>
    <row r="122" spans="1:3" x14ac:dyDescent="0.25">
      <c r="A122">
        <v>2015</v>
      </c>
      <c r="B122" t="s">
        <v>206</v>
      </c>
      <c r="C122">
        <v>6.4993503055970001E-2</v>
      </c>
    </row>
    <row r="123" spans="1:3" x14ac:dyDescent="0.25">
      <c r="A123">
        <v>2016</v>
      </c>
      <c r="B123" t="s">
        <v>206</v>
      </c>
      <c r="C123">
        <v>6.3644065106129202E-2</v>
      </c>
    </row>
    <row r="124" spans="1:3" x14ac:dyDescent="0.25">
      <c r="A124">
        <v>2017</v>
      </c>
      <c r="B124" t="s">
        <v>206</v>
      </c>
      <c r="C124">
        <v>5.8662846381057399E-2</v>
      </c>
    </row>
    <row r="125" spans="1:3" x14ac:dyDescent="0.25">
      <c r="A125">
        <v>2018</v>
      </c>
      <c r="B125" t="s">
        <v>206</v>
      </c>
      <c r="C125">
        <v>5.9939627813376403E-2</v>
      </c>
    </row>
    <row r="126" spans="1:3" x14ac:dyDescent="0.25">
      <c r="A126">
        <v>2019</v>
      </c>
      <c r="B126" t="s">
        <v>206</v>
      </c>
      <c r="C126">
        <v>5.7813664779646799E-2</v>
      </c>
    </row>
    <row r="127" spans="1:3" x14ac:dyDescent="0.25">
      <c r="A127">
        <v>2020</v>
      </c>
      <c r="B127" t="s">
        <v>206</v>
      </c>
      <c r="C127">
        <v>4.5135375735572497E-2</v>
      </c>
    </row>
    <row r="128" spans="1:3" x14ac:dyDescent="0.25">
      <c r="A128">
        <v>2021</v>
      </c>
      <c r="B128" t="s">
        <v>206</v>
      </c>
      <c r="C128">
        <v>3.9815045895085902E-2</v>
      </c>
    </row>
    <row r="129" spans="1:3" x14ac:dyDescent="0.25">
      <c r="A129">
        <v>2022</v>
      </c>
      <c r="B129" t="s">
        <v>206</v>
      </c>
      <c r="C129">
        <v>4.5888746020790003E-2</v>
      </c>
    </row>
    <row r="130" spans="1:3" x14ac:dyDescent="0.25">
      <c r="A130">
        <v>2023</v>
      </c>
      <c r="B130" t="s">
        <v>206</v>
      </c>
      <c r="C130">
        <v>6.0041400853087901E-2</v>
      </c>
    </row>
    <row r="131" spans="1:3" x14ac:dyDescent="0.2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5" x14ac:dyDescent="0.25"/>
  <sheetData>
    <row r="1" spans="1:3" x14ac:dyDescent="0.25">
      <c r="A1" t="s">
        <v>207</v>
      </c>
      <c r="B1" t="s">
        <v>14</v>
      </c>
      <c r="C1" t="s">
        <v>16</v>
      </c>
    </row>
    <row r="2" spans="1:3" x14ac:dyDescent="0.25">
      <c r="A2">
        <v>1</v>
      </c>
      <c r="B2">
        <v>1999</v>
      </c>
      <c r="C2">
        <v>0.195460079693034</v>
      </c>
    </row>
    <row r="3" spans="1:3" x14ac:dyDescent="0.25">
      <c r="A3">
        <v>1</v>
      </c>
      <c r="B3">
        <v>2000</v>
      </c>
      <c r="C3">
        <v>0.18692193288921399</v>
      </c>
    </row>
    <row r="4" spans="1:3" x14ac:dyDescent="0.25">
      <c r="A4">
        <v>1</v>
      </c>
      <c r="B4">
        <v>2001</v>
      </c>
      <c r="C4">
        <v>0.16808411252587199</v>
      </c>
    </row>
    <row r="5" spans="1:3" x14ac:dyDescent="0.25">
      <c r="A5">
        <v>1</v>
      </c>
      <c r="B5">
        <v>2002</v>
      </c>
      <c r="C5">
        <v>0.154758818416116</v>
      </c>
    </row>
    <row r="6" spans="1:3" x14ac:dyDescent="0.25">
      <c r="A6">
        <v>1</v>
      </c>
      <c r="B6">
        <v>2003</v>
      </c>
      <c r="C6">
        <v>0.15219645791491701</v>
      </c>
    </row>
    <row r="7" spans="1:3" x14ac:dyDescent="0.25">
      <c r="A7">
        <v>1</v>
      </c>
      <c r="B7">
        <v>2004</v>
      </c>
      <c r="C7">
        <v>0.13935508394905</v>
      </c>
    </row>
    <row r="8" spans="1:3" x14ac:dyDescent="0.25">
      <c r="A8">
        <v>1</v>
      </c>
      <c r="B8">
        <v>2005</v>
      </c>
      <c r="C8">
        <v>0.141203998471922</v>
      </c>
    </row>
    <row r="9" spans="1:3" x14ac:dyDescent="0.25">
      <c r="A9">
        <v>1</v>
      </c>
      <c r="B9">
        <v>2006</v>
      </c>
      <c r="C9">
        <v>0.137897263504481</v>
      </c>
    </row>
    <row r="10" spans="1:3" x14ac:dyDescent="0.25">
      <c r="A10">
        <v>1</v>
      </c>
      <c r="B10">
        <v>2007</v>
      </c>
      <c r="C10">
        <v>0.141911316559196</v>
      </c>
    </row>
    <row r="11" spans="1:3" x14ac:dyDescent="0.25">
      <c r="A11">
        <v>1</v>
      </c>
      <c r="B11">
        <v>2008</v>
      </c>
      <c r="C11">
        <v>0.14057071445609501</v>
      </c>
    </row>
    <row r="12" spans="1:3" x14ac:dyDescent="0.25">
      <c r="A12">
        <v>1</v>
      </c>
      <c r="B12">
        <v>2009</v>
      </c>
      <c r="C12">
        <v>0.13379037885831099</v>
      </c>
    </row>
    <row r="13" spans="1:3" x14ac:dyDescent="0.25">
      <c r="A13">
        <v>1</v>
      </c>
      <c r="B13">
        <v>2010</v>
      </c>
      <c r="C13">
        <v>0.145412398311104</v>
      </c>
    </row>
    <row r="14" spans="1:3" x14ac:dyDescent="0.25">
      <c r="A14">
        <v>1</v>
      </c>
      <c r="B14">
        <v>2011</v>
      </c>
      <c r="C14">
        <v>0.152651200899208</v>
      </c>
    </row>
    <row r="15" spans="1:3" x14ac:dyDescent="0.25">
      <c r="A15">
        <v>1</v>
      </c>
      <c r="B15">
        <v>2012</v>
      </c>
      <c r="C15">
        <v>0.164684616298818</v>
      </c>
    </row>
    <row r="16" spans="1:3" x14ac:dyDescent="0.25">
      <c r="A16">
        <v>1</v>
      </c>
      <c r="B16">
        <v>2013</v>
      </c>
      <c r="C16">
        <v>0.159016864610278</v>
      </c>
    </row>
    <row r="17" spans="1:3" x14ac:dyDescent="0.25">
      <c r="A17">
        <v>1</v>
      </c>
      <c r="B17">
        <v>2014</v>
      </c>
      <c r="C17">
        <v>0.16196935345164601</v>
      </c>
    </row>
    <row r="18" spans="1:3" x14ac:dyDescent="0.25">
      <c r="A18">
        <v>1</v>
      </c>
      <c r="B18">
        <v>2015</v>
      </c>
      <c r="C18">
        <v>0.15979560407829299</v>
      </c>
    </row>
    <row r="19" spans="1:3" x14ac:dyDescent="0.25">
      <c r="A19">
        <v>1</v>
      </c>
      <c r="B19">
        <v>2016</v>
      </c>
      <c r="C19">
        <v>0.153645385141085</v>
      </c>
    </row>
    <row r="20" spans="1:3" x14ac:dyDescent="0.25">
      <c r="A20">
        <v>1</v>
      </c>
      <c r="B20">
        <v>2017</v>
      </c>
      <c r="C20">
        <v>0.15084708931259</v>
      </c>
    </row>
    <row r="21" spans="1:3" x14ac:dyDescent="0.25">
      <c r="A21">
        <v>1</v>
      </c>
      <c r="B21">
        <v>2018</v>
      </c>
      <c r="C21">
        <v>0.14292425259573999</v>
      </c>
    </row>
    <row r="22" spans="1:3" x14ac:dyDescent="0.25">
      <c r="A22">
        <v>1</v>
      </c>
      <c r="B22">
        <v>2019</v>
      </c>
      <c r="C22">
        <v>0.13898455202344101</v>
      </c>
    </row>
    <row r="23" spans="1:3" x14ac:dyDescent="0.25">
      <c r="A23">
        <v>1</v>
      </c>
      <c r="B23">
        <v>2020</v>
      </c>
      <c r="C23">
        <v>0.187363158501237</v>
      </c>
    </row>
    <row r="24" spans="1:3" x14ac:dyDescent="0.25">
      <c r="A24">
        <v>1</v>
      </c>
      <c r="B24">
        <v>2021</v>
      </c>
      <c r="C24">
        <v>0.20101223334714699</v>
      </c>
    </row>
    <row r="25" spans="1:3" x14ac:dyDescent="0.25">
      <c r="A25">
        <v>1</v>
      </c>
      <c r="B25">
        <v>2022</v>
      </c>
      <c r="C25">
        <v>0.14889343912241501</v>
      </c>
    </row>
    <row r="26" spans="1:3" x14ac:dyDescent="0.25">
      <c r="A26">
        <v>1</v>
      </c>
      <c r="B26">
        <v>2023</v>
      </c>
      <c r="C26">
        <v>0.141526320485065</v>
      </c>
    </row>
    <row r="27" spans="1:3" x14ac:dyDescent="0.25">
      <c r="A27">
        <v>1</v>
      </c>
      <c r="B27">
        <v>2024</v>
      </c>
      <c r="C27">
        <v>0.14086067106876901</v>
      </c>
    </row>
    <row r="28" spans="1:3" x14ac:dyDescent="0.25">
      <c r="A28">
        <v>2</v>
      </c>
      <c r="B28">
        <v>1999</v>
      </c>
      <c r="C28">
        <v>0.15295251623376599</v>
      </c>
    </row>
    <row r="29" spans="1:3" x14ac:dyDescent="0.25">
      <c r="A29">
        <v>2</v>
      </c>
      <c r="B29">
        <v>2000</v>
      </c>
      <c r="C29">
        <v>0.151531685337886</v>
      </c>
    </row>
    <row r="30" spans="1:3" x14ac:dyDescent="0.25">
      <c r="A30">
        <v>2</v>
      </c>
      <c r="B30">
        <v>2001</v>
      </c>
      <c r="C30">
        <v>0.15678884083532699</v>
      </c>
    </row>
    <row r="31" spans="1:3" x14ac:dyDescent="0.25">
      <c r="A31">
        <v>2</v>
      </c>
      <c r="B31">
        <v>2002</v>
      </c>
      <c r="C31">
        <v>0.16098851661506999</v>
      </c>
    </row>
    <row r="32" spans="1:3" x14ac:dyDescent="0.25">
      <c r="A32">
        <v>2</v>
      </c>
      <c r="B32">
        <v>2003</v>
      </c>
      <c r="C32">
        <v>0.16698557604528</v>
      </c>
    </row>
    <row r="33" spans="1:3" x14ac:dyDescent="0.25">
      <c r="A33">
        <v>2</v>
      </c>
      <c r="B33">
        <v>2004</v>
      </c>
      <c r="C33">
        <v>0.16478925343551401</v>
      </c>
    </row>
    <row r="34" spans="1:3" x14ac:dyDescent="0.25">
      <c r="A34">
        <v>2</v>
      </c>
      <c r="B34">
        <v>2005</v>
      </c>
      <c r="C34">
        <v>0.160581943206418</v>
      </c>
    </row>
    <row r="35" spans="1:3" x14ac:dyDescent="0.25">
      <c r="A35">
        <v>2</v>
      </c>
      <c r="B35">
        <v>2006</v>
      </c>
      <c r="C35">
        <v>0.16315629778502799</v>
      </c>
    </row>
    <row r="36" spans="1:3" x14ac:dyDescent="0.25">
      <c r="A36">
        <v>2</v>
      </c>
      <c r="B36">
        <v>2007</v>
      </c>
      <c r="C36">
        <v>0.16809667068348</v>
      </c>
    </row>
    <row r="37" spans="1:3" x14ac:dyDescent="0.25">
      <c r="A37">
        <v>2</v>
      </c>
      <c r="B37">
        <v>2008</v>
      </c>
      <c r="C37">
        <v>0.164781742945148</v>
      </c>
    </row>
    <row r="38" spans="1:3" x14ac:dyDescent="0.25">
      <c r="A38">
        <v>2</v>
      </c>
      <c r="B38">
        <v>2009</v>
      </c>
      <c r="C38">
        <v>0.15573265564514099</v>
      </c>
    </row>
    <row r="39" spans="1:3" x14ac:dyDescent="0.25">
      <c r="A39">
        <v>2</v>
      </c>
      <c r="B39">
        <v>2010</v>
      </c>
      <c r="C39">
        <v>0.15876539767057801</v>
      </c>
    </row>
    <row r="40" spans="1:3" x14ac:dyDescent="0.25">
      <c r="A40">
        <v>2</v>
      </c>
      <c r="B40">
        <v>2011</v>
      </c>
      <c r="C40">
        <v>0.16248319646904499</v>
      </c>
    </row>
    <row r="41" spans="1:3" x14ac:dyDescent="0.25">
      <c r="A41">
        <v>2</v>
      </c>
      <c r="B41">
        <v>2012</v>
      </c>
      <c r="C41">
        <v>0.162112167949057</v>
      </c>
    </row>
    <row r="42" spans="1:3" x14ac:dyDescent="0.25">
      <c r="A42">
        <v>2</v>
      </c>
      <c r="B42">
        <v>2013</v>
      </c>
      <c r="C42">
        <v>0.166452498168906</v>
      </c>
    </row>
    <row r="43" spans="1:3" x14ac:dyDescent="0.25">
      <c r="A43">
        <v>2</v>
      </c>
      <c r="B43">
        <v>2014</v>
      </c>
      <c r="C43">
        <v>0.16281334176729401</v>
      </c>
    </row>
    <row r="44" spans="1:3" x14ac:dyDescent="0.25">
      <c r="A44">
        <v>2</v>
      </c>
      <c r="B44">
        <v>2015</v>
      </c>
      <c r="C44">
        <v>0.15934872433019601</v>
      </c>
    </row>
    <row r="45" spans="1:3" x14ac:dyDescent="0.25">
      <c r="A45">
        <v>2</v>
      </c>
      <c r="B45">
        <v>2016</v>
      </c>
      <c r="C45">
        <v>0.161308271606382</v>
      </c>
    </row>
    <row r="46" spans="1:3" x14ac:dyDescent="0.25">
      <c r="A46">
        <v>2</v>
      </c>
      <c r="B46">
        <v>2017</v>
      </c>
      <c r="C46">
        <v>0.165198915081812</v>
      </c>
    </row>
    <row r="47" spans="1:3" x14ac:dyDescent="0.25">
      <c r="A47">
        <v>2</v>
      </c>
      <c r="B47">
        <v>2018</v>
      </c>
      <c r="C47">
        <v>0.17271189567735801</v>
      </c>
    </row>
    <row r="48" spans="1:3" x14ac:dyDescent="0.25">
      <c r="A48">
        <v>2</v>
      </c>
      <c r="B48">
        <v>2019</v>
      </c>
      <c r="C48">
        <v>0.175355569168998</v>
      </c>
    </row>
    <row r="49" spans="1:3" x14ac:dyDescent="0.25">
      <c r="A49">
        <v>2</v>
      </c>
      <c r="B49">
        <v>2020</v>
      </c>
      <c r="C49">
        <v>0.16504303582033999</v>
      </c>
    </row>
    <row r="50" spans="1:3" x14ac:dyDescent="0.25">
      <c r="A50">
        <v>2</v>
      </c>
      <c r="B50">
        <v>2021</v>
      </c>
      <c r="C50">
        <v>0.15973413133618899</v>
      </c>
    </row>
    <row r="51" spans="1:3" x14ac:dyDescent="0.25">
      <c r="A51">
        <v>2</v>
      </c>
      <c r="B51">
        <v>2022</v>
      </c>
      <c r="C51">
        <v>0.170716477103528</v>
      </c>
    </row>
    <row r="52" spans="1:3" x14ac:dyDescent="0.25">
      <c r="A52">
        <v>2</v>
      </c>
      <c r="B52">
        <v>2023</v>
      </c>
      <c r="C52">
        <v>0.17437370763498999</v>
      </c>
    </row>
    <row r="53" spans="1:3" x14ac:dyDescent="0.25">
      <c r="A53">
        <v>2</v>
      </c>
      <c r="B53">
        <v>2024</v>
      </c>
      <c r="C53">
        <v>0.17086088988874601</v>
      </c>
    </row>
    <row r="54" spans="1:3" x14ac:dyDescent="0.25">
      <c r="A54">
        <v>3</v>
      </c>
      <c r="B54">
        <v>1999</v>
      </c>
      <c r="C54">
        <v>0.32556541469893702</v>
      </c>
    </row>
    <row r="55" spans="1:3" x14ac:dyDescent="0.25">
      <c r="A55">
        <v>3</v>
      </c>
      <c r="B55">
        <v>2000</v>
      </c>
      <c r="C55">
        <v>0.325781243124797</v>
      </c>
    </row>
    <row r="56" spans="1:3" x14ac:dyDescent="0.25">
      <c r="A56">
        <v>3</v>
      </c>
      <c r="B56">
        <v>2001</v>
      </c>
      <c r="C56">
        <v>0.342345389676806</v>
      </c>
    </row>
    <row r="57" spans="1:3" x14ac:dyDescent="0.25">
      <c r="A57">
        <v>3</v>
      </c>
      <c r="B57">
        <v>2002</v>
      </c>
      <c r="C57">
        <v>0.34376953929208698</v>
      </c>
    </row>
    <row r="58" spans="1:3" x14ac:dyDescent="0.25">
      <c r="A58">
        <v>3</v>
      </c>
      <c r="B58">
        <v>2003</v>
      </c>
      <c r="C58">
        <v>0.33498995800620801</v>
      </c>
    </row>
    <row r="59" spans="1:3" x14ac:dyDescent="0.25">
      <c r="A59">
        <v>3</v>
      </c>
      <c r="B59">
        <v>2004</v>
      </c>
      <c r="C59">
        <v>0.34442359058250199</v>
      </c>
    </row>
    <row r="60" spans="1:3" x14ac:dyDescent="0.25">
      <c r="A60">
        <v>3</v>
      </c>
      <c r="B60">
        <v>2005</v>
      </c>
      <c r="C60">
        <v>0.33739653635553302</v>
      </c>
    </row>
    <row r="61" spans="1:3" x14ac:dyDescent="0.25">
      <c r="A61">
        <v>3</v>
      </c>
      <c r="B61">
        <v>2006</v>
      </c>
      <c r="C61">
        <v>0.334628129215222</v>
      </c>
    </row>
    <row r="62" spans="1:3" x14ac:dyDescent="0.25">
      <c r="A62">
        <v>3</v>
      </c>
      <c r="B62">
        <v>2007</v>
      </c>
      <c r="C62">
        <v>0.33246132309927301</v>
      </c>
    </row>
    <row r="63" spans="1:3" x14ac:dyDescent="0.25">
      <c r="A63">
        <v>3</v>
      </c>
      <c r="B63">
        <v>2008</v>
      </c>
      <c r="C63">
        <v>0.331388776536718</v>
      </c>
    </row>
    <row r="64" spans="1:3" x14ac:dyDescent="0.25">
      <c r="A64">
        <v>3</v>
      </c>
      <c r="B64">
        <v>2009</v>
      </c>
      <c r="C64">
        <v>0.35885044564211799</v>
      </c>
    </row>
    <row r="65" spans="1:3" x14ac:dyDescent="0.25">
      <c r="A65">
        <v>3</v>
      </c>
      <c r="B65">
        <v>2010</v>
      </c>
      <c r="C65">
        <v>0.31967241687327602</v>
      </c>
    </row>
    <row r="66" spans="1:3" x14ac:dyDescent="0.25">
      <c r="A66">
        <v>3</v>
      </c>
      <c r="B66">
        <v>2011</v>
      </c>
      <c r="C66">
        <v>0.31103773254748701</v>
      </c>
    </row>
    <row r="67" spans="1:3" x14ac:dyDescent="0.25">
      <c r="A67">
        <v>3</v>
      </c>
      <c r="B67">
        <v>2012</v>
      </c>
      <c r="C67">
        <v>0.31320229565137397</v>
      </c>
    </row>
    <row r="68" spans="1:3" x14ac:dyDescent="0.25">
      <c r="A68">
        <v>3</v>
      </c>
      <c r="B68">
        <v>2013</v>
      </c>
      <c r="C68">
        <v>0.31491855107130601</v>
      </c>
    </row>
    <row r="69" spans="1:3" x14ac:dyDescent="0.25">
      <c r="A69">
        <v>3</v>
      </c>
      <c r="B69">
        <v>2014</v>
      </c>
      <c r="C69">
        <v>0.31989111662319403</v>
      </c>
    </row>
    <row r="70" spans="1:3" x14ac:dyDescent="0.25">
      <c r="A70">
        <v>3</v>
      </c>
      <c r="B70">
        <v>2015</v>
      </c>
      <c r="C70">
        <v>0.32448969770303798</v>
      </c>
    </row>
    <row r="71" spans="1:3" x14ac:dyDescent="0.25">
      <c r="A71">
        <v>3</v>
      </c>
      <c r="B71">
        <v>2016</v>
      </c>
      <c r="C71">
        <v>0.32211025132463</v>
      </c>
    </row>
    <row r="72" spans="1:3" x14ac:dyDescent="0.25">
      <c r="A72">
        <v>3</v>
      </c>
      <c r="B72">
        <v>2017</v>
      </c>
      <c r="C72">
        <v>0.31474699997585498</v>
      </c>
    </row>
    <row r="73" spans="1:3" x14ac:dyDescent="0.25">
      <c r="A73">
        <v>3</v>
      </c>
      <c r="B73">
        <v>2018</v>
      </c>
      <c r="C73">
        <v>0.30895706815049301</v>
      </c>
    </row>
    <row r="74" spans="1:3" x14ac:dyDescent="0.25">
      <c r="A74">
        <v>3</v>
      </c>
      <c r="B74">
        <v>2019</v>
      </c>
      <c r="C74">
        <v>0.30924590551122999</v>
      </c>
    </row>
    <row r="75" spans="1:3" x14ac:dyDescent="0.25">
      <c r="A75">
        <v>3</v>
      </c>
      <c r="B75">
        <v>2020</v>
      </c>
      <c r="C75">
        <v>0.302380298116605</v>
      </c>
    </row>
    <row r="76" spans="1:3" x14ac:dyDescent="0.25">
      <c r="A76">
        <v>3</v>
      </c>
      <c r="B76">
        <v>2021</v>
      </c>
      <c r="C76">
        <v>0.30721201949825699</v>
      </c>
    </row>
    <row r="77" spans="1:3" x14ac:dyDescent="0.25">
      <c r="A77">
        <v>3</v>
      </c>
      <c r="B77">
        <v>2022</v>
      </c>
      <c r="C77">
        <v>0.31346363827336299</v>
      </c>
    </row>
    <row r="78" spans="1:3" x14ac:dyDescent="0.25">
      <c r="A78">
        <v>3</v>
      </c>
      <c r="B78">
        <v>2023</v>
      </c>
      <c r="C78">
        <v>0.31418346247101903</v>
      </c>
    </row>
    <row r="79" spans="1:3" x14ac:dyDescent="0.25">
      <c r="A79">
        <v>3</v>
      </c>
      <c r="B79">
        <v>2024</v>
      </c>
      <c r="C79">
        <v>0.327125445324703</v>
      </c>
    </row>
    <row r="80" spans="1:3" x14ac:dyDescent="0.25">
      <c r="A80">
        <v>4</v>
      </c>
      <c r="B80">
        <v>1999</v>
      </c>
      <c r="C80">
        <v>0.32602198937426202</v>
      </c>
    </row>
    <row r="81" spans="1:3" x14ac:dyDescent="0.25">
      <c r="A81">
        <v>4</v>
      </c>
      <c r="B81">
        <v>2000</v>
      </c>
      <c r="C81">
        <v>0.33576513864810398</v>
      </c>
    </row>
    <row r="82" spans="1:3" x14ac:dyDescent="0.25">
      <c r="A82">
        <v>4</v>
      </c>
      <c r="B82">
        <v>2001</v>
      </c>
      <c r="C82">
        <v>0.33278165696199502</v>
      </c>
    </row>
    <row r="83" spans="1:3" x14ac:dyDescent="0.25">
      <c r="A83">
        <v>4</v>
      </c>
      <c r="B83">
        <v>2002</v>
      </c>
      <c r="C83">
        <v>0.34048312567672701</v>
      </c>
    </row>
    <row r="84" spans="1:3" x14ac:dyDescent="0.25">
      <c r="A84">
        <v>4</v>
      </c>
      <c r="B84">
        <v>2003</v>
      </c>
      <c r="C84">
        <v>0.34582800803359498</v>
      </c>
    </row>
    <row r="85" spans="1:3" x14ac:dyDescent="0.25">
      <c r="A85">
        <v>4</v>
      </c>
      <c r="B85">
        <v>2004</v>
      </c>
      <c r="C85">
        <v>0.35143207203293497</v>
      </c>
    </row>
    <row r="86" spans="1:3" x14ac:dyDescent="0.25">
      <c r="A86">
        <v>4</v>
      </c>
      <c r="B86">
        <v>2005</v>
      </c>
      <c r="C86">
        <v>0.36081752196612799</v>
      </c>
    </row>
    <row r="87" spans="1:3" x14ac:dyDescent="0.25">
      <c r="A87">
        <v>4</v>
      </c>
      <c r="B87">
        <v>2006</v>
      </c>
      <c r="C87">
        <v>0.36431830949527</v>
      </c>
    </row>
    <row r="88" spans="1:3" x14ac:dyDescent="0.25">
      <c r="A88">
        <v>4</v>
      </c>
      <c r="B88">
        <v>2007</v>
      </c>
      <c r="C88">
        <v>0.35753068965805102</v>
      </c>
    </row>
    <row r="89" spans="1:3" x14ac:dyDescent="0.25">
      <c r="A89">
        <v>4</v>
      </c>
      <c r="B89">
        <v>2008</v>
      </c>
      <c r="C89">
        <v>0.363258766062039</v>
      </c>
    </row>
    <row r="90" spans="1:3" x14ac:dyDescent="0.25">
      <c r="A90">
        <v>4</v>
      </c>
      <c r="B90">
        <v>2009</v>
      </c>
      <c r="C90">
        <v>0.35162651985443</v>
      </c>
    </row>
    <row r="91" spans="1:3" x14ac:dyDescent="0.25">
      <c r="A91">
        <v>4</v>
      </c>
      <c r="B91">
        <v>2010</v>
      </c>
      <c r="C91">
        <v>0.37614978714504199</v>
      </c>
    </row>
    <row r="92" spans="1:3" x14ac:dyDescent="0.25">
      <c r="A92">
        <v>4</v>
      </c>
      <c r="B92">
        <v>2011</v>
      </c>
      <c r="C92">
        <v>0.37382787008425999</v>
      </c>
    </row>
    <row r="93" spans="1:3" x14ac:dyDescent="0.25">
      <c r="A93">
        <v>4</v>
      </c>
      <c r="B93">
        <v>2012</v>
      </c>
      <c r="C93">
        <v>0.36000092010075102</v>
      </c>
    </row>
    <row r="94" spans="1:3" x14ac:dyDescent="0.25">
      <c r="A94">
        <v>4</v>
      </c>
      <c r="B94">
        <v>2013</v>
      </c>
      <c r="C94">
        <v>0.35961208614951001</v>
      </c>
    </row>
    <row r="95" spans="1:3" x14ac:dyDescent="0.25">
      <c r="A95">
        <v>4</v>
      </c>
      <c r="B95">
        <v>2014</v>
      </c>
      <c r="C95">
        <v>0.35532618815786698</v>
      </c>
    </row>
    <row r="96" spans="1:3" x14ac:dyDescent="0.25">
      <c r="A96">
        <v>4</v>
      </c>
      <c r="B96">
        <v>2015</v>
      </c>
      <c r="C96">
        <v>0.35636597388847302</v>
      </c>
    </row>
    <row r="97" spans="1:3" x14ac:dyDescent="0.25">
      <c r="A97">
        <v>4</v>
      </c>
      <c r="B97">
        <v>2016</v>
      </c>
      <c r="C97">
        <v>0.36293609192790299</v>
      </c>
    </row>
    <row r="98" spans="1:3" x14ac:dyDescent="0.25">
      <c r="A98">
        <v>4</v>
      </c>
      <c r="B98">
        <v>2017</v>
      </c>
      <c r="C98">
        <v>0.36920699562974402</v>
      </c>
    </row>
    <row r="99" spans="1:3" x14ac:dyDescent="0.25">
      <c r="A99">
        <v>4</v>
      </c>
      <c r="B99">
        <v>2018</v>
      </c>
      <c r="C99">
        <v>0.375406783576409</v>
      </c>
    </row>
    <row r="100" spans="1:3" x14ac:dyDescent="0.25">
      <c r="A100">
        <v>4</v>
      </c>
      <c r="B100">
        <v>2019</v>
      </c>
      <c r="C100">
        <v>0.37641397329633097</v>
      </c>
    </row>
    <row r="101" spans="1:3" x14ac:dyDescent="0.25">
      <c r="A101">
        <v>4</v>
      </c>
      <c r="B101">
        <v>2020</v>
      </c>
      <c r="C101">
        <v>0.34521350756181901</v>
      </c>
    </row>
    <row r="102" spans="1:3" x14ac:dyDescent="0.25">
      <c r="A102">
        <v>4</v>
      </c>
      <c r="B102">
        <v>2021</v>
      </c>
      <c r="C102">
        <v>0.33204161581840702</v>
      </c>
    </row>
    <row r="103" spans="1:3" x14ac:dyDescent="0.25">
      <c r="A103">
        <v>4</v>
      </c>
      <c r="B103">
        <v>2022</v>
      </c>
      <c r="C103">
        <v>0.36692644550069398</v>
      </c>
    </row>
    <row r="104" spans="1:3" x14ac:dyDescent="0.25">
      <c r="A104">
        <v>4</v>
      </c>
      <c r="B104">
        <v>2023</v>
      </c>
      <c r="C104">
        <v>0.36991650940892501</v>
      </c>
    </row>
    <row r="105" spans="1:3" x14ac:dyDescent="0.2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5" x14ac:dyDescent="0.25"/>
  <cols>
    <col min="1" max="1" width="40.28515625" bestFit="1" customWidth="1"/>
  </cols>
  <sheetData>
    <row r="1" spans="1:4" x14ac:dyDescent="0.25">
      <c r="A1" t="s">
        <v>208</v>
      </c>
      <c r="B1" t="s">
        <v>209</v>
      </c>
      <c r="C1" t="s">
        <v>210</v>
      </c>
      <c r="D1" t="s">
        <v>211</v>
      </c>
    </row>
    <row r="2" spans="1:4" x14ac:dyDescent="0.2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2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2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2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2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2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2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2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2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2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2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2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2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2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2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2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2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2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2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2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2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5" x14ac:dyDescent="0.25"/>
  <sheetData>
    <row r="1" spans="1:5" x14ac:dyDescent="0.2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2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2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2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2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2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2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2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2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2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2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2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2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2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2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2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2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2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2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2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2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2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2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2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2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2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2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2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2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2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2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2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2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2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2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2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2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2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2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2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2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2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2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2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2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2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2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2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2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2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2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2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2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2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2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2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2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2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2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2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2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2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2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2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2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2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2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2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2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2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2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2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2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2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2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2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2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2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2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2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2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2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2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2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2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2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2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2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2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2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2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2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2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2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2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2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2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2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2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2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2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2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2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2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2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2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2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2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2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2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2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2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2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2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2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2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2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2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2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2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2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2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2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2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2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2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2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2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2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2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2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5" x14ac:dyDescent="0.25"/>
  <sheetData>
    <row r="1" spans="1:3" x14ac:dyDescent="0.25">
      <c r="A1" t="s">
        <v>5</v>
      </c>
      <c r="B1" t="s">
        <v>7</v>
      </c>
      <c r="C1" t="s">
        <v>236</v>
      </c>
    </row>
    <row r="2" spans="1:3" x14ac:dyDescent="0.25">
      <c r="A2">
        <v>1982</v>
      </c>
      <c r="B2" t="s">
        <v>237</v>
      </c>
      <c r="C2">
        <v>1.7488604999999999</v>
      </c>
    </row>
    <row r="3" spans="1:3" x14ac:dyDescent="0.25">
      <c r="A3">
        <v>1983</v>
      </c>
      <c r="B3" t="s">
        <v>237</v>
      </c>
      <c r="C3">
        <v>1.3779083000000001</v>
      </c>
    </row>
    <row r="4" spans="1:3" x14ac:dyDescent="0.25">
      <c r="A4">
        <v>1984</v>
      </c>
      <c r="B4" t="s">
        <v>237</v>
      </c>
      <c r="C4">
        <v>1.2077781999999999</v>
      </c>
    </row>
    <row r="5" spans="1:3" x14ac:dyDescent="0.25">
      <c r="A5">
        <v>1985</v>
      </c>
      <c r="B5" t="s">
        <v>237</v>
      </c>
      <c r="C5">
        <v>1.3410088</v>
      </c>
    </row>
    <row r="6" spans="1:3" x14ac:dyDescent="0.25">
      <c r="A6">
        <v>1986</v>
      </c>
      <c r="B6" t="s">
        <v>237</v>
      </c>
      <c r="C6">
        <v>1.4570145000000001</v>
      </c>
    </row>
    <row r="7" spans="1:3" x14ac:dyDescent="0.25">
      <c r="A7">
        <v>1987</v>
      </c>
      <c r="B7" t="s">
        <v>237</v>
      </c>
      <c r="C7">
        <v>1.5327671</v>
      </c>
    </row>
    <row r="8" spans="1:3" x14ac:dyDescent="0.25">
      <c r="A8">
        <v>1988</v>
      </c>
      <c r="B8" t="s">
        <v>237</v>
      </c>
      <c r="C8">
        <v>1.649607</v>
      </c>
    </row>
    <row r="9" spans="1:3" x14ac:dyDescent="0.25">
      <c r="A9">
        <v>1989</v>
      </c>
      <c r="B9" t="s">
        <v>237</v>
      </c>
      <c r="C9">
        <v>1.7072901</v>
      </c>
    </row>
    <row r="10" spans="1:3" x14ac:dyDescent="0.25">
      <c r="A10">
        <v>1990</v>
      </c>
      <c r="B10" t="s">
        <v>237</v>
      </c>
      <c r="C10">
        <v>1.4910539</v>
      </c>
    </row>
    <row r="11" spans="1:3" x14ac:dyDescent="0.25">
      <c r="A11">
        <v>1991</v>
      </c>
      <c r="B11" t="s">
        <v>237</v>
      </c>
      <c r="C11">
        <v>1.2827797000000001</v>
      </c>
    </row>
    <row r="12" spans="1:3" x14ac:dyDescent="0.25">
      <c r="A12">
        <v>1992</v>
      </c>
      <c r="B12" t="s">
        <v>237</v>
      </c>
      <c r="C12">
        <v>1.1258887</v>
      </c>
    </row>
    <row r="13" spans="1:3" x14ac:dyDescent="0.25">
      <c r="A13">
        <v>1993</v>
      </c>
      <c r="B13" t="s">
        <v>237</v>
      </c>
      <c r="C13">
        <v>0.89350799999999997</v>
      </c>
    </row>
    <row r="14" spans="1:3" x14ac:dyDescent="0.25">
      <c r="A14">
        <v>1994</v>
      </c>
      <c r="B14" t="s">
        <v>237</v>
      </c>
      <c r="C14">
        <v>0.96774519999999997</v>
      </c>
    </row>
    <row r="15" spans="1:3" x14ac:dyDescent="0.25">
      <c r="A15">
        <v>1995</v>
      </c>
      <c r="B15" t="s">
        <v>237</v>
      </c>
      <c r="C15">
        <v>1.1199593000000001</v>
      </c>
    </row>
    <row r="16" spans="1:3" x14ac:dyDescent="0.25">
      <c r="A16">
        <v>1996</v>
      </c>
      <c r="B16" t="s">
        <v>237</v>
      </c>
      <c r="C16">
        <v>1.2212521000000001</v>
      </c>
    </row>
    <row r="17" spans="1:3" x14ac:dyDescent="0.25">
      <c r="A17">
        <v>1997</v>
      </c>
      <c r="B17" t="s">
        <v>237</v>
      </c>
      <c r="C17">
        <v>1.0879151</v>
      </c>
    </row>
    <row r="18" spans="1:3" x14ac:dyDescent="0.25">
      <c r="A18">
        <v>1998</v>
      </c>
      <c r="B18" t="s">
        <v>237</v>
      </c>
      <c r="C18">
        <v>1.0017187000000001</v>
      </c>
    </row>
    <row r="19" spans="1:3" x14ac:dyDescent="0.25">
      <c r="A19">
        <v>1999</v>
      </c>
      <c r="B19" t="s">
        <v>237</v>
      </c>
      <c r="C19">
        <v>1.0999816</v>
      </c>
    </row>
    <row r="20" spans="1:3" x14ac:dyDescent="0.25">
      <c r="A20">
        <v>2000</v>
      </c>
      <c r="B20" t="s">
        <v>237</v>
      </c>
      <c r="C20">
        <v>1.1510469999999999</v>
      </c>
    </row>
    <row r="21" spans="1:3" x14ac:dyDescent="0.25">
      <c r="A21">
        <v>2001</v>
      </c>
      <c r="B21" t="s">
        <v>237</v>
      </c>
      <c r="C21">
        <v>1.2922464</v>
      </c>
    </row>
    <row r="22" spans="1:3" x14ac:dyDescent="0.25">
      <c r="A22">
        <v>2002</v>
      </c>
      <c r="B22" t="s">
        <v>237</v>
      </c>
      <c r="C22">
        <v>1.1440333</v>
      </c>
    </row>
    <row r="23" spans="1:3" x14ac:dyDescent="0.25">
      <c r="A23">
        <v>2003</v>
      </c>
      <c r="B23" t="s">
        <v>237</v>
      </c>
      <c r="C23">
        <v>1.1568328999999999</v>
      </c>
    </row>
    <row r="24" spans="1:3" x14ac:dyDescent="0.25">
      <c r="A24">
        <v>2004</v>
      </c>
      <c r="B24" t="s">
        <v>237</v>
      </c>
      <c r="C24">
        <v>1.0749344999999999</v>
      </c>
    </row>
    <row r="25" spans="1:3" x14ac:dyDescent="0.25">
      <c r="A25">
        <v>2005</v>
      </c>
      <c r="B25" t="s">
        <v>237</v>
      </c>
      <c r="C25">
        <v>1.2247299</v>
      </c>
    </row>
    <row r="26" spans="1:3" x14ac:dyDescent="0.25">
      <c r="A26">
        <v>2006</v>
      </c>
      <c r="B26" t="s">
        <v>237</v>
      </c>
      <c r="C26">
        <v>1.3585970000000001</v>
      </c>
    </row>
    <row r="27" spans="1:3" x14ac:dyDescent="0.25">
      <c r="A27">
        <v>2007</v>
      </c>
      <c r="B27" t="s">
        <v>237</v>
      </c>
      <c r="C27">
        <v>1.8417516</v>
      </c>
    </row>
    <row r="28" spans="1:3" x14ac:dyDescent="0.25">
      <c r="A28">
        <v>2008</v>
      </c>
      <c r="B28" t="s">
        <v>237</v>
      </c>
      <c r="C28">
        <v>2.0241245000000001</v>
      </c>
    </row>
    <row r="29" spans="1:3" x14ac:dyDescent="0.25">
      <c r="A29">
        <v>2009</v>
      </c>
      <c r="B29" t="s">
        <v>237</v>
      </c>
      <c r="C29">
        <v>2.0822150000000001</v>
      </c>
    </row>
    <row r="30" spans="1:3" x14ac:dyDescent="0.25">
      <c r="A30">
        <v>2010</v>
      </c>
      <c r="B30" t="s">
        <v>237</v>
      </c>
      <c r="C30">
        <v>1.5678704000000001</v>
      </c>
    </row>
    <row r="31" spans="1:3" x14ac:dyDescent="0.25">
      <c r="A31">
        <v>2011</v>
      </c>
      <c r="B31" t="s">
        <v>237</v>
      </c>
      <c r="C31">
        <v>1.3992260999999999</v>
      </c>
    </row>
    <row r="32" spans="1:3" x14ac:dyDescent="0.25">
      <c r="A32">
        <v>2012</v>
      </c>
      <c r="B32" t="s">
        <v>237</v>
      </c>
      <c r="C32">
        <v>1.7611485</v>
      </c>
    </row>
    <row r="33" spans="1:3" x14ac:dyDescent="0.25">
      <c r="A33">
        <v>2013</v>
      </c>
      <c r="B33" t="s">
        <v>237</v>
      </c>
      <c r="C33">
        <v>1.7360485999999999</v>
      </c>
    </row>
    <row r="34" spans="1:3" x14ac:dyDescent="0.25">
      <c r="A34">
        <v>2014</v>
      </c>
      <c r="B34" t="s">
        <v>237</v>
      </c>
      <c r="C34">
        <v>1.5027459000000001</v>
      </c>
    </row>
    <row r="35" spans="1:3" x14ac:dyDescent="0.25">
      <c r="A35">
        <v>2015</v>
      </c>
      <c r="B35" t="s">
        <v>237</v>
      </c>
      <c r="C35">
        <v>1.4496232</v>
      </c>
    </row>
    <row r="36" spans="1:3" x14ac:dyDescent="0.25">
      <c r="A36">
        <v>2016</v>
      </c>
      <c r="B36" t="s">
        <v>237</v>
      </c>
      <c r="C36">
        <v>1.5742024999999999</v>
      </c>
    </row>
    <row r="37" spans="1:3" x14ac:dyDescent="0.25">
      <c r="A37">
        <v>2017</v>
      </c>
      <c r="B37" t="s">
        <v>237</v>
      </c>
      <c r="C37">
        <v>1.6604627999999999</v>
      </c>
    </row>
    <row r="38" spans="1:3" x14ac:dyDescent="0.25">
      <c r="A38">
        <v>2018</v>
      </c>
      <c r="B38" t="s">
        <v>237</v>
      </c>
      <c r="C38">
        <v>1.5072428</v>
      </c>
    </row>
    <row r="39" spans="1:3" x14ac:dyDescent="0.25">
      <c r="A39">
        <v>2019</v>
      </c>
      <c r="B39" t="s">
        <v>237</v>
      </c>
      <c r="C39">
        <v>1.4884596000000001</v>
      </c>
    </row>
    <row r="40" spans="1:3" x14ac:dyDescent="0.25">
      <c r="A40">
        <v>2020</v>
      </c>
      <c r="B40" t="s">
        <v>237</v>
      </c>
      <c r="C40">
        <v>1.2410663</v>
      </c>
    </row>
    <row r="41" spans="1:3" x14ac:dyDescent="0.25">
      <c r="A41">
        <v>2021</v>
      </c>
      <c r="B41" t="s">
        <v>237</v>
      </c>
      <c r="C41">
        <v>0.14099439999999999</v>
      </c>
    </row>
    <row r="42" spans="1:3" x14ac:dyDescent="0.25">
      <c r="A42">
        <v>2022</v>
      </c>
      <c r="B42" t="s">
        <v>237</v>
      </c>
      <c r="C42">
        <v>1.2976588</v>
      </c>
    </row>
    <row r="43" spans="1:3" x14ac:dyDescent="0.25">
      <c r="A43">
        <v>2023</v>
      </c>
      <c r="B43" t="s">
        <v>237</v>
      </c>
      <c r="C43">
        <v>2.4643831999999999</v>
      </c>
    </row>
    <row r="44" spans="1:3" x14ac:dyDescent="0.25">
      <c r="A44">
        <v>2024</v>
      </c>
      <c r="B44" t="s">
        <v>237</v>
      </c>
      <c r="C44">
        <v>2.0025115000000002</v>
      </c>
    </row>
    <row r="45" spans="1:3" x14ac:dyDescent="0.25">
      <c r="A45">
        <v>2024</v>
      </c>
      <c r="B45" t="s">
        <v>238</v>
      </c>
      <c r="C45">
        <v>1.6445938</v>
      </c>
    </row>
    <row r="46" spans="1:3" x14ac:dyDescent="0.25">
      <c r="A46">
        <v>2025</v>
      </c>
      <c r="B46" t="s">
        <v>238</v>
      </c>
      <c r="C46">
        <v>1.569215</v>
      </c>
    </row>
    <row r="47" spans="1:3" x14ac:dyDescent="0.25">
      <c r="A47">
        <v>2026</v>
      </c>
      <c r="B47" t="s">
        <v>238</v>
      </c>
      <c r="C47">
        <v>1.4990794999999999</v>
      </c>
    </row>
    <row r="48" spans="1:3" x14ac:dyDescent="0.25">
      <c r="A48">
        <v>2027</v>
      </c>
      <c r="B48" t="s">
        <v>238</v>
      </c>
      <c r="C48">
        <v>1.4220474000000001</v>
      </c>
    </row>
    <row r="49" spans="1:3" x14ac:dyDescent="0.25">
      <c r="A49">
        <v>2028</v>
      </c>
      <c r="B49" t="s">
        <v>238</v>
      </c>
      <c r="C49">
        <v>1.3480966000000001</v>
      </c>
    </row>
    <row r="50" spans="1:3" x14ac:dyDescent="0.25">
      <c r="A50">
        <v>2029</v>
      </c>
      <c r="B50" t="s">
        <v>238</v>
      </c>
      <c r="C50">
        <v>1.2772174999999999</v>
      </c>
    </row>
    <row r="51" spans="1:3" x14ac:dyDescent="0.25">
      <c r="A51">
        <v>2030</v>
      </c>
      <c r="B51" t="s">
        <v>238</v>
      </c>
      <c r="C51">
        <v>1.2044813999999999</v>
      </c>
    </row>
    <row r="52" spans="1:3" x14ac:dyDescent="0.25">
      <c r="A52">
        <v>2031</v>
      </c>
      <c r="B52" t="s">
        <v>238</v>
      </c>
      <c r="C52">
        <v>1.1372975999999999</v>
      </c>
    </row>
    <row r="53" spans="1:3" x14ac:dyDescent="0.25">
      <c r="A53">
        <v>2032</v>
      </c>
      <c r="B53" t="s">
        <v>238</v>
      </c>
      <c r="C53">
        <v>1.0665468</v>
      </c>
    </row>
    <row r="54" spans="1:3" x14ac:dyDescent="0.25">
      <c r="A54">
        <v>2033</v>
      </c>
      <c r="B54" t="s">
        <v>238</v>
      </c>
      <c r="C54">
        <v>1.0384101999999999</v>
      </c>
    </row>
    <row r="55" spans="1:3" x14ac:dyDescent="0.25">
      <c r="A55">
        <v>2034</v>
      </c>
      <c r="B55" t="s">
        <v>238</v>
      </c>
      <c r="C55">
        <v>1.0118366000000001</v>
      </c>
    </row>
    <row r="56" spans="1:3" x14ac:dyDescent="0.25">
      <c r="A56">
        <v>2035</v>
      </c>
      <c r="B56" t="s">
        <v>238</v>
      </c>
      <c r="C56">
        <v>0.98687510000000001</v>
      </c>
    </row>
    <row r="57" spans="1:3" x14ac:dyDescent="0.25">
      <c r="A57">
        <v>2036</v>
      </c>
      <c r="B57" t="s">
        <v>238</v>
      </c>
      <c r="C57">
        <v>0.96357380000000004</v>
      </c>
    </row>
    <row r="58" spans="1:3" x14ac:dyDescent="0.25">
      <c r="A58">
        <v>2037</v>
      </c>
      <c r="B58" t="s">
        <v>238</v>
      </c>
      <c r="C58">
        <v>0.94073209999999996</v>
      </c>
    </row>
    <row r="59" spans="1:3" x14ac:dyDescent="0.25">
      <c r="A59">
        <v>2038</v>
      </c>
      <c r="B59" t="s">
        <v>238</v>
      </c>
      <c r="C59">
        <v>0.91907269999999996</v>
      </c>
    </row>
    <row r="60" spans="1:3" x14ac:dyDescent="0.25">
      <c r="A60">
        <v>2039</v>
      </c>
      <c r="B60" t="s">
        <v>238</v>
      </c>
      <c r="C60">
        <v>0.8984666</v>
      </c>
    </row>
    <row r="61" spans="1:3" x14ac:dyDescent="0.25">
      <c r="A61">
        <v>2040</v>
      </c>
      <c r="B61" t="s">
        <v>238</v>
      </c>
      <c r="C61">
        <v>0.87841400000000003</v>
      </c>
    </row>
    <row r="62" spans="1:3" x14ac:dyDescent="0.25">
      <c r="A62">
        <v>2041</v>
      </c>
      <c r="B62" t="s">
        <v>238</v>
      </c>
      <c r="C62">
        <v>0.85866010000000004</v>
      </c>
    </row>
    <row r="63" spans="1:3" x14ac:dyDescent="0.25">
      <c r="A63">
        <v>2042</v>
      </c>
      <c r="B63" t="s">
        <v>238</v>
      </c>
      <c r="C63">
        <v>0.83903799999999995</v>
      </c>
    </row>
    <row r="64" spans="1:3" x14ac:dyDescent="0.25">
      <c r="A64">
        <v>2043</v>
      </c>
      <c r="B64" t="s">
        <v>238</v>
      </c>
      <c r="C64">
        <v>0.81947289999999995</v>
      </c>
    </row>
    <row r="65" spans="1:3" x14ac:dyDescent="0.25">
      <c r="A65">
        <v>2044</v>
      </c>
      <c r="B65" t="s">
        <v>238</v>
      </c>
      <c r="C65">
        <v>0.80000159999999998</v>
      </c>
    </row>
    <row r="66" spans="1:3" x14ac:dyDescent="0.25">
      <c r="A66">
        <v>2045</v>
      </c>
      <c r="B66" t="s">
        <v>238</v>
      </c>
      <c r="C66">
        <v>0.78070700000000004</v>
      </c>
    </row>
    <row r="67" spans="1:3" x14ac:dyDescent="0.25">
      <c r="A67">
        <v>2046</v>
      </c>
      <c r="B67" t="s">
        <v>238</v>
      </c>
      <c r="C67">
        <v>0.76135940000000002</v>
      </c>
    </row>
    <row r="68" spans="1:3" x14ac:dyDescent="0.25">
      <c r="A68">
        <v>2047</v>
      </c>
      <c r="B68" t="s">
        <v>238</v>
      </c>
      <c r="C68">
        <v>0.74214780000000002</v>
      </c>
    </row>
    <row r="69" spans="1:3" x14ac:dyDescent="0.25">
      <c r="A69">
        <v>2048</v>
      </c>
      <c r="B69" t="s">
        <v>238</v>
      </c>
      <c r="C69">
        <v>0.72341169999999999</v>
      </c>
    </row>
    <row r="70" spans="1:3" x14ac:dyDescent="0.25">
      <c r="A70">
        <v>2049</v>
      </c>
      <c r="B70" t="s">
        <v>238</v>
      </c>
      <c r="C70">
        <v>0.70489139999999995</v>
      </c>
    </row>
    <row r="71" spans="1:3" x14ac:dyDescent="0.25">
      <c r="A71">
        <v>2050</v>
      </c>
      <c r="B71" t="s">
        <v>238</v>
      </c>
      <c r="C71">
        <v>0.686778</v>
      </c>
    </row>
    <row r="72" spans="1:3" x14ac:dyDescent="0.25">
      <c r="A72">
        <v>2051</v>
      </c>
      <c r="B72" t="s">
        <v>238</v>
      </c>
      <c r="C72">
        <v>0.66943960000000002</v>
      </c>
    </row>
    <row r="73" spans="1:3" x14ac:dyDescent="0.25">
      <c r="A73">
        <v>2052</v>
      </c>
      <c r="B73" t="s">
        <v>238</v>
      </c>
      <c r="C73">
        <v>0.65292490000000003</v>
      </c>
    </row>
    <row r="74" spans="1:3" x14ac:dyDescent="0.25">
      <c r="A74">
        <v>2053</v>
      </c>
      <c r="B74" t="s">
        <v>238</v>
      </c>
      <c r="C74">
        <v>0.63748539999999998</v>
      </c>
    </row>
    <row r="75" spans="1:3" x14ac:dyDescent="0.25">
      <c r="A75">
        <v>2054</v>
      </c>
      <c r="B75" t="s">
        <v>238</v>
      </c>
      <c r="C75">
        <v>0.62300560000000005</v>
      </c>
    </row>
    <row r="76" spans="1:3" x14ac:dyDescent="0.25">
      <c r="A76">
        <v>2055</v>
      </c>
      <c r="B76" t="s">
        <v>238</v>
      </c>
      <c r="C76">
        <v>0.60968750000000005</v>
      </c>
    </row>
    <row r="77" spans="1:3" x14ac:dyDescent="0.25">
      <c r="A77">
        <v>2056</v>
      </c>
      <c r="B77" t="s">
        <v>238</v>
      </c>
      <c r="C77">
        <v>0.59720569999999995</v>
      </c>
    </row>
    <row r="78" spans="1:3" x14ac:dyDescent="0.25">
      <c r="A78">
        <v>2057</v>
      </c>
      <c r="B78" t="s">
        <v>238</v>
      </c>
      <c r="C78">
        <v>0.58568430000000005</v>
      </c>
    </row>
    <row r="79" spans="1:3" x14ac:dyDescent="0.25">
      <c r="A79">
        <v>2058</v>
      </c>
      <c r="B79" t="s">
        <v>238</v>
      </c>
      <c r="C79">
        <v>0.57496729999999996</v>
      </c>
    </row>
    <row r="80" spans="1:3" x14ac:dyDescent="0.25">
      <c r="A80">
        <v>2059</v>
      </c>
      <c r="B80" t="s">
        <v>238</v>
      </c>
      <c r="C80">
        <v>0.56490370000000001</v>
      </c>
    </row>
    <row r="81" spans="1:3" x14ac:dyDescent="0.25">
      <c r="A81">
        <v>2060</v>
      </c>
      <c r="B81" t="s">
        <v>238</v>
      </c>
      <c r="C81">
        <v>0.55548830000000005</v>
      </c>
    </row>
    <row r="82" spans="1:3" x14ac:dyDescent="0.25">
      <c r="A82">
        <v>2061</v>
      </c>
      <c r="B82" t="s">
        <v>238</v>
      </c>
      <c r="C82">
        <v>0.54656819999999995</v>
      </c>
    </row>
    <row r="83" spans="1:3" x14ac:dyDescent="0.25">
      <c r="A83">
        <v>2062</v>
      </c>
      <c r="B83" t="s">
        <v>238</v>
      </c>
      <c r="C83">
        <v>0.53801350000000003</v>
      </c>
    </row>
    <row r="84" spans="1:3" x14ac:dyDescent="0.25">
      <c r="A84">
        <v>2063</v>
      </c>
      <c r="B84" t="s">
        <v>238</v>
      </c>
      <c r="C84">
        <v>0.52977810000000003</v>
      </c>
    </row>
    <row r="85" spans="1:3" x14ac:dyDescent="0.25">
      <c r="A85">
        <v>2064</v>
      </c>
      <c r="B85" t="s">
        <v>238</v>
      </c>
      <c r="C85">
        <v>0.5217273</v>
      </c>
    </row>
    <row r="86" spans="1:3" x14ac:dyDescent="0.25">
      <c r="A86">
        <v>2065</v>
      </c>
      <c r="B86" t="s">
        <v>238</v>
      </c>
      <c r="C86">
        <v>0.51389600000000002</v>
      </c>
    </row>
    <row r="87" spans="1:3" x14ac:dyDescent="0.25">
      <c r="A87">
        <v>2066</v>
      </c>
      <c r="B87" t="s">
        <v>238</v>
      </c>
      <c r="C87">
        <v>0.50612939999999995</v>
      </c>
    </row>
    <row r="88" spans="1:3" x14ac:dyDescent="0.25">
      <c r="A88">
        <v>2067</v>
      </c>
      <c r="B88" t="s">
        <v>238</v>
      </c>
      <c r="C88">
        <v>0.49853779999999998</v>
      </c>
    </row>
    <row r="89" spans="1:3" x14ac:dyDescent="0.25">
      <c r="A89">
        <v>2068</v>
      </c>
      <c r="B89" t="s">
        <v>238</v>
      </c>
      <c r="C89">
        <v>0.4908805</v>
      </c>
    </row>
    <row r="90" spans="1:3" x14ac:dyDescent="0.25">
      <c r="A90">
        <v>2069</v>
      </c>
      <c r="B90" t="s">
        <v>238</v>
      </c>
      <c r="C90">
        <v>0.48312179999999999</v>
      </c>
    </row>
    <row r="91" spans="1:3" x14ac:dyDescent="0.25">
      <c r="A91">
        <v>2070</v>
      </c>
      <c r="B91" t="s">
        <v>238</v>
      </c>
      <c r="C91">
        <v>0.47503630000000002</v>
      </c>
    </row>
    <row r="92" spans="1:3" x14ac:dyDescent="0.2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5" x14ac:dyDescent="0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5" x14ac:dyDescent="0.25"/>
  <sheetData>
    <row r="1" spans="1:3" x14ac:dyDescent="0.25">
      <c r="A1" t="s">
        <v>239</v>
      </c>
      <c r="B1" t="s">
        <v>240</v>
      </c>
      <c r="C1" t="s">
        <v>197</v>
      </c>
    </row>
    <row r="2" spans="1:3" x14ac:dyDescent="0.25">
      <c r="A2" t="s">
        <v>241</v>
      </c>
      <c r="B2" t="s">
        <v>242</v>
      </c>
      <c r="C2">
        <v>-2.4011447999999999E-3</v>
      </c>
    </row>
    <row r="3" spans="1:3" x14ac:dyDescent="0.25">
      <c r="A3" t="s">
        <v>243</v>
      </c>
      <c r="B3" t="s">
        <v>242</v>
      </c>
      <c r="C3">
        <v>1.17072277E-2</v>
      </c>
    </row>
    <row r="4" spans="1:3" x14ac:dyDescent="0.25">
      <c r="A4" t="s">
        <v>244</v>
      </c>
      <c r="B4" t="s">
        <v>242</v>
      </c>
      <c r="C4">
        <v>5.7319004999999996E-3</v>
      </c>
    </row>
    <row r="5" spans="1:3" x14ac:dyDescent="0.25">
      <c r="A5" t="s">
        <v>245</v>
      </c>
      <c r="B5" t="s">
        <v>242</v>
      </c>
      <c r="C5">
        <v>1.31694042E-2</v>
      </c>
    </row>
    <row r="6" spans="1:3" x14ac:dyDescent="0.25">
      <c r="A6" t="s">
        <v>246</v>
      </c>
      <c r="B6" t="s">
        <v>242</v>
      </c>
      <c r="C6">
        <v>3.4879292899999997E-2</v>
      </c>
    </row>
    <row r="7" spans="1:3" x14ac:dyDescent="0.25">
      <c r="A7" t="s">
        <v>248</v>
      </c>
      <c r="B7" t="s">
        <v>242</v>
      </c>
      <c r="C7">
        <v>2.3042852900000001E-2</v>
      </c>
    </row>
    <row r="8" spans="1:3" x14ac:dyDescent="0.25">
      <c r="A8" t="s">
        <v>241</v>
      </c>
      <c r="B8" t="s">
        <v>247</v>
      </c>
      <c r="C8">
        <v>-2.2841732000000001E-3</v>
      </c>
    </row>
    <row r="9" spans="1:3" x14ac:dyDescent="0.25">
      <c r="A9" t="s">
        <v>243</v>
      </c>
      <c r="B9" t="s">
        <v>247</v>
      </c>
      <c r="C9">
        <v>-7.5940549000000001E-3</v>
      </c>
    </row>
    <row r="10" spans="1:3" x14ac:dyDescent="0.25">
      <c r="A10" t="s">
        <v>244</v>
      </c>
      <c r="B10" t="s">
        <v>247</v>
      </c>
      <c r="C10">
        <v>-5.3714784E-3</v>
      </c>
    </row>
    <row r="11" spans="1:3" x14ac:dyDescent="0.25">
      <c r="A11" t="s">
        <v>245</v>
      </c>
      <c r="B11" t="s">
        <v>247</v>
      </c>
      <c r="C11">
        <v>2.5858219000000002E-3</v>
      </c>
    </row>
    <row r="12" spans="1:3" x14ac:dyDescent="0.25">
      <c r="A12" t="s">
        <v>246</v>
      </c>
      <c r="B12" t="s">
        <v>247</v>
      </c>
      <c r="C12">
        <v>7.3327889999999995E-4</v>
      </c>
    </row>
    <row r="13" spans="1:3" x14ac:dyDescent="0.25">
      <c r="A13" t="s">
        <v>248</v>
      </c>
      <c r="B13" t="s">
        <v>247</v>
      </c>
      <c r="C13">
        <v>-4.3002034000000001E-2</v>
      </c>
    </row>
    <row r="14" spans="1:3" x14ac:dyDescent="0.25">
      <c r="A14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5" x14ac:dyDescent="0.25"/>
  <sheetData>
    <row r="1" spans="1:3" x14ac:dyDescent="0.25">
      <c r="A1" t="s">
        <v>249</v>
      </c>
      <c r="B1" t="s">
        <v>15</v>
      </c>
      <c r="C1" t="s">
        <v>13</v>
      </c>
    </row>
    <row r="2" spans="1:3" x14ac:dyDescent="0.25">
      <c r="A2">
        <v>2025</v>
      </c>
      <c r="B2" t="s">
        <v>250</v>
      </c>
      <c r="C2">
        <v>0.66589279999999995</v>
      </c>
    </row>
    <row r="3" spans="1:3" x14ac:dyDescent="0.25">
      <c r="A3">
        <v>2026</v>
      </c>
      <c r="B3" t="s">
        <v>250</v>
      </c>
      <c r="C3">
        <v>0.66329490000000002</v>
      </c>
    </row>
    <row r="4" spans="1:3" x14ac:dyDescent="0.25">
      <c r="A4">
        <v>2027</v>
      </c>
      <c r="B4" t="s">
        <v>250</v>
      </c>
      <c r="C4">
        <v>0.66074619999999995</v>
      </c>
    </row>
    <row r="5" spans="1:3" x14ac:dyDescent="0.25">
      <c r="A5">
        <v>2028</v>
      </c>
      <c r="B5" t="s">
        <v>250</v>
      </c>
      <c r="C5">
        <v>0.65840449999999995</v>
      </c>
    </row>
    <row r="6" spans="1:3" x14ac:dyDescent="0.25">
      <c r="A6">
        <v>2029</v>
      </c>
      <c r="B6" t="s">
        <v>250</v>
      </c>
      <c r="C6">
        <v>0.65641479999999996</v>
      </c>
    </row>
    <row r="7" spans="1:3" x14ac:dyDescent="0.25">
      <c r="A7">
        <v>2030</v>
      </c>
      <c r="B7" t="s">
        <v>250</v>
      </c>
      <c r="C7">
        <v>0.65482969999999996</v>
      </c>
    </row>
    <row r="8" spans="1:3" x14ac:dyDescent="0.25">
      <c r="A8">
        <v>2031</v>
      </c>
      <c r="B8" t="s">
        <v>250</v>
      </c>
      <c r="C8">
        <v>0.65353649999999996</v>
      </c>
    </row>
    <row r="9" spans="1:3" x14ac:dyDescent="0.25">
      <c r="A9">
        <v>2032</v>
      </c>
      <c r="B9" t="s">
        <v>250</v>
      </c>
      <c r="C9">
        <v>0.65240180000000003</v>
      </c>
    </row>
    <row r="10" spans="1:3" x14ac:dyDescent="0.25">
      <c r="A10">
        <v>2033</v>
      </c>
      <c r="B10" t="s">
        <v>250</v>
      </c>
      <c r="C10">
        <v>0.65127639999999998</v>
      </c>
    </row>
    <row r="11" spans="1:3" x14ac:dyDescent="0.25">
      <c r="A11">
        <v>2034</v>
      </c>
      <c r="B11" t="s">
        <v>250</v>
      </c>
      <c r="C11">
        <v>0.64998259999999997</v>
      </c>
    </row>
    <row r="12" spans="1:3" x14ac:dyDescent="0.25">
      <c r="A12">
        <v>2035</v>
      </c>
      <c r="B12" t="s">
        <v>250</v>
      </c>
      <c r="C12">
        <v>0.64871449999999997</v>
      </c>
    </row>
    <row r="13" spans="1:3" x14ac:dyDescent="0.25">
      <c r="A13">
        <v>2036</v>
      </c>
      <c r="B13" t="s">
        <v>250</v>
      </c>
      <c r="C13">
        <v>0.64703109999999997</v>
      </c>
    </row>
    <row r="14" spans="1:3" x14ac:dyDescent="0.25">
      <c r="A14">
        <v>2037</v>
      </c>
      <c r="B14" t="s">
        <v>250</v>
      </c>
      <c r="C14">
        <v>0.64553799999999995</v>
      </c>
    </row>
    <row r="15" spans="1:3" x14ac:dyDescent="0.25">
      <c r="A15">
        <v>2038</v>
      </c>
      <c r="B15" t="s">
        <v>250</v>
      </c>
      <c r="C15">
        <v>0.64433269999999998</v>
      </c>
    </row>
    <row r="16" spans="1:3" x14ac:dyDescent="0.25">
      <c r="A16">
        <v>2039</v>
      </c>
      <c r="B16" t="s">
        <v>250</v>
      </c>
      <c r="C16">
        <v>0.64338360000000006</v>
      </c>
    </row>
    <row r="17" spans="1:3" x14ac:dyDescent="0.25">
      <c r="A17">
        <v>2040</v>
      </c>
      <c r="B17" t="s">
        <v>250</v>
      </c>
      <c r="C17">
        <v>0.64261460000000004</v>
      </c>
    </row>
    <row r="18" spans="1:3" x14ac:dyDescent="0.25">
      <c r="A18">
        <v>2041</v>
      </c>
      <c r="B18" t="s">
        <v>250</v>
      </c>
      <c r="C18">
        <v>0.64202479999999995</v>
      </c>
    </row>
    <row r="19" spans="1:3" x14ac:dyDescent="0.25">
      <c r="A19">
        <v>2042</v>
      </c>
      <c r="B19" t="s">
        <v>250</v>
      </c>
      <c r="C19">
        <v>0.64151179999999997</v>
      </c>
    </row>
    <row r="20" spans="1:3" x14ac:dyDescent="0.25">
      <c r="A20">
        <v>2043</v>
      </c>
      <c r="B20" t="s">
        <v>250</v>
      </c>
      <c r="C20">
        <v>0.64101189999999997</v>
      </c>
    </row>
    <row r="21" spans="1:3" x14ac:dyDescent="0.25">
      <c r="A21">
        <v>2044</v>
      </c>
      <c r="B21" t="s">
        <v>250</v>
      </c>
      <c r="C21">
        <v>0.64039990000000002</v>
      </c>
    </row>
    <row r="22" spans="1:3" x14ac:dyDescent="0.25">
      <c r="A22">
        <v>2045</v>
      </c>
      <c r="B22" t="s">
        <v>250</v>
      </c>
      <c r="C22">
        <v>0.63965099999999997</v>
      </c>
    </row>
    <row r="23" spans="1:3" x14ac:dyDescent="0.25">
      <c r="A23">
        <v>2046</v>
      </c>
      <c r="B23" t="s">
        <v>250</v>
      </c>
      <c r="C23">
        <v>0.63867969999999996</v>
      </c>
    </row>
    <row r="24" spans="1:3" x14ac:dyDescent="0.25">
      <c r="A24">
        <v>2047</v>
      </c>
      <c r="B24" t="s">
        <v>250</v>
      </c>
      <c r="C24">
        <v>0.63767620000000003</v>
      </c>
    </row>
    <row r="25" spans="1:3" x14ac:dyDescent="0.25">
      <c r="A25">
        <v>2048</v>
      </c>
      <c r="B25" t="s">
        <v>250</v>
      </c>
      <c r="C25">
        <v>0.63646150000000001</v>
      </c>
    </row>
    <row r="26" spans="1:3" x14ac:dyDescent="0.25">
      <c r="A26">
        <v>2049</v>
      </c>
      <c r="B26" t="s">
        <v>250</v>
      </c>
      <c r="C26">
        <v>0.6352662</v>
      </c>
    </row>
    <row r="27" spans="1:3" x14ac:dyDescent="0.25">
      <c r="A27">
        <v>2050</v>
      </c>
      <c r="B27" t="s">
        <v>250</v>
      </c>
      <c r="C27">
        <v>0.63403569999999998</v>
      </c>
    </row>
    <row r="28" spans="1:3" x14ac:dyDescent="0.25">
      <c r="A28">
        <v>2051</v>
      </c>
      <c r="B28" t="s">
        <v>250</v>
      </c>
      <c r="C28">
        <v>0.63284580000000001</v>
      </c>
    </row>
    <row r="29" spans="1:3" x14ac:dyDescent="0.25">
      <c r="A29">
        <v>2052</v>
      </c>
      <c r="B29" t="s">
        <v>250</v>
      </c>
      <c r="C29">
        <v>0.63174260000000004</v>
      </c>
    </row>
    <row r="30" spans="1:3" x14ac:dyDescent="0.25">
      <c r="A30">
        <v>2053</v>
      </c>
      <c r="B30" t="s">
        <v>250</v>
      </c>
      <c r="C30">
        <v>0.63067960000000001</v>
      </c>
    </row>
    <row r="31" spans="1:3" x14ac:dyDescent="0.25">
      <c r="A31">
        <v>2054</v>
      </c>
      <c r="B31" t="s">
        <v>250</v>
      </c>
      <c r="C31">
        <v>0.62957320000000005</v>
      </c>
    </row>
    <row r="32" spans="1:3" x14ac:dyDescent="0.25">
      <c r="A32">
        <v>2055</v>
      </c>
      <c r="B32" t="s">
        <v>250</v>
      </c>
      <c r="C32">
        <v>0.62833830000000002</v>
      </c>
    </row>
    <row r="33" spans="1:3" x14ac:dyDescent="0.25">
      <c r="A33">
        <v>2056</v>
      </c>
      <c r="B33" t="s">
        <v>250</v>
      </c>
      <c r="C33">
        <v>0.62714519999999996</v>
      </c>
    </row>
    <row r="34" spans="1:3" x14ac:dyDescent="0.25">
      <c r="A34">
        <v>2057</v>
      </c>
      <c r="B34" t="s">
        <v>250</v>
      </c>
      <c r="C34">
        <v>0.62613470000000004</v>
      </c>
    </row>
    <row r="35" spans="1:3" x14ac:dyDescent="0.25">
      <c r="A35">
        <v>2058</v>
      </c>
      <c r="B35" t="s">
        <v>250</v>
      </c>
      <c r="C35">
        <v>0.62513620000000003</v>
      </c>
    </row>
    <row r="36" spans="1:3" x14ac:dyDescent="0.25">
      <c r="A36">
        <v>2059</v>
      </c>
      <c r="B36" t="s">
        <v>250</v>
      </c>
      <c r="C36">
        <v>0.62411450000000002</v>
      </c>
    </row>
    <row r="37" spans="1:3" x14ac:dyDescent="0.25">
      <c r="A37">
        <v>2060</v>
      </c>
      <c r="B37" t="s">
        <v>250</v>
      </c>
      <c r="C37">
        <v>0.62306539999999999</v>
      </c>
    </row>
    <row r="38" spans="1:3" x14ac:dyDescent="0.25">
      <c r="A38">
        <v>2061</v>
      </c>
      <c r="B38" t="s">
        <v>250</v>
      </c>
      <c r="C38">
        <v>0.62213770000000002</v>
      </c>
    </row>
    <row r="39" spans="1:3" x14ac:dyDescent="0.25">
      <c r="A39">
        <v>2062</v>
      </c>
      <c r="B39" t="s">
        <v>250</v>
      </c>
      <c r="C39">
        <v>0.62131749999999997</v>
      </c>
    </row>
    <row r="40" spans="1:3" x14ac:dyDescent="0.25">
      <c r="A40">
        <v>2063</v>
      </c>
      <c r="B40" t="s">
        <v>250</v>
      </c>
      <c r="C40">
        <v>0.62062669999999998</v>
      </c>
    </row>
    <row r="41" spans="1:3" x14ac:dyDescent="0.25">
      <c r="A41">
        <v>2064</v>
      </c>
      <c r="B41" t="s">
        <v>250</v>
      </c>
      <c r="C41">
        <v>0.61993489999999996</v>
      </c>
    </row>
    <row r="42" spans="1:3" x14ac:dyDescent="0.25">
      <c r="A42">
        <v>2065</v>
      </c>
      <c r="B42" t="s">
        <v>250</v>
      </c>
      <c r="C42">
        <v>0.61910759999999998</v>
      </c>
    </row>
    <row r="43" spans="1:3" x14ac:dyDescent="0.25">
      <c r="A43">
        <v>2066</v>
      </c>
      <c r="B43" t="s">
        <v>250</v>
      </c>
      <c r="C43">
        <v>0.61835329999999999</v>
      </c>
    </row>
    <row r="44" spans="1:3" x14ac:dyDescent="0.25">
      <c r="A44">
        <v>2067</v>
      </c>
      <c r="B44" t="s">
        <v>250</v>
      </c>
      <c r="C44">
        <v>0.61776070000000005</v>
      </c>
    </row>
    <row r="45" spans="1:3" x14ac:dyDescent="0.25">
      <c r="A45">
        <v>2068</v>
      </c>
      <c r="B45" t="s">
        <v>250</v>
      </c>
      <c r="C45">
        <v>0.61713859999999998</v>
      </c>
    </row>
    <row r="46" spans="1:3" x14ac:dyDescent="0.25">
      <c r="A46">
        <v>2069</v>
      </c>
      <c r="B46" t="s">
        <v>250</v>
      </c>
      <c r="C46">
        <v>0.61639440000000001</v>
      </c>
    </row>
    <row r="47" spans="1:3" x14ac:dyDescent="0.25">
      <c r="A47">
        <v>2070</v>
      </c>
      <c r="B47" t="s">
        <v>250</v>
      </c>
      <c r="C47">
        <v>0.61556429999999995</v>
      </c>
    </row>
    <row r="48" spans="1:3" x14ac:dyDescent="0.25">
      <c r="A48">
        <v>2071</v>
      </c>
      <c r="B48" t="s">
        <v>250</v>
      </c>
      <c r="C48">
        <v>0.61460669999999995</v>
      </c>
    </row>
    <row r="49" spans="1:3" x14ac:dyDescent="0.25">
      <c r="A49">
        <v>2025</v>
      </c>
      <c r="B49" t="s">
        <v>251</v>
      </c>
      <c r="C49">
        <v>0.66589279999999995</v>
      </c>
    </row>
    <row r="50" spans="1:3" x14ac:dyDescent="0.25">
      <c r="A50">
        <v>2026</v>
      </c>
      <c r="B50" t="s">
        <v>251</v>
      </c>
      <c r="C50">
        <v>0.6640604</v>
      </c>
    </row>
    <row r="51" spans="1:3" x14ac:dyDescent="0.25">
      <c r="A51">
        <v>2027</v>
      </c>
      <c r="B51" t="s">
        <v>251</v>
      </c>
      <c r="C51">
        <v>0.66230169999999999</v>
      </c>
    </row>
    <row r="52" spans="1:3" x14ac:dyDescent="0.25">
      <c r="A52">
        <v>2028</v>
      </c>
      <c r="B52" t="s">
        <v>251</v>
      </c>
      <c r="C52">
        <v>0.66077319999999995</v>
      </c>
    </row>
    <row r="53" spans="1:3" x14ac:dyDescent="0.25">
      <c r="A53">
        <v>2029</v>
      </c>
      <c r="B53" t="s">
        <v>251</v>
      </c>
      <c r="C53">
        <v>0.65961590000000003</v>
      </c>
    </row>
    <row r="54" spans="1:3" x14ac:dyDescent="0.25">
      <c r="A54">
        <v>2030</v>
      </c>
      <c r="B54" t="s">
        <v>251</v>
      </c>
      <c r="C54">
        <v>0.65887589999999996</v>
      </c>
    </row>
    <row r="55" spans="1:3" x14ac:dyDescent="0.25">
      <c r="A55">
        <v>2031</v>
      </c>
      <c r="B55" t="s">
        <v>251</v>
      </c>
      <c r="C55">
        <v>0.65843790000000002</v>
      </c>
    </row>
    <row r="56" spans="1:3" x14ac:dyDescent="0.25">
      <c r="A56">
        <v>2032</v>
      </c>
      <c r="B56" t="s">
        <v>251</v>
      </c>
      <c r="C56">
        <v>0.65817199999999998</v>
      </c>
    </row>
    <row r="57" spans="1:3" x14ac:dyDescent="0.25">
      <c r="A57">
        <v>2033</v>
      </c>
      <c r="B57" t="s">
        <v>251</v>
      </c>
      <c r="C57">
        <v>0.6579313</v>
      </c>
    </row>
    <row r="58" spans="1:3" x14ac:dyDescent="0.25">
      <c r="A58">
        <v>2034</v>
      </c>
      <c r="B58" t="s">
        <v>251</v>
      </c>
      <c r="C58">
        <v>0.65754409999999996</v>
      </c>
    </row>
    <row r="59" spans="1:3" x14ac:dyDescent="0.25">
      <c r="A59">
        <v>2035</v>
      </c>
      <c r="B59" t="s">
        <v>251</v>
      </c>
      <c r="C59">
        <v>0.65719760000000005</v>
      </c>
    </row>
    <row r="60" spans="1:3" x14ac:dyDescent="0.25">
      <c r="A60">
        <v>2036</v>
      </c>
      <c r="B60" t="s">
        <v>251</v>
      </c>
      <c r="C60">
        <v>0.65647239999999996</v>
      </c>
    </row>
    <row r="61" spans="1:3" x14ac:dyDescent="0.25">
      <c r="A61">
        <v>2037</v>
      </c>
      <c r="B61" t="s">
        <v>251</v>
      </c>
      <c r="C61">
        <v>0.65593889999999999</v>
      </c>
    </row>
    <row r="62" spans="1:3" x14ac:dyDescent="0.25">
      <c r="A62">
        <v>2038</v>
      </c>
      <c r="B62" t="s">
        <v>251</v>
      </c>
      <c r="C62">
        <v>0.65568340000000003</v>
      </c>
    </row>
    <row r="63" spans="1:3" x14ac:dyDescent="0.25">
      <c r="A63">
        <v>2039</v>
      </c>
      <c r="B63" t="s">
        <v>251</v>
      </c>
      <c r="C63">
        <v>0.65567330000000001</v>
      </c>
    </row>
    <row r="64" spans="1:3" x14ac:dyDescent="0.25">
      <c r="A64">
        <v>2040</v>
      </c>
      <c r="B64" t="s">
        <v>251</v>
      </c>
      <c r="C64">
        <v>0.65583349999999996</v>
      </c>
    </row>
    <row r="65" spans="1:3" x14ac:dyDescent="0.25">
      <c r="A65">
        <v>2041</v>
      </c>
      <c r="B65" t="s">
        <v>251</v>
      </c>
      <c r="C65">
        <v>0.65616470000000005</v>
      </c>
    </row>
    <row r="66" spans="1:3" x14ac:dyDescent="0.25">
      <c r="A66">
        <v>2042</v>
      </c>
      <c r="B66" t="s">
        <v>251</v>
      </c>
      <c r="C66">
        <v>0.65656809999999999</v>
      </c>
    </row>
    <row r="67" spans="1:3" x14ac:dyDescent="0.25">
      <c r="A67">
        <v>2043</v>
      </c>
      <c r="B67" t="s">
        <v>251</v>
      </c>
      <c r="C67">
        <v>0.65698500000000004</v>
      </c>
    </row>
    <row r="68" spans="1:3" x14ac:dyDescent="0.25">
      <c r="A68">
        <v>2044</v>
      </c>
      <c r="B68" t="s">
        <v>251</v>
      </c>
      <c r="C68">
        <v>0.65730469999999996</v>
      </c>
    </row>
    <row r="69" spans="1:3" x14ac:dyDescent="0.25">
      <c r="A69">
        <v>2045</v>
      </c>
      <c r="B69" t="s">
        <v>251</v>
      </c>
      <c r="C69">
        <v>0.65750180000000003</v>
      </c>
    </row>
    <row r="70" spans="1:3" x14ac:dyDescent="0.25">
      <c r="A70">
        <v>2046</v>
      </c>
      <c r="B70" t="s">
        <v>251</v>
      </c>
      <c r="C70">
        <v>0.65751590000000004</v>
      </c>
    </row>
    <row r="71" spans="1:3" x14ac:dyDescent="0.25">
      <c r="A71">
        <v>2047</v>
      </c>
      <c r="B71" t="s">
        <v>251</v>
      </c>
      <c r="C71">
        <v>0.65752379999999999</v>
      </c>
    </row>
    <row r="72" spans="1:3" x14ac:dyDescent="0.25">
      <c r="A72">
        <v>2048</v>
      </c>
      <c r="B72" t="s">
        <v>251</v>
      </c>
      <c r="C72">
        <v>0.65735589999999999</v>
      </c>
    </row>
    <row r="73" spans="1:3" x14ac:dyDescent="0.25">
      <c r="A73">
        <v>2049</v>
      </c>
      <c r="B73" t="s">
        <v>251</v>
      </c>
      <c r="C73">
        <v>0.65721680000000005</v>
      </c>
    </row>
    <row r="74" spans="1:3" x14ac:dyDescent="0.25">
      <c r="A74">
        <v>2050</v>
      </c>
      <c r="B74" t="s">
        <v>251</v>
      </c>
      <c r="C74">
        <v>0.65705880000000005</v>
      </c>
    </row>
    <row r="75" spans="1:3" x14ac:dyDescent="0.25">
      <c r="A75">
        <v>2051</v>
      </c>
      <c r="B75" t="s">
        <v>251</v>
      </c>
      <c r="C75">
        <v>0.65695429999999999</v>
      </c>
    </row>
    <row r="76" spans="1:3" x14ac:dyDescent="0.25">
      <c r="A76">
        <v>2052</v>
      </c>
      <c r="B76" t="s">
        <v>251</v>
      </c>
      <c r="C76">
        <v>0.65693889999999999</v>
      </c>
    </row>
    <row r="77" spans="1:3" x14ac:dyDescent="0.25">
      <c r="A77">
        <v>2053</v>
      </c>
      <c r="B77" t="s">
        <v>251</v>
      </c>
      <c r="C77">
        <v>0.65697399999999995</v>
      </c>
    </row>
    <row r="78" spans="1:3" x14ac:dyDescent="0.25">
      <c r="A78">
        <v>2054</v>
      </c>
      <c r="B78" t="s">
        <v>251</v>
      </c>
      <c r="C78">
        <v>0.6569834</v>
      </c>
    </row>
    <row r="79" spans="1:3" x14ac:dyDescent="0.25">
      <c r="A79">
        <v>2055</v>
      </c>
      <c r="B79" t="s">
        <v>251</v>
      </c>
      <c r="C79">
        <v>0.65689030000000004</v>
      </c>
    </row>
    <row r="80" spans="1:3" x14ac:dyDescent="0.25">
      <c r="A80">
        <v>2056</v>
      </c>
      <c r="B80" t="s">
        <v>251</v>
      </c>
      <c r="C80">
        <v>0.65684679999999995</v>
      </c>
    </row>
    <row r="81" spans="1:3" x14ac:dyDescent="0.25">
      <c r="A81">
        <v>2057</v>
      </c>
      <c r="B81" t="s">
        <v>251</v>
      </c>
      <c r="C81">
        <v>0.65697209999999995</v>
      </c>
    </row>
    <row r="82" spans="1:3" x14ac:dyDescent="0.25">
      <c r="A82">
        <v>2058</v>
      </c>
      <c r="B82" t="s">
        <v>251</v>
      </c>
      <c r="C82">
        <v>0.65711359999999996</v>
      </c>
    </row>
    <row r="83" spans="1:3" x14ac:dyDescent="0.25">
      <c r="A83">
        <v>2059</v>
      </c>
      <c r="B83" t="s">
        <v>251</v>
      </c>
      <c r="C83">
        <v>0.65723779999999998</v>
      </c>
    </row>
    <row r="84" spans="1:3" x14ac:dyDescent="0.25">
      <c r="A84">
        <v>2060</v>
      </c>
      <c r="B84" t="s">
        <v>251</v>
      </c>
      <c r="C84">
        <v>0.65734400000000004</v>
      </c>
    </row>
    <row r="85" spans="1:3" x14ac:dyDescent="0.25">
      <c r="A85">
        <v>2061</v>
      </c>
      <c r="B85" t="s">
        <v>251</v>
      </c>
      <c r="C85">
        <v>0.65754480000000004</v>
      </c>
    </row>
    <row r="86" spans="1:3" x14ac:dyDescent="0.25">
      <c r="A86">
        <v>2062</v>
      </c>
      <c r="B86" t="s">
        <v>251</v>
      </c>
      <c r="C86">
        <v>0.65782770000000002</v>
      </c>
    </row>
    <row r="87" spans="1:3" x14ac:dyDescent="0.25">
      <c r="A87">
        <v>2063</v>
      </c>
      <c r="B87" t="s">
        <v>251</v>
      </c>
      <c r="C87">
        <v>0.65821739999999995</v>
      </c>
    </row>
    <row r="88" spans="1:3" x14ac:dyDescent="0.25">
      <c r="A88">
        <v>2064</v>
      </c>
      <c r="B88" t="s">
        <v>251</v>
      </c>
      <c r="C88">
        <v>0.65861789999999998</v>
      </c>
    </row>
    <row r="89" spans="1:3" x14ac:dyDescent="0.25">
      <c r="A89">
        <v>2065</v>
      </c>
      <c r="B89" t="s">
        <v>251</v>
      </c>
      <c r="C89">
        <v>0.65892629999999996</v>
      </c>
    </row>
    <row r="90" spans="1:3" x14ac:dyDescent="0.25">
      <c r="A90">
        <v>2066</v>
      </c>
      <c r="B90" t="s">
        <v>251</v>
      </c>
      <c r="C90">
        <v>0.65930529999999998</v>
      </c>
    </row>
    <row r="91" spans="1:3" x14ac:dyDescent="0.25">
      <c r="A91">
        <v>2067</v>
      </c>
      <c r="B91" t="s">
        <v>251</v>
      </c>
      <c r="C91">
        <v>0.65980950000000005</v>
      </c>
    </row>
    <row r="92" spans="1:3" x14ac:dyDescent="0.25">
      <c r="A92">
        <v>2068</v>
      </c>
      <c r="B92" t="s">
        <v>251</v>
      </c>
      <c r="C92">
        <v>0.66030230000000001</v>
      </c>
    </row>
    <row r="93" spans="1:3" x14ac:dyDescent="0.25">
      <c r="A93">
        <v>2069</v>
      </c>
      <c r="B93" t="s">
        <v>251</v>
      </c>
      <c r="C93">
        <v>0.66071999999999997</v>
      </c>
    </row>
    <row r="94" spans="1:3" x14ac:dyDescent="0.25">
      <c r="A94">
        <v>2070</v>
      </c>
      <c r="B94" t="s">
        <v>251</v>
      </c>
      <c r="C94">
        <v>0.66109059999999997</v>
      </c>
    </row>
    <row r="95" spans="1:3" x14ac:dyDescent="0.25">
      <c r="A95">
        <v>2071</v>
      </c>
      <c r="B95" t="s">
        <v>251</v>
      </c>
      <c r="C95">
        <v>0.66137789999999996</v>
      </c>
    </row>
    <row r="96" spans="1:3" x14ac:dyDescent="0.25">
      <c r="A96" s="5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5" x14ac:dyDescent="0.25"/>
  <cols>
    <col min="3" max="4" width="9.140625" bestFit="1" customWidth="1"/>
  </cols>
  <sheetData>
    <row r="1" spans="1:9" x14ac:dyDescent="0.2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2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2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2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2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2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5" x14ac:dyDescent="0.25"/>
  <cols>
    <col min="2" max="2" width="9.140625" bestFit="1" customWidth="1"/>
  </cols>
  <sheetData>
    <row r="1" spans="1:3" x14ac:dyDescent="0.25">
      <c r="A1" t="s">
        <v>7</v>
      </c>
      <c r="B1" t="s">
        <v>266</v>
      </c>
      <c r="C1" t="s">
        <v>6</v>
      </c>
    </row>
    <row r="2" spans="1:3" x14ac:dyDescent="0.25">
      <c r="A2" t="s">
        <v>267</v>
      </c>
      <c r="B2" s="6">
        <v>36586</v>
      </c>
      <c r="C2">
        <v>1</v>
      </c>
    </row>
    <row r="3" spans="1:3" x14ac:dyDescent="0.25">
      <c r="A3" t="s">
        <v>268</v>
      </c>
      <c r="B3" s="6">
        <v>36586</v>
      </c>
      <c r="C3">
        <v>1</v>
      </c>
    </row>
    <row r="4" spans="1:3" x14ac:dyDescent="0.25">
      <c r="A4" t="s">
        <v>267</v>
      </c>
      <c r="B4" s="6">
        <v>36678</v>
      </c>
      <c r="C4">
        <v>1.0069821567106301</v>
      </c>
    </row>
    <row r="5" spans="1:3" x14ac:dyDescent="0.25">
      <c r="A5" t="s">
        <v>268</v>
      </c>
      <c r="B5" s="6">
        <v>36678</v>
      </c>
      <c r="C5">
        <v>1.0040094339622601</v>
      </c>
    </row>
    <row r="6" spans="1:3" x14ac:dyDescent="0.25">
      <c r="A6" t="s">
        <v>267</v>
      </c>
      <c r="B6" s="6">
        <v>36770</v>
      </c>
      <c r="C6">
        <v>1.0064834312313</v>
      </c>
    </row>
    <row r="7" spans="1:3" x14ac:dyDescent="0.25">
      <c r="A7" t="s">
        <v>268</v>
      </c>
      <c r="B7" s="6">
        <v>36770</v>
      </c>
      <c r="C7">
        <v>1.0073899371069199</v>
      </c>
    </row>
    <row r="8" spans="1:3" x14ac:dyDescent="0.25">
      <c r="A8" t="s">
        <v>267</v>
      </c>
      <c r="B8" s="6">
        <v>36861</v>
      </c>
      <c r="C8">
        <v>0.99977834423140899</v>
      </c>
    </row>
    <row r="9" spans="1:3" x14ac:dyDescent="0.25">
      <c r="A9" t="s">
        <v>268</v>
      </c>
      <c r="B9" s="6">
        <v>36861</v>
      </c>
      <c r="C9">
        <v>0.99630503144654103</v>
      </c>
    </row>
    <row r="10" spans="1:3" x14ac:dyDescent="0.25">
      <c r="A10" t="s">
        <v>267</v>
      </c>
      <c r="B10" s="6">
        <v>36951</v>
      </c>
      <c r="C10">
        <v>1.0054305663304901</v>
      </c>
    </row>
    <row r="11" spans="1:3" x14ac:dyDescent="0.25">
      <c r="A11" t="s">
        <v>268</v>
      </c>
      <c r="B11" s="6">
        <v>36951</v>
      </c>
      <c r="C11">
        <v>1.00102201257862</v>
      </c>
    </row>
    <row r="12" spans="1:3" x14ac:dyDescent="0.25">
      <c r="A12" t="s">
        <v>267</v>
      </c>
      <c r="B12" s="6">
        <v>37043</v>
      </c>
      <c r="C12">
        <v>1.01119361631386</v>
      </c>
    </row>
    <row r="13" spans="1:3" x14ac:dyDescent="0.25">
      <c r="A13" t="s">
        <v>268</v>
      </c>
      <c r="B13" s="6">
        <v>37043</v>
      </c>
      <c r="C13">
        <v>1.0023584905660401</v>
      </c>
    </row>
    <row r="14" spans="1:3" x14ac:dyDescent="0.25">
      <c r="A14" t="s">
        <v>267</v>
      </c>
      <c r="B14" s="6">
        <v>37135</v>
      </c>
      <c r="C14">
        <v>1.02005984705752</v>
      </c>
    </row>
    <row r="15" spans="1:3" x14ac:dyDescent="0.25">
      <c r="A15" t="s">
        <v>268</v>
      </c>
      <c r="B15" s="6">
        <v>37135</v>
      </c>
      <c r="C15">
        <v>1.0204402515723301</v>
      </c>
    </row>
    <row r="16" spans="1:3" x14ac:dyDescent="0.25">
      <c r="A16" t="s">
        <v>267</v>
      </c>
      <c r="B16" s="6">
        <v>37226</v>
      </c>
      <c r="C16">
        <v>1.02898149174332</v>
      </c>
    </row>
    <row r="17" spans="1:3" x14ac:dyDescent="0.25">
      <c r="A17" t="s">
        <v>268</v>
      </c>
      <c r="B17" s="6">
        <v>37226</v>
      </c>
      <c r="C17">
        <v>1.0281446540880499</v>
      </c>
    </row>
    <row r="18" spans="1:3" x14ac:dyDescent="0.25">
      <c r="A18" t="s">
        <v>267</v>
      </c>
      <c r="B18" s="6">
        <v>37316</v>
      </c>
      <c r="C18">
        <v>1.03424581624737</v>
      </c>
    </row>
    <row r="19" spans="1:3" x14ac:dyDescent="0.25">
      <c r="A19" t="s">
        <v>268</v>
      </c>
      <c r="B19" s="6">
        <v>37316</v>
      </c>
      <c r="C19">
        <v>1.03930817610063</v>
      </c>
    </row>
    <row r="20" spans="1:3" x14ac:dyDescent="0.25">
      <c r="A20" t="s">
        <v>267</v>
      </c>
      <c r="B20" s="6">
        <v>37408</v>
      </c>
      <c r="C20">
        <v>1.04909675274299</v>
      </c>
    </row>
    <row r="21" spans="1:3" x14ac:dyDescent="0.25">
      <c r="A21" t="s">
        <v>268</v>
      </c>
      <c r="B21" s="6">
        <v>37408</v>
      </c>
      <c r="C21">
        <v>1.0498427672956001</v>
      </c>
    </row>
    <row r="22" spans="1:3" x14ac:dyDescent="0.25">
      <c r="A22" t="s">
        <v>267</v>
      </c>
      <c r="B22" s="6">
        <v>37500</v>
      </c>
      <c r="C22">
        <v>1.0487642690901</v>
      </c>
    </row>
    <row r="23" spans="1:3" x14ac:dyDescent="0.25">
      <c r="A23" t="s">
        <v>268</v>
      </c>
      <c r="B23" s="6">
        <v>37500</v>
      </c>
      <c r="C23">
        <v>1.0478773584905701</v>
      </c>
    </row>
    <row r="24" spans="1:3" x14ac:dyDescent="0.25">
      <c r="A24" t="s">
        <v>267</v>
      </c>
      <c r="B24" s="6">
        <v>37591</v>
      </c>
      <c r="C24">
        <v>1.05447190513133</v>
      </c>
    </row>
    <row r="25" spans="1:3" x14ac:dyDescent="0.25">
      <c r="A25" t="s">
        <v>268</v>
      </c>
      <c r="B25" s="6">
        <v>37591</v>
      </c>
      <c r="C25">
        <v>1.05573899371069</v>
      </c>
    </row>
    <row r="26" spans="1:3" x14ac:dyDescent="0.25">
      <c r="A26" t="s">
        <v>267</v>
      </c>
      <c r="B26" s="6">
        <v>37681</v>
      </c>
      <c r="C26">
        <v>1.0538069378255599</v>
      </c>
    </row>
    <row r="27" spans="1:3" x14ac:dyDescent="0.25">
      <c r="A27" t="s">
        <v>268</v>
      </c>
      <c r="B27" s="6">
        <v>37681</v>
      </c>
      <c r="C27">
        <v>1.0534591194968601</v>
      </c>
    </row>
    <row r="28" spans="1:3" x14ac:dyDescent="0.25">
      <c r="A28" t="s">
        <v>267</v>
      </c>
      <c r="B28" s="6">
        <v>37773</v>
      </c>
      <c r="C28">
        <v>1.0550260445528099</v>
      </c>
    </row>
    <row r="29" spans="1:3" x14ac:dyDescent="0.25">
      <c r="A29" t="s">
        <v>268</v>
      </c>
      <c r="B29" s="6">
        <v>37773</v>
      </c>
      <c r="C29">
        <v>1.0555817610062901</v>
      </c>
    </row>
    <row r="30" spans="1:3" x14ac:dyDescent="0.25">
      <c r="A30" t="s">
        <v>267</v>
      </c>
      <c r="B30" s="6">
        <v>37865</v>
      </c>
      <c r="C30">
        <v>1.0699878089327299</v>
      </c>
    </row>
    <row r="31" spans="1:3" x14ac:dyDescent="0.25">
      <c r="A31" t="s">
        <v>268</v>
      </c>
      <c r="B31" s="6">
        <v>37865</v>
      </c>
      <c r="C31">
        <v>1.0787735849056601</v>
      </c>
    </row>
    <row r="32" spans="1:3" x14ac:dyDescent="0.25">
      <c r="A32" t="s">
        <v>267</v>
      </c>
      <c r="B32" s="6">
        <v>37956</v>
      </c>
      <c r="C32">
        <v>1.0851158151390901</v>
      </c>
    </row>
    <row r="33" spans="1:3" x14ac:dyDescent="0.25">
      <c r="A33" t="s">
        <v>268</v>
      </c>
      <c r="B33" s="6">
        <v>37956</v>
      </c>
      <c r="C33">
        <v>1.0977987421383599</v>
      </c>
    </row>
    <row r="34" spans="1:3" x14ac:dyDescent="0.25">
      <c r="A34" t="s">
        <v>267</v>
      </c>
      <c r="B34" s="6">
        <v>38047</v>
      </c>
      <c r="C34">
        <v>1.0905463814695799</v>
      </c>
    </row>
    <row r="35" spans="1:3" x14ac:dyDescent="0.25">
      <c r="A35" t="s">
        <v>268</v>
      </c>
      <c r="B35" s="6">
        <v>38047</v>
      </c>
      <c r="C35">
        <v>1.1102987421383601</v>
      </c>
    </row>
    <row r="36" spans="1:3" x14ac:dyDescent="0.25">
      <c r="A36" t="s">
        <v>267</v>
      </c>
      <c r="B36" s="6">
        <v>38139</v>
      </c>
      <c r="C36">
        <v>1.09581070597362</v>
      </c>
    </row>
    <row r="37" spans="1:3" x14ac:dyDescent="0.25">
      <c r="A37" t="s">
        <v>268</v>
      </c>
      <c r="B37" s="6">
        <v>38139</v>
      </c>
      <c r="C37">
        <v>1.1191037735849101</v>
      </c>
    </row>
    <row r="38" spans="1:3" x14ac:dyDescent="0.25">
      <c r="A38" t="s">
        <v>267</v>
      </c>
      <c r="B38" s="6">
        <v>38231</v>
      </c>
      <c r="C38">
        <v>1.09985592375042</v>
      </c>
    </row>
    <row r="39" spans="1:3" x14ac:dyDescent="0.25">
      <c r="A39" t="s">
        <v>268</v>
      </c>
      <c r="B39" s="6">
        <v>38231</v>
      </c>
      <c r="C39">
        <v>1.11305031446541</v>
      </c>
    </row>
    <row r="40" spans="1:3" x14ac:dyDescent="0.25">
      <c r="A40" t="s">
        <v>267</v>
      </c>
      <c r="B40" s="6">
        <v>38322</v>
      </c>
      <c r="C40">
        <v>1.10506483431231</v>
      </c>
    </row>
    <row r="41" spans="1:3" x14ac:dyDescent="0.25">
      <c r="A41" t="s">
        <v>268</v>
      </c>
      <c r="B41" s="6">
        <v>38322</v>
      </c>
      <c r="C41">
        <v>1.1154874213836501</v>
      </c>
    </row>
    <row r="42" spans="1:3" x14ac:dyDescent="0.25">
      <c r="A42" t="s">
        <v>267</v>
      </c>
      <c r="B42" s="6">
        <v>38412</v>
      </c>
      <c r="C42">
        <v>1.1106616424692499</v>
      </c>
    </row>
    <row r="43" spans="1:3" x14ac:dyDescent="0.25">
      <c r="A43" t="s">
        <v>268</v>
      </c>
      <c r="B43" s="6">
        <v>38412</v>
      </c>
      <c r="C43">
        <v>1.12861635220126</v>
      </c>
    </row>
    <row r="44" spans="1:3" x14ac:dyDescent="0.25">
      <c r="A44" t="s">
        <v>267</v>
      </c>
      <c r="B44" s="6">
        <v>38504</v>
      </c>
      <c r="C44">
        <v>1.11204699102294</v>
      </c>
    </row>
    <row r="45" spans="1:3" x14ac:dyDescent="0.25">
      <c r="A45" t="s">
        <v>268</v>
      </c>
      <c r="B45" s="6">
        <v>38504</v>
      </c>
      <c r="C45">
        <v>1.1474056603773599</v>
      </c>
    </row>
    <row r="46" spans="1:3" x14ac:dyDescent="0.25">
      <c r="A46" t="s">
        <v>267</v>
      </c>
      <c r="B46" s="6">
        <v>38596</v>
      </c>
      <c r="C46">
        <v>1.1201928405186701</v>
      </c>
    </row>
    <row r="47" spans="1:3" x14ac:dyDescent="0.25">
      <c r="A47" t="s">
        <v>268</v>
      </c>
      <c r="B47" s="6">
        <v>38596</v>
      </c>
      <c r="C47">
        <v>1.1525157232704399</v>
      </c>
    </row>
    <row r="48" spans="1:3" x14ac:dyDescent="0.25">
      <c r="A48" t="s">
        <v>267</v>
      </c>
      <c r="B48" s="6">
        <v>38687</v>
      </c>
      <c r="C48">
        <v>1.12567882079131</v>
      </c>
    </row>
    <row r="49" spans="1:3" x14ac:dyDescent="0.25">
      <c r="A49" t="s">
        <v>268</v>
      </c>
      <c r="B49" s="6">
        <v>38687</v>
      </c>
      <c r="C49">
        <v>1.1621855345912</v>
      </c>
    </row>
    <row r="50" spans="1:3" x14ac:dyDescent="0.25">
      <c r="A50" t="s">
        <v>267</v>
      </c>
      <c r="B50" s="6">
        <v>38777</v>
      </c>
      <c r="C50">
        <v>1.1225756400310301</v>
      </c>
    </row>
    <row r="51" spans="1:3" x14ac:dyDescent="0.25">
      <c r="A51" t="s">
        <v>268</v>
      </c>
      <c r="B51" s="6">
        <v>38777</v>
      </c>
      <c r="C51">
        <v>1.1661949685534601</v>
      </c>
    </row>
    <row r="52" spans="1:3" x14ac:dyDescent="0.25">
      <c r="A52" t="s">
        <v>267</v>
      </c>
      <c r="B52" s="6">
        <v>38869</v>
      </c>
      <c r="C52">
        <v>1.12163360301452</v>
      </c>
    </row>
    <row r="53" spans="1:3" x14ac:dyDescent="0.25">
      <c r="A53" t="s">
        <v>268</v>
      </c>
      <c r="B53" s="6">
        <v>38869</v>
      </c>
      <c r="C53">
        <v>1.1604559748427701</v>
      </c>
    </row>
    <row r="54" spans="1:3" x14ac:dyDescent="0.25">
      <c r="A54" t="s">
        <v>267</v>
      </c>
      <c r="B54" s="6">
        <v>38961</v>
      </c>
      <c r="C54">
        <v>1.1336030145184499</v>
      </c>
    </row>
    <row r="55" spans="1:3" x14ac:dyDescent="0.25">
      <c r="A55" t="s">
        <v>268</v>
      </c>
      <c r="B55" s="6">
        <v>38961</v>
      </c>
      <c r="C55">
        <v>1.17099056603774</v>
      </c>
    </row>
    <row r="56" spans="1:3" x14ac:dyDescent="0.25">
      <c r="A56" t="s">
        <v>267</v>
      </c>
      <c r="B56" s="6">
        <v>39052</v>
      </c>
      <c r="C56">
        <v>1.1429125567992899</v>
      </c>
    </row>
    <row r="57" spans="1:3" x14ac:dyDescent="0.25">
      <c r="A57" t="s">
        <v>268</v>
      </c>
      <c r="B57" s="6">
        <v>39052</v>
      </c>
      <c r="C57">
        <v>1.1878144654088101</v>
      </c>
    </row>
    <row r="58" spans="1:3" x14ac:dyDescent="0.25">
      <c r="A58" t="s">
        <v>267</v>
      </c>
      <c r="B58" s="6">
        <v>39142</v>
      </c>
      <c r="C58">
        <v>1.1529424803280499</v>
      </c>
    </row>
    <row r="59" spans="1:3" x14ac:dyDescent="0.25">
      <c r="A59" t="s">
        <v>268</v>
      </c>
      <c r="B59" s="6">
        <v>39142</v>
      </c>
      <c r="C59">
        <v>1.2088050314465399</v>
      </c>
    </row>
    <row r="60" spans="1:3" x14ac:dyDescent="0.25">
      <c r="A60" t="s">
        <v>267</v>
      </c>
      <c r="B60" s="6">
        <v>39234</v>
      </c>
      <c r="C60">
        <v>1.15466031253463</v>
      </c>
    </row>
    <row r="61" spans="1:3" x14ac:dyDescent="0.25">
      <c r="A61" t="s">
        <v>268</v>
      </c>
      <c r="B61" s="6">
        <v>39234</v>
      </c>
      <c r="C61">
        <v>1.2062893081760999</v>
      </c>
    </row>
    <row r="62" spans="1:3" x14ac:dyDescent="0.25">
      <c r="A62" t="s">
        <v>267</v>
      </c>
      <c r="B62" s="6">
        <v>39326</v>
      </c>
      <c r="C62">
        <v>1.1631940596254</v>
      </c>
    </row>
    <row r="63" spans="1:3" x14ac:dyDescent="0.25">
      <c r="A63" t="s">
        <v>268</v>
      </c>
      <c r="B63" s="6">
        <v>39326</v>
      </c>
      <c r="C63">
        <v>1.21446540880503</v>
      </c>
    </row>
    <row r="64" spans="1:3" x14ac:dyDescent="0.25">
      <c r="A64" t="s">
        <v>267</v>
      </c>
      <c r="B64" s="6">
        <v>39417</v>
      </c>
      <c r="C64">
        <v>1.161919538956</v>
      </c>
    </row>
    <row r="65" spans="1:3" x14ac:dyDescent="0.25">
      <c r="A65" t="s">
        <v>268</v>
      </c>
      <c r="B65" s="6">
        <v>39417</v>
      </c>
      <c r="C65">
        <v>1.2161163522012599</v>
      </c>
    </row>
    <row r="66" spans="1:3" x14ac:dyDescent="0.25">
      <c r="A66" t="s">
        <v>267</v>
      </c>
      <c r="B66" s="6">
        <v>39508</v>
      </c>
      <c r="C66">
        <v>1.1681259004765601</v>
      </c>
    </row>
    <row r="67" spans="1:3" x14ac:dyDescent="0.25">
      <c r="A67" t="s">
        <v>268</v>
      </c>
      <c r="B67" s="6">
        <v>39508</v>
      </c>
      <c r="C67">
        <v>1.23506289308176</v>
      </c>
    </row>
    <row r="68" spans="1:3" x14ac:dyDescent="0.25">
      <c r="A68" t="s">
        <v>267</v>
      </c>
      <c r="B68" s="6">
        <v>39600</v>
      </c>
      <c r="C68">
        <v>1.16557685913776</v>
      </c>
    </row>
    <row r="69" spans="1:3" x14ac:dyDescent="0.25">
      <c r="A69" t="s">
        <v>268</v>
      </c>
      <c r="B69" s="6">
        <v>39600</v>
      </c>
      <c r="C69">
        <v>1.2576257861635201</v>
      </c>
    </row>
    <row r="70" spans="1:3" x14ac:dyDescent="0.25">
      <c r="A70" t="s">
        <v>267</v>
      </c>
      <c r="B70" s="6">
        <v>39692</v>
      </c>
      <c r="C70">
        <v>1.1670730355757499</v>
      </c>
    </row>
    <row r="71" spans="1:3" x14ac:dyDescent="0.25">
      <c r="A71" t="s">
        <v>268</v>
      </c>
      <c r="B71" s="6">
        <v>39692</v>
      </c>
      <c r="C71">
        <v>1.2848270440251599</v>
      </c>
    </row>
    <row r="72" spans="1:3" x14ac:dyDescent="0.25">
      <c r="A72" t="s">
        <v>267</v>
      </c>
      <c r="B72" s="6">
        <v>39783</v>
      </c>
      <c r="C72">
        <v>1.15593483320403</v>
      </c>
    </row>
    <row r="73" spans="1:3" x14ac:dyDescent="0.25">
      <c r="A73" t="s">
        <v>268</v>
      </c>
      <c r="B73" s="6">
        <v>39783</v>
      </c>
      <c r="C73">
        <v>1.2590408805031399</v>
      </c>
    </row>
    <row r="74" spans="1:3" x14ac:dyDescent="0.25">
      <c r="A74" t="s">
        <v>267</v>
      </c>
      <c r="B74" s="6">
        <v>39873</v>
      </c>
      <c r="C74">
        <v>1.16153164136097</v>
      </c>
    </row>
    <row r="75" spans="1:3" x14ac:dyDescent="0.25">
      <c r="A75" t="s">
        <v>268</v>
      </c>
      <c r="B75" s="6">
        <v>39873</v>
      </c>
      <c r="C75">
        <v>1.2496855345911999</v>
      </c>
    </row>
    <row r="76" spans="1:3" x14ac:dyDescent="0.25">
      <c r="A76" t="s">
        <v>267</v>
      </c>
      <c r="B76" s="6">
        <v>39965</v>
      </c>
      <c r="C76">
        <v>1.1634157153939899</v>
      </c>
    </row>
    <row r="77" spans="1:3" x14ac:dyDescent="0.25">
      <c r="A77" t="s">
        <v>268</v>
      </c>
      <c r="B77" s="6">
        <v>39965</v>
      </c>
      <c r="C77">
        <v>1.2054245283018901</v>
      </c>
    </row>
    <row r="78" spans="1:3" x14ac:dyDescent="0.25">
      <c r="A78" t="s">
        <v>267</v>
      </c>
      <c r="B78" s="6">
        <v>40057</v>
      </c>
      <c r="C78">
        <v>1.1624736783774801</v>
      </c>
    </row>
    <row r="79" spans="1:3" x14ac:dyDescent="0.25">
      <c r="A79" t="s">
        <v>268</v>
      </c>
      <c r="B79" s="6">
        <v>40057</v>
      </c>
      <c r="C79">
        <v>1.20511006289308</v>
      </c>
    </row>
    <row r="80" spans="1:3" x14ac:dyDescent="0.25">
      <c r="A80" t="s">
        <v>267</v>
      </c>
      <c r="B80" s="6">
        <v>40148</v>
      </c>
      <c r="C80">
        <v>1.1674055192286401</v>
      </c>
    </row>
    <row r="81" spans="1:3" x14ac:dyDescent="0.25">
      <c r="A81" t="s">
        <v>268</v>
      </c>
      <c r="B81" s="6">
        <v>40148</v>
      </c>
      <c r="C81">
        <v>1.20864779874214</v>
      </c>
    </row>
    <row r="82" spans="1:3" x14ac:dyDescent="0.25">
      <c r="A82" t="s">
        <v>267</v>
      </c>
      <c r="B82" s="6">
        <v>40238</v>
      </c>
      <c r="C82">
        <v>1.1681813144187101</v>
      </c>
    </row>
    <row r="83" spans="1:3" x14ac:dyDescent="0.25">
      <c r="A83" t="s">
        <v>268</v>
      </c>
      <c r="B83" s="6">
        <v>40238</v>
      </c>
      <c r="C83">
        <v>1.2265723270440301</v>
      </c>
    </row>
    <row r="84" spans="1:3" x14ac:dyDescent="0.25">
      <c r="A84" t="s">
        <v>267</v>
      </c>
      <c r="B84" s="6">
        <v>40330</v>
      </c>
      <c r="C84">
        <v>1.1710074254682501</v>
      </c>
    </row>
    <row r="85" spans="1:3" x14ac:dyDescent="0.25">
      <c r="A85" t="s">
        <v>268</v>
      </c>
      <c r="B85" s="6">
        <v>40330</v>
      </c>
      <c r="C85">
        <v>1.27900943396226</v>
      </c>
    </row>
    <row r="86" spans="1:3" x14ac:dyDescent="0.25">
      <c r="A86" t="s">
        <v>267</v>
      </c>
      <c r="B86" s="6">
        <v>40422</v>
      </c>
      <c r="C86">
        <v>1.1755513687243699</v>
      </c>
    </row>
    <row r="87" spans="1:3" x14ac:dyDescent="0.25">
      <c r="A87" t="s">
        <v>268</v>
      </c>
      <c r="B87" s="6">
        <v>40422</v>
      </c>
      <c r="C87">
        <v>1.2785377358490599</v>
      </c>
    </row>
    <row r="88" spans="1:3" x14ac:dyDescent="0.25">
      <c r="A88" t="s">
        <v>267</v>
      </c>
      <c r="B88" s="6">
        <v>40513</v>
      </c>
      <c r="C88">
        <v>1.1811481768812999</v>
      </c>
    </row>
    <row r="89" spans="1:3" x14ac:dyDescent="0.25">
      <c r="A89" t="s">
        <v>268</v>
      </c>
      <c r="B89" s="6">
        <v>40513</v>
      </c>
      <c r="C89">
        <v>1.2871855345912</v>
      </c>
    </row>
    <row r="90" spans="1:3" x14ac:dyDescent="0.25">
      <c r="A90" t="s">
        <v>267</v>
      </c>
      <c r="B90" s="6">
        <v>40603</v>
      </c>
      <c r="C90">
        <v>1.17444308988141</v>
      </c>
    </row>
    <row r="91" spans="1:3" x14ac:dyDescent="0.25">
      <c r="A91" t="s">
        <v>268</v>
      </c>
      <c r="B91" s="6">
        <v>40603</v>
      </c>
      <c r="C91">
        <v>1.29488993710692</v>
      </c>
    </row>
    <row r="92" spans="1:3" x14ac:dyDescent="0.25">
      <c r="A92" t="s">
        <v>267</v>
      </c>
      <c r="B92" s="6">
        <v>40695</v>
      </c>
      <c r="C92">
        <v>1.1838634600465501</v>
      </c>
    </row>
    <row r="93" spans="1:3" x14ac:dyDescent="0.25">
      <c r="A93" t="s">
        <v>268</v>
      </c>
      <c r="B93" s="6">
        <v>40695</v>
      </c>
      <c r="C93">
        <v>1.31462264150943</v>
      </c>
    </row>
    <row r="94" spans="1:3" x14ac:dyDescent="0.25">
      <c r="A94" t="s">
        <v>267</v>
      </c>
      <c r="B94" s="6">
        <v>40787</v>
      </c>
      <c r="C94">
        <v>1.19544497395545</v>
      </c>
    </row>
    <row r="95" spans="1:3" x14ac:dyDescent="0.25">
      <c r="A95" t="s">
        <v>268</v>
      </c>
      <c r="B95" s="6">
        <v>40787</v>
      </c>
      <c r="C95">
        <v>1.34253144654088</v>
      </c>
    </row>
    <row r="96" spans="1:3" x14ac:dyDescent="0.25">
      <c r="A96" t="s">
        <v>267</v>
      </c>
      <c r="B96" s="6">
        <v>40878</v>
      </c>
      <c r="C96">
        <v>1.2032029258561501</v>
      </c>
    </row>
    <row r="97" spans="1:3" x14ac:dyDescent="0.25">
      <c r="A97" t="s">
        <v>268</v>
      </c>
      <c r="B97" s="6">
        <v>40878</v>
      </c>
      <c r="C97">
        <v>1.34040880503145</v>
      </c>
    </row>
    <row r="98" spans="1:3" x14ac:dyDescent="0.25">
      <c r="A98" t="s">
        <v>267</v>
      </c>
      <c r="B98" s="6">
        <v>40969</v>
      </c>
      <c r="C98">
        <v>1.20985259891389</v>
      </c>
    </row>
    <row r="99" spans="1:3" x14ac:dyDescent="0.25">
      <c r="A99" t="s">
        <v>268</v>
      </c>
      <c r="B99" s="6">
        <v>40969</v>
      </c>
      <c r="C99">
        <v>1.3354559748427699</v>
      </c>
    </row>
    <row r="100" spans="1:3" x14ac:dyDescent="0.25">
      <c r="A100" t="s">
        <v>267</v>
      </c>
      <c r="B100" s="6">
        <v>41061</v>
      </c>
      <c r="C100">
        <v>1.21273412390557</v>
      </c>
    </row>
    <row r="101" spans="1:3" x14ac:dyDescent="0.25">
      <c r="A101" t="s">
        <v>268</v>
      </c>
      <c r="B101" s="6">
        <v>41061</v>
      </c>
      <c r="C101">
        <v>1.33883647798742</v>
      </c>
    </row>
    <row r="102" spans="1:3" x14ac:dyDescent="0.25">
      <c r="A102" t="s">
        <v>267</v>
      </c>
      <c r="B102" s="6">
        <v>41153</v>
      </c>
      <c r="C102">
        <v>1.2150060955336399</v>
      </c>
    </row>
    <row r="103" spans="1:3" x14ac:dyDescent="0.25">
      <c r="A103" t="s">
        <v>268</v>
      </c>
      <c r="B103" s="6">
        <v>41153</v>
      </c>
      <c r="C103">
        <v>1.3256289308176099</v>
      </c>
    </row>
    <row r="104" spans="1:3" x14ac:dyDescent="0.25">
      <c r="A104" t="s">
        <v>267</v>
      </c>
      <c r="B104" s="6">
        <v>41244</v>
      </c>
      <c r="C104">
        <v>1.2145073700543101</v>
      </c>
    </row>
    <row r="105" spans="1:3" x14ac:dyDescent="0.25">
      <c r="A105" t="s">
        <v>268</v>
      </c>
      <c r="B105" s="6">
        <v>41244</v>
      </c>
      <c r="C105">
        <v>1.3159591194968601</v>
      </c>
    </row>
    <row r="106" spans="1:3" x14ac:dyDescent="0.25">
      <c r="A106" t="s">
        <v>267</v>
      </c>
      <c r="B106" s="6">
        <v>41334</v>
      </c>
      <c r="C106">
        <v>1.2157818907237099</v>
      </c>
    </row>
    <row r="107" spans="1:3" x14ac:dyDescent="0.25">
      <c r="A107" t="s">
        <v>268</v>
      </c>
      <c r="B107" s="6">
        <v>41334</v>
      </c>
      <c r="C107">
        <v>1.32279874213836</v>
      </c>
    </row>
    <row r="108" spans="1:3" x14ac:dyDescent="0.25">
      <c r="A108" t="s">
        <v>267</v>
      </c>
      <c r="B108" s="6">
        <v>41426</v>
      </c>
      <c r="C108">
        <v>1.21517233736008</v>
      </c>
    </row>
    <row r="109" spans="1:3" x14ac:dyDescent="0.25">
      <c r="A109" t="s">
        <v>268</v>
      </c>
      <c r="B109" s="6">
        <v>41426</v>
      </c>
      <c r="C109">
        <v>1.3139150943396201</v>
      </c>
    </row>
    <row r="110" spans="1:3" x14ac:dyDescent="0.25">
      <c r="A110" t="s">
        <v>267</v>
      </c>
      <c r="B110" s="6">
        <v>41518</v>
      </c>
      <c r="C110">
        <v>1.2202704200376799</v>
      </c>
    </row>
    <row r="111" spans="1:3" x14ac:dyDescent="0.25">
      <c r="A111" t="s">
        <v>268</v>
      </c>
      <c r="B111" s="6">
        <v>41518</v>
      </c>
      <c r="C111">
        <v>1.3110849056603799</v>
      </c>
    </row>
    <row r="112" spans="1:3" x14ac:dyDescent="0.25">
      <c r="A112" t="s">
        <v>267</v>
      </c>
      <c r="B112" s="6">
        <v>41609</v>
      </c>
      <c r="C112">
        <v>1.2254239166574299</v>
      </c>
    </row>
    <row r="113" spans="1:3" x14ac:dyDescent="0.25">
      <c r="A113" t="s">
        <v>268</v>
      </c>
      <c r="B113" s="6">
        <v>41609</v>
      </c>
      <c r="C113">
        <v>1.32122641509434</v>
      </c>
    </row>
    <row r="114" spans="1:3" x14ac:dyDescent="0.25">
      <c r="A114" t="s">
        <v>267</v>
      </c>
      <c r="B114" s="6">
        <v>41699</v>
      </c>
      <c r="C114">
        <v>1.2303557575085899</v>
      </c>
    </row>
    <row r="115" spans="1:3" x14ac:dyDescent="0.25">
      <c r="A115" t="s">
        <v>268</v>
      </c>
      <c r="B115" s="6">
        <v>41699</v>
      </c>
      <c r="C115">
        <v>1.3121855345911999</v>
      </c>
    </row>
    <row r="116" spans="1:3" x14ac:dyDescent="0.25">
      <c r="A116" t="s">
        <v>267</v>
      </c>
      <c r="B116" s="6">
        <v>41791</v>
      </c>
      <c r="C116">
        <v>1.2321844175994701</v>
      </c>
    </row>
    <row r="117" spans="1:3" x14ac:dyDescent="0.25">
      <c r="A117" t="s">
        <v>268</v>
      </c>
      <c r="B117" s="6">
        <v>41791</v>
      </c>
      <c r="C117">
        <v>1.3121069182389899</v>
      </c>
    </row>
    <row r="118" spans="1:3" x14ac:dyDescent="0.25">
      <c r="A118" t="s">
        <v>267</v>
      </c>
      <c r="B118" s="6">
        <v>41883</v>
      </c>
      <c r="C118">
        <v>1.2326831430787999</v>
      </c>
    </row>
    <row r="119" spans="1:3" x14ac:dyDescent="0.25">
      <c r="A119" t="s">
        <v>268</v>
      </c>
      <c r="B119" s="6">
        <v>41883</v>
      </c>
      <c r="C119">
        <v>1.3038522012578599</v>
      </c>
    </row>
    <row r="120" spans="1:3" x14ac:dyDescent="0.25">
      <c r="A120" t="s">
        <v>267</v>
      </c>
      <c r="B120" s="6">
        <v>41974</v>
      </c>
      <c r="C120">
        <v>1.2327385570209499</v>
      </c>
    </row>
    <row r="121" spans="1:3" x14ac:dyDescent="0.25">
      <c r="A121" t="s">
        <v>268</v>
      </c>
      <c r="B121" s="6">
        <v>41974</v>
      </c>
      <c r="C121">
        <v>1.2962264150943399</v>
      </c>
    </row>
    <row r="122" spans="1:3" x14ac:dyDescent="0.25">
      <c r="A122" t="s">
        <v>267</v>
      </c>
      <c r="B122" s="6">
        <v>42064</v>
      </c>
      <c r="C122">
        <v>1.24055192286379</v>
      </c>
    </row>
    <row r="123" spans="1:3" x14ac:dyDescent="0.25">
      <c r="A123" t="s">
        <v>268</v>
      </c>
      <c r="B123" s="6">
        <v>42064</v>
      </c>
      <c r="C123">
        <v>1.2963050314465401</v>
      </c>
    </row>
    <row r="124" spans="1:3" x14ac:dyDescent="0.25">
      <c r="A124" t="s">
        <v>267</v>
      </c>
      <c r="B124" s="6">
        <v>42156</v>
      </c>
      <c r="C124">
        <v>1.2375041560456601</v>
      </c>
    </row>
    <row r="125" spans="1:3" x14ac:dyDescent="0.25">
      <c r="A125" t="s">
        <v>268</v>
      </c>
      <c r="B125" s="6">
        <v>42156</v>
      </c>
      <c r="C125">
        <v>1.27625786163522</v>
      </c>
    </row>
    <row r="126" spans="1:3" x14ac:dyDescent="0.25">
      <c r="A126" t="s">
        <v>267</v>
      </c>
      <c r="B126" s="6">
        <v>42248</v>
      </c>
      <c r="C126">
        <v>1.24504045217777</v>
      </c>
    </row>
    <row r="127" spans="1:3" x14ac:dyDescent="0.25">
      <c r="A127" t="s">
        <v>268</v>
      </c>
      <c r="B127" s="6">
        <v>42248</v>
      </c>
      <c r="C127">
        <v>1.27366352201258</v>
      </c>
    </row>
    <row r="128" spans="1:3" x14ac:dyDescent="0.25">
      <c r="A128" t="s">
        <v>267</v>
      </c>
      <c r="B128" s="6">
        <v>42339</v>
      </c>
      <c r="C128">
        <v>1.2480328050537499</v>
      </c>
    </row>
    <row r="129" spans="1:3" x14ac:dyDescent="0.25">
      <c r="A129" t="s">
        <v>268</v>
      </c>
      <c r="B129" s="6">
        <v>42339</v>
      </c>
      <c r="C129">
        <v>1.2652515723270401</v>
      </c>
    </row>
    <row r="130" spans="1:3" x14ac:dyDescent="0.25">
      <c r="A130" t="s">
        <v>267</v>
      </c>
      <c r="B130" s="6">
        <v>42430</v>
      </c>
      <c r="C130">
        <v>1.2545716502272</v>
      </c>
    </row>
    <row r="131" spans="1:3" x14ac:dyDescent="0.25">
      <c r="A131" t="s">
        <v>268</v>
      </c>
      <c r="B131" s="6">
        <v>42430</v>
      </c>
      <c r="C131">
        <v>1.2724842767295601</v>
      </c>
    </row>
    <row r="132" spans="1:3" x14ac:dyDescent="0.25">
      <c r="A132" t="s">
        <v>267</v>
      </c>
      <c r="B132" s="6">
        <v>42522</v>
      </c>
      <c r="C132">
        <v>1.25739776127674</v>
      </c>
    </row>
    <row r="133" spans="1:3" x14ac:dyDescent="0.25">
      <c r="A133" t="s">
        <v>268</v>
      </c>
      <c r="B133" s="6">
        <v>42522</v>
      </c>
      <c r="C133">
        <v>1.2786163522012599</v>
      </c>
    </row>
    <row r="134" spans="1:3" x14ac:dyDescent="0.25">
      <c r="A134" t="s">
        <v>267</v>
      </c>
      <c r="B134" s="6">
        <v>42614</v>
      </c>
      <c r="C134">
        <v>1.25185636706195</v>
      </c>
    </row>
    <row r="135" spans="1:3" x14ac:dyDescent="0.25">
      <c r="A135" t="s">
        <v>268</v>
      </c>
      <c r="B135" s="6">
        <v>42614</v>
      </c>
      <c r="C135">
        <v>1.2877358490566</v>
      </c>
    </row>
    <row r="136" spans="1:3" x14ac:dyDescent="0.25">
      <c r="A136" t="s">
        <v>267</v>
      </c>
      <c r="B136" s="6">
        <v>42705</v>
      </c>
      <c r="C136">
        <v>1.26111049540064</v>
      </c>
    </row>
    <row r="137" spans="1:3" x14ac:dyDescent="0.25">
      <c r="A137" t="s">
        <v>268</v>
      </c>
      <c r="B137" s="6">
        <v>42705</v>
      </c>
      <c r="C137">
        <v>1.3265723270440299</v>
      </c>
    </row>
    <row r="138" spans="1:3" x14ac:dyDescent="0.25">
      <c r="A138" t="s">
        <v>267</v>
      </c>
      <c r="B138" s="6">
        <v>42795</v>
      </c>
      <c r="C138">
        <v>1.25994680261554</v>
      </c>
    </row>
    <row r="139" spans="1:3" x14ac:dyDescent="0.25">
      <c r="A139" t="s">
        <v>268</v>
      </c>
      <c r="B139" s="6">
        <v>42795</v>
      </c>
      <c r="C139">
        <v>1.33466981132075</v>
      </c>
    </row>
    <row r="140" spans="1:3" x14ac:dyDescent="0.25">
      <c r="A140" t="s">
        <v>267</v>
      </c>
      <c r="B140" s="6">
        <v>42887</v>
      </c>
      <c r="C140">
        <v>1.2625512578964899</v>
      </c>
    </row>
    <row r="141" spans="1:3" x14ac:dyDescent="0.25">
      <c r="A141" t="s">
        <v>268</v>
      </c>
      <c r="B141" s="6">
        <v>42887</v>
      </c>
      <c r="C141">
        <v>1.31981132075472</v>
      </c>
    </row>
    <row r="142" spans="1:3" x14ac:dyDescent="0.25">
      <c r="A142" t="s">
        <v>267</v>
      </c>
      <c r="B142" s="6">
        <v>42979</v>
      </c>
      <c r="C142">
        <v>1.2693117588385201</v>
      </c>
    </row>
    <row r="143" spans="1:3" x14ac:dyDescent="0.25">
      <c r="A143" t="s">
        <v>268</v>
      </c>
      <c r="B143" s="6">
        <v>42979</v>
      </c>
      <c r="C143">
        <v>1.32806603773585</v>
      </c>
    </row>
    <row r="144" spans="1:3" x14ac:dyDescent="0.25">
      <c r="A144" t="s">
        <v>267</v>
      </c>
      <c r="B144" s="6">
        <v>43070</v>
      </c>
      <c r="C144">
        <v>1.2704754516236301</v>
      </c>
    </row>
    <row r="145" spans="1:3" x14ac:dyDescent="0.25">
      <c r="A145" t="s">
        <v>268</v>
      </c>
      <c r="B145" s="6">
        <v>43070</v>
      </c>
      <c r="C145">
        <v>1.32602201257862</v>
      </c>
    </row>
    <row r="146" spans="1:3" x14ac:dyDescent="0.25">
      <c r="A146" t="s">
        <v>267</v>
      </c>
      <c r="B146" s="6">
        <v>43160</v>
      </c>
      <c r="C146">
        <v>1.27884295688795</v>
      </c>
    </row>
    <row r="147" spans="1:3" x14ac:dyDescent="0.25">
      <c r="A147" t="s">
        <v>268</v>
      </c>
      <c r="B147" s="6">
        <v>43160</v>
      </c>
      <c r="C147">
        <v>1.3437106918238999</v>
      </c>
    </row>
    <row r="148" spans="1:3" x14ac:dyDescent="0.25">
      <c r="A148" t="s">
        <v>267</v>
      </c>
      <c r="B148" s="6">
        <v>43252</v>
      </c>
      <c r="C148">
        <v>1.28316524437548</v>
      </c>
    </row>
    <row r="149" spans="1:3" x14ac:dyDescent="0.25">
      <c r="A149" t="s">
        <v>268</v>
      </c>
      <c r="B149" s="6">
        <v>43252</v>
      </c>
      <c r="C149">
        <v>1.3446540880503099</v>
      </c>
    </row>
    <row r="150" spans="1:3" x14ac:dyDescent="0.25">
      <c r="A150" t="s">
        <v>267</v>
      </c>
      <c r="B150" s="6">
        <v>43344</v>
      </c>
      <c r="C150">
        <v>1.28250027706971</v>
      </c>
    </row>
    <row r="151" spans="1:3" x14ac:dyDescent="0.25">
      <c r="A151" t="s">
        <v>268</v>
      </c>
      <c r="B151" s="6">
        <v>43344</v>
      </c>
      <c r="C151">
        <v>1.34512578616352</v>
      </c>
    </row>
    <row r="152" spans="1:3" x14ac:dyDescent="0.25">
      <c r="A152" t="s">
        <v>267</v>
      </c>
      <c r="B152" s="6">
        <v>43435</v>
      </c>
      <c r="C152">
        <v>1.28089327274742</v>
      </c>
    </row>
    <row r="153" spans="1:3" x14ac:dyDescent="0.25">
      <c r="A153" t="s">
        <v>268</v>
      </c>
      <c r="B153" s="6">
        <v>43435</v>
      </c>
      <c r="C153">
        <v>1.3535377358490599</v>
      </c>
    </row>
    <row r="154" spans="1:3" x14ac:dyDescent="0.25">
      <c r="A154" t="s">
        <v>267</v>
      </c>
      <c r="B154" s="6">
        <v>43525</v>
      </c>
      <c r="C154">
        <v>1.28571428571429</v>
      </c>
    </row>
    <row r="155" spans="1:3" x14ac:dyDescent="0.25">
      <c r="A155" t="s">
        <v>268</v>
      </c>
      <c r="B155" s="6">
        <v>43525</v>
      </c>
      <c r="C155">
        <v>1.36415094339623</v>
      </c>
    </row>
    <row r="156" spans="1:3" x14ac:dyDescent="0.25">
      <c r="A156" t="s">
        <v>267</v>
      </c>
      <c r="B156" s="6">
        <v>43617</v>
      </c>
      <c r="C156">
        <v>1.2849939044663601</v>
      </c>
    </row>
    <row r="157" spans="1:3" x14ac:dyDescent="0.25">
      <c r="A157" t="s">
        <v>268</v>
      </c>
      <c r="B157" s="6">
        <v>43617</v>
      </c>
      <c r="C157">
        <v>1.3803459119496899</v>
      </c>
    </row>
    <row r="158" spans="1:3" x14ac:dyDescent="0.25">
      <c r="A158" t="s">
        <v>267</v>
      </c>
      <c r="B158" s="6">
        <v>43709</v>
      </c>
      <c r="C158">
        <v>1.28682256455724</v>
      </c>
    </row>
    <row r="159" spans="1:3" x14ac:dyDescent="0.25">
      <c r="A159" t="s">
        <v>268</v>
      </c>
      <c r="B159" s="6">
        <v>43709</v>
      </c>
      <c r="C159">
        <v>1.39150943396226</v>
      </c>
    </row>
    <row r="160" spans="1:3" x14ac:dyDescent="0.25">
      <c r="A160" t="s">
        <v>267</v>
      </c>
      <c r="B160" s="6">
        <v>43800</v>
      </c>
      <c r="C160">
        <v>1.2899257453175199</v>
      </c>
    </row>
    <row r="161" spans="1:3" x14ac:dyDescent="0.25">
      <c r="A161" t="s">
        <v>268</v>
      </c>
      <c r="B161" s="6">
        <v>43800</v>
      </c>
      <c r="C161">
        <v>1.3772798742138399</v>
      </c>
    </row>
    <row r="162" spans="1:3" x14ac:dyDescent="0.25">
      <c r="A162" t="s">
        <v>267</v>
      </c>
      <c r="B162" s="6">
        <v>43891</v>
      </c>
      <c r="C162">
        <v>1.28438435110274</v>
      </c>
    </row>
    <row r="163" spans="1:3" x14ac:dyDescent="0.25">
      <c r="A163" t="s">
        <v>268</v>
      </c>
      <c r="B163" s="6">
        <v>43891</v>
      </c>
      <c r="C163">
        <v>1.3774371069182401</v>
      </c>
    </row>
    <row r="164" spans="1:3" x14ac:dyDescent="0.25">
      <c r="A164" t="s">
        <v>267</v>
      </c>
      <c r="B164" s="6">
        <v>43983</v>
      </c>
      <c r="C164">
        <v>1.19577745760833</v>
      </c>
    </row>
    <row r="165" spans="1:3" x14ac:dyDescent="0.25">
      <c r="A165" t="s">
        <v>268</v>
      </c>
      <c r="B165" s="6">
        <v>43983</v>
      </c>
      <c r="C165">
        <v>1.2740566037735901</v>
      </c>
    </row>
    <row r="166" spans="1:3" x14ac:dyDescent="0.25">
      <c r="A166" t="s">
        <v>267</v>
      </c>
      <c r="B166" s="6">
        <v>44075</v>
      </c>
      <c r="C166">
        <v>1.2382245372935801</v>
      </c>
    </row>
    <row r="167" spans="1:3" x14ac:dyDescent="0.25">
      <c r="A167" t="s">
        <v>268</v>
      </c>
      <c r="B167" s="6">
        <v>44075</v>
      </c>
      <c r="C167">
        <v>1.3472484276729599</v>
      </c>
    </row>
    <row r="168" spans="1:3" x14ac:dyDescent="0.25">
      <c r="A168" t="s">
        <v>267</v>
      </c>
      <c r="B168" s="6">
        <v>44166</v>
      </c>
      <c r="C168">
        <v>1.2802283054416499</v>
      </c>
    </row>
    <row r="169" spans="1:3" x14ac:dyDescent="0.25">
      <c r="A169" t="s">
        <v>268</v>
      </c>
      <c r="B169" s="6">
        <v>44166</v>
      </c>
      <c r="C169">
        <v>1.4120283018867901</v>
      </c>
    </row>
    <row r="170" spans="1:3" x14ac:dyDescent="0.25">
      <c r="A170" t="s">
        <v>267</v>
      </c>
      <c r="B170" s="6">
        <v>44256</v>
      </c>
      <c r="C170">
        <v>1.30943145295356</v>
      </c>
    </row>
    <row r="171" spans="1:3" x14ac:dyDescent="0.25">
      <c r="A171" t="s">
        <v>268</v>
      </c>
      <c r="B171" s="6">
        <v>44256</v>
      </c>
      <c r="C171">
        <v>1.4712264150943399</v>
      </c>
    </row>
    <row r="172" spans="1:3" x14ac:dyDescent="0.25">
      <c r="A172" t="s">
        <v>267</v>
      </c>
      <c r="B172" s="6">
        <v>44348</v>
      </c>
      <c r="C172">
        <v>1.3169677490856699</v>
      </c>
    </row>
    <row r="173" spans="1:3" x14ac:dyDescent="0.25">
      <c r="A173" t="s">
        <v>268</v>
      </c>
      <c r="B173" s="6">
        <v>44348</v>
      </c>
      <c r="C173">
        <v>1.50062893081761</v>
      </c>
    </row>
    <row r="174" spans="1:3" x14ac:dyDescent="0.25">
      <c r="A174" t="s">
        <v>267</v>
      </c>
      <c r="B174" s="6">
        <v>44440</v>
      </c>
      <c r="C174">
        <v>1.2935276515571299</v>
      </c>
    </row>
    <row r="175" spans="1:3" x14ac:dyDescent="0.25">
      <c r="A175" t="s">
        <v>268</v>
      </c>
      <c r="B175" s="6">
        <v>44440</v>
      </c>
      <c r="C175">
        <v>1.4562106918238999</v>
      </c>
    </row>
    <row r="176" spans="1:3" x14ac:dyDescent="0.25">
      <c r="A176" t="s">
        <v>267</v>
      </c>
      <c r="B176" s="6">
        <v>44531</v>
      </c>
      <c r="C176">
        <v>1.33525434999446</v>
      </c>
    </row>
    <row r="177" spans="1:3" x14ac:dyDescent="0.25">
      <c r="A177" t="s">
        <v>268</v>
      </c>
      <c r="B177" s="6">
        <v>44531</v>
      </c>
      <c r="C177">
        <v>1.4589622641509401</v>
      </c>
    </row>
    <row r="178" spans="1:3" x14ac:dyDescent="0.25">
      <c r="A178" t="s">
        <v>267</v>
      </c>
      <c r="B178" s="6">
        <v>44621</v>
      </c>
      <c r="C178">
        <v>1.34284606006871</v>
      </c>
    </row>
    <row r="179" spans="1:3" x14ac:dyDescent="0.25">
      <c r="A179" t="s">
        <v>268</v>
      </c>
      <c r="B179" s="6">
        <v>44621</v>
      </c>
      <c r="C179">
        <v>1.49740566037736</v>
      </c>
    </row>
    <row r="180" spans="1:3" x14ac:dyDescent="0.25">
      <c r="A180" t="s">
        <v>267</v>
      </c>
      <c r="B180" s="6">
        <v>44713</v>
      </c>
      <c r="C180">
        <v>1.34927407735786</v>
      </c>
    </row>
    <row r="181" spans="1:3" x14ac:dyDescent="0.25">
      <c r="A181" t="s">
        <v>268</v>
      </c>
      <c r="B181" s="6">
        <v>44713</v>
      </c>
      <c r="C181">
        <v>1.5198113207547199</v>
      </c>
    </row>
    <row r="182" spans="1:3" x14ac:dyDescent="0.25">
      <c r="A182" t="s">
        <v>267</v>
      </c>
      <c r="B182" s="6">
        <v>44805</v>
      </c>
      <c r="C182">
        <v>1.3476116590934299</v>
      </c>
    </row>
    <row r="183" spans="1:3" x14ac:dyDescent="0.25">
      <c r="A183" t="s">
        <v>268</v>
      </c>
      <c r="B183" s="6">
        <v>44805</v>
      </c>
      <c r="C183">
        <v>1.4934748427672999</v>
      </c>
    </row>
    <row r="184" spans="1:3" x14ac:dyDescent="0.25">
      <c r="A184" t="s">
        <v>267</v>
      </c>
      <c r="B184" s="6">
        <v>44896</v>
      </c>
      <c r="C184">
        <v>1.34855369610994</v>
      </c>
    </row>
    <row r="185" spans="1:3" x14ac:dyDescent="0.25">
      <c r="A185" t="s">
        <v>268</v>
      </c>
      <c r="B185" s="6">
        <v>44896</v>
      </c>
      <c r="C185">
        <v>1.4952044025157201</v>
      </c>
    </row>
    <row r="186" spans="1:3" x14ac:dyDescent="0.25">
      <c r="A186" t="s">
        <v>267</v>
      </c>
      <c r="B186" s="6">
        <v>44986</v>
      </c>
      <c r="C186">
        <v>1.34727917544054</v>
      </c>
    </row>
    <row r="187" spans="1:3" x14ac:dyDescent="0.25">
      <c r="A187" t="s">
        <v>268</v>
      </c>
      <c r="B187" s="6">
        <v>44986</v>
      </c>
      <c r="C187">
        <v>1.50770440251572</v>
      </c>
    </row>
    <row r="188" spans="1:3" x14ac:dyDescent="0.25">
      <c r="A188" t="s">
        <v>267</v>
      </c>
      <c r="B188" s="6">
        <v>45078</v>
      </c>
      <c r="C188">
        <v>1.34362185525878</v>
      </c>
    </row>
    <row r="189" spans="1:3" x14ac:dyDescent="0.25">
      <c r="A189" t="s">
        <v>268</v>
      </c>
      <c r="B189" s="6">
        <v>45078</v>
      </c>
      <c r="C189">
        <v>1.48561320754717</v>
      </c>
    </row>
    <row r="190" spans="1:3" x14ac:dyDescent="0.25">
      <c r="A190" t="s">
        <v>267</v>
      </c>
      <c r="B190" s="6">
        <v>45170</v>
      </c>
      <c r="C190">
        <v>1.34162695334146</v>
      </c>
    </row>
    <row r="191" spans="1:3" x14ac:dyDescent="0.25">
      <c r="A191" t="s">
        <v>268</v>
      </c>
      <c r="B191" s="6">
        <v>45170</v>
      </c>
      <c r="C191">
        <v>1.46949685534591</v>
      </c>
    </row>
    <row r="192" spans="1:3" x14ac:dyDescent="0.25">
      <c r="A192" t="s">
        <v>267</v>
      </c>
      <c r="B192" s="6">
        <v>45261</v>
      </c>
      <c r="C192">
        <v>1.3366396985481499</v>
      </c>
    </row>
    <row r="193" spans="1:3" x14ac:dyDescent="0.25">
      <c r="A193" t="s">
        <v>268</v>
      </c>
      <c r="B193" s="6">
        <v>45261</v>
      </c>
      <c r="C193">
        <v>1.4771226415094301</v>
      </c>
    </row>
    <row r="194" spans="1:3" x14ac:dyDescent="0.25">
      <c r="A194" t="s">
        <v>267</v>
      </c>
      <c r="B194" s="6">
        <v>45352</v>
      </c>
      <c r="C194">
        <v>1.3327053086556599</v>
      </c>
    </row>
    <row r="195" spans="1:3" x14ac:dyDescent="0.25">
      <c r="A195" t="s">
        <v>268</v>
      </c>
      <c r="B195" s="6">
        <v>45352</v>
      </c>
      <c r="C195">
        <v>1.47099056603774</v>
      </c>
    </row>
    <row r="196" spans="1:3" x14ac:dyDescent="0.25">
      <c r="A196" t="s">
        <v>267</v>
      </c>
      <c r="B196" s="6">
        <v>45444</v>
      </c>
      <c r="C196">
        <v>1.3292696442424901</v>
      </c>
    </row>
    <row r="197" spans="1:3" x14ac:dyDescent="0.25">
      <c r="A197" t="s">
        <v>268</v>
      </c>
      <c r="B197" s="6">
        <v>45444</v>
      </c>
      <c r="C197">
        <v>1.4481132075471701</v>
      </c>
    </row>
    <row r="198" spans="1:3" x14ac:dyDescent="0.25">
      <c r="A198" t="s">
        <v>267</v>
      </c>
      <c r="B198" s="6">
        <v>45536</v>
      </c>
      <c r="C198">
        <v>1.3282721932838299</v>
      </c>
    </row>
    <row r="199" spans="1:3" x14ac:dyDescent="0.25">
      <c r="A199" t="s">
        <v>268</v>
      </c>
      <c r="B199" s="6">
        <v>45536</v>
      </c>
      <c r="C199">
        <v>1.4481132075471701</v>
      </c>
    </row>
    <row r="200" spans="1:3" x14ac:dyDescent="0.25">
      <c r="A200" t="s">
        <v>267</v>
      </c>
      <c r="B200" s="6">
        <v>45627</v>
      </c>
      <c r="C200">
        <v>1.3313199601019601</v>
      </c>
    </row>
    <row r="201" spans="1:3" x14ac:dyDescent="0.25">
      <c r="A201" t="s">
        <v>268</v>
      </c>
      <c r="B201" s="6">
        <v>45627</v>
      </c>
      <c r="C201">
        <v>1.44827044025157</v>
      </c>
    </row>
    <row r="202" spans="1:3" x14ac:dyDescent="0.25">
      <c r="A202" t="s">
        <v>267</v>
      </c>
      <c r="B202" s="6">
        <v>45717</v>
      </c>
      <c r="C202">
        <v>1.3288817466474601</v>
      </c>
    </row>
    <row r="203" spans="1:3" x14ac:dyDescent="0.25">
      <c r="A203" t="s">
        <v>268</v>
      </c>
      <c r="B203" s="6">
        <v>45717</v>
      </c>
      <c r="C203">
        <v>1.4522798742138401</v>
      </c>
    </row>
    <row r="204" spans="1:3" x14ac:dyDescent="0.25">
      <c r="A204" t="s">
        <v>267</v>
      </c>
      <c r="B204" s="6">
        <v>45809</v>
      </c>
      <c r="C204">
        <v>1.3314862019284099</v>
      </c>
    </row>
    <row r="205" spans="1:3" x14ac:dyDescent="0.2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workbookViewId="0">
      <selection activeCell="G16" sqref="G16"/>
    </sheetView>
  </sheetViews>
  <sheetFormatPr defaultRowHeight="15" x14ac:dyDescent="0.25"/>
  <sheetData>
    <row r="1" spans="1:4" x14ac:dyDescent="0.25">
      <c r="A1" t="s">
        <v>14</v>
      </c>
      <c r="B1" t="s">
        <v>311</v>
      </c>
      <c r="C1" t="s">
        <v>312</v>
      </c>
      <c r="D1" t="s">
        <v>313</v>
      </c>
    </row>
    <row r="2" spans="1:4" x14ac:dyDescent="0.25">
      <c r="A2">
        <v>2000</v>
      </c>
      <c r="B2">
        <v>1</v>
      </c>
      <c r="C2">
        <v>1</v>
      </c>
      <c r="D2">
        <v>1.003952</v>
      </c>
    </row>
    <row r="3" spans="1:4" x14ac:dyDescent="0.2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25">
      <c r="A4">
        <v>2002</v>
      </c>
      <c r="B4">
        <v>1.073458</v>
      </c>
      <c r="C4">
        <v>1.061725</v>
      </c>
      <c r="D4">
        <v>1.066144</v>
      </c>
    </row>
    <row r="5" spans="1:4" x14ac:dyDescent="0.25">
      <c r="A5">
        <v>2003</v>
      </c>
      <c r="B5">
        <v>1.08694</v>
      </c>
      <c r="C5">
        <v>1.0932029999999999</v>
      </c>
      <c r="D5">
        <v>1.09867</v>
      </c>
    </row>
    <row r="6" spans="1:4" x14ac:dyDescent="0.25">
      <c r="A6">
        <v>2004</v>
      </c>
      <c r="B6">
        <v>1.13419</v>
      </c>
      <c r="C6">
        <v>1.1407290000000001</v>
      </c>
      <c r="D6">
        <v>1.132188</v>
      </c>
    </row>
    <row r="7" spans="1:4" x14ac:dyDescent="0.2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2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2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2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2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2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2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25">
      <c r="A14">
        <v>2012</v>
      </c>
      <c r="B14">
        <v>1.46089</v>
      </c>
      <c r="C14">
        <v>1.441284</v>
      </c>
      <c r="D14">
        <v>1.439894</v>
      </c>
    </row>
    <row r="15" spans="1:4" x14ac:dyDescent="0.25">
      <c r="A15">
        <v>2013</v>
      </c>
      <c r="B15">
        <v>1.510707</v>
      </c>
      <c r="C15">
        <v>1.476853</v>
      </c>
      <c r="D15">
        <v>1.483822</v>
      </c>
    </row>
    <row r="16" spans="1:4" x14ac:dyDescent="0.2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2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2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2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2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2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2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2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2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2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2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Q35" sqref="Q35"/>
    </sheetView>
  </sheetViews>
  <sheetFormatPr defaultRowHeight="15" x14ac:dyDescent="0.25"/>
  <sheetData>
    <row r="1" spans="1:13" x14ac:dyDescent="0.2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2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2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2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2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A25-5A7F-46B5-878B-A5D4C9D9CFAA}">
  <dimension ref="A1:N93"/>
  <sheetViews>
    <sheetView topLeftCell="A36" workbookViewId="0">
      <selection activeCell="J10" sqref="J10"/>
    </sheetView>
  </sheetViews>
  <sheetFormatPr defaultRowHeight="15" x14ac:dyDescent="0.25"/>
  <cols>
    <col min="3" max="3" width="11.85546875" bestFit="1" customWidth="1"/>
  </cols>
  <sheetData>
    <row r="1" spans="1:6" x14ac:dyDescent="0.25">
      <c r="A1" t="s">
        <v>5</v>
      </c>
      <c r="B1" t="s">
        <v>7</v>
      </c>
      <c r="C1" t="s">
        <v>316</v>
      </c>
      <c r="D1" t="s">
        <v>0</v>
      </c>
      <c r="E1" t="s">
        <v>44</v>
      </c>
      <c r="F1" t="s">
        <v>317</v>
      </c>
    </row>
    <row r="2" spans="1:6" x14ac:dyDescent="0.25">
      <c r="A2">
        <v>1980</v>
      </c>
      <c r="B2" t="s">
        <v>314</v>
      </c>
      <c r="C2">
        <v>0.33358106902907397</v>
      </c>
      <c r="D2">
        <v>0.13323473452642801</v>
      </c>
      <c r="E2">
        <v>0.20033147036090099</v>
      </c>
      <c r="F2">
        <f>D2+E2</f>
        <v>0.33356620488732902</v>
      </c>
    </row>
    <row r="3" spans="1:6" x14ac:dyDescent="0.25">
      <c r="A3">
        <v>1981</v>
      </c>
      <c r="B3" t="s">
        <v>314</v>
      </c>
      <c r="C3">
        <v>0.34234996327772499</v>
      </c>
      <c r="D3">
        <v>0.13496747455670999</v>
      </c>
      <c r="E3">
        <v>0.207382488721016</v>
      </c>
      <c r="F3">
        <f t="shared" ref="F3:F46" si="0">D3+E3</f>
        <v>0.34234996327772599</v>
      </c>
    </row>
    <row r="4" spans="1:6" x14ac:dyDescent="0.25">
      <c r="A4">
        <v>1982</v>
      </c>
      <c r="B4" t="s">
        <v>314</v>
      </c>
      <c r="C4">
        <v>0.34243956831667399</v>
      </c>
      <c r="D4">
        <v>0.13140513263965101</v>
      </c>
      <c r="E4">
        <v>0.21104012470346001</v>
      </c>
      <c r="F4">
        <f t="shared" si="0"/>
        <v>0.34244525734311104</v>
      </c>
    </row>
    <row r="5" spans="1:6" x14ac:dyDescent="0.25">
      <c r="A5">
        <v>1983</v>
      </c>
      <c r="B5" t="s">
        <v>314</v>
      </c>
      <c r="C5">
        <v>0.36969617117710601</v>
      </c>
      <c r="D5">
        <v>0.13797992041950999</v>
      </c>
      <c r="E5">
        <v>0.231710980526496</v>
      </c>
      <c r="F5">
        <f t="shared" si="0"/>
        <v>0.36969090094600598</v>
      </c>
    </row>
    <row r="6" spans="1:6" x14ac:dyDescent="0.25">
      <c r="A6">
        <v>1984</v>
      </c>
      <c r="B6" t="s">
        <v>314</v>
      </c>
      <c r="C6">
        <v>0.37465388213283402</v>
      </c>
      <c r="D6">
        <v>0.13672123479887699</v>
      </c>
      <c r="E6">
        <v>0.237932647333957</v>
      </c>
      <c r="F6">
        <f t="shared" si="0"/>
        <v>0.37465388213283402</v>
      </c>
    </row>
    <row r="7" spans="1:6" x14ac:dyDescent="0.25">
      <c r="A7">
        <v>1985</v>
      </c>
      <c r="B7" t="s">
        <v>314</v>
      </c>
      <c r="C7">
        <v>0.38535363186614902</v>
      </c>
      <c r="D7">
        <v>0.14141452746459399</v>
      </c>
      <c r="E7">
        <v>0.24394335095653699</v>
      </c>
      <c r="F7">
        <f t="shared" si="0"/>
        <v>0.38535787842113101</v>
      </c>
    </row>
    <row r="8" spans="1:6" x14ac:dyDescent="0.25">
      <c r="A8">
        <v>1986</v>
      </c>
      <c r="B8" t="s">
        <v>314</v>
      </c>
      <c r="C8">
        <v>0.38723092726603697</v>
      </c>
      <c r="D8">
        <v>0.141232521771127</v>
      </c>
      <c r="E8">
        <v>0.24599840549491001</v>
      </c>
      <c r="F8">
        <f t="shared" si="0"/>
        <v>0.38723092726603703</v>
      </c>
    </row>
    <row r="9" spans="1:6" x14ac:dyDescent="0.25">
      <c r="A9">
        <v>1987</v>
      </c>
      <c r="B9" t="s">
        <v>314</v>
      </c>
      <c r="C9">
        <v>0.387584900913995</v>
      </c>
      <c r="D9">
        <v>0.14041493138049599</v>
      </c>
      <c r="E9">
        <v>0.24716996953349901</v>
      </c>
      <c r="F9">
        <f t="shared" si="0"/>
        <v>0.387584900913995</v>
      </c>
    </row>
    <row r="10" spans="1:6" x14ac:dyDescent="0.25">
      <c r="A10">
        <v>1988</v>
      </c>
      <c r="B10" t="s">
        <v>314</v>
      </c>
      <c r="C10">
        <v>0.36184958279045298</v>
      </c>
      <c r="D10">
        <v>0.131212325623658</v>
      </c>
      <c r="E10">
        <v>0.23064033734063999</v>
      </c>
      <c r="F10">
        <f t="shared" si="0"/>
        <v>0.36185266296429797</v>
      </c>
    </row>
    <row r="11" spans="1:6" x14ac:dyDescent="0.25">
      <c r="A11">
        <v>1989</v>
      </c>
      <c r="B11" t="s">
        <v>314</v>
      </c>
      <c r="C11">
        <v>0.34642664227335501</v>
      </c>
      <c r="D11">
        <v>0.125608362490398</v>
      </c>
      <c r="E11">
        <v>0.22082099417220599</v>
      </c>
      <c r="F11">
        <f t="shared" si="0"/>
        <v>0.34642935666260399</v>
      </c>
    </row>
    <row r="12" spans="1:6" x14ac:dyDescent="0.25">
      <c r="A12">
        <v>1990</v>
      </c>
      <c r="B12" t="s">
        <v>314</v>
      </c>
      <c r="C12">
        <v>0.34313739991322501</v>
      </c>
      <c r="D12">
        <v>0.12723592868694</v>
      </c>
      <c r="E12">
        <v>0.21589900603478901</v>
      </c>
      <c r="F12">
        <f t="shared" si="0"/>
        <v>0.34313493472172901</v>
      </c>
    </row>
    <row r="13" spans="1:6" x14ac:dyDescent="0.25">
      <c r="A13">
        <v>1991</v>
      </c>
      <c r="B13" t="s">
        <v>314</v>
      </c>
      <c r="C13">
        <v>0.35779644247365799</v>
      </c>
      <c r="D13">
        <v>0.13314122979963899</v>
      </c>
      <c r="E13">
        <v>0.22465039804911399</v>
      </c>
      <c r="F13">
        <f t="shared" si="0"/>
        <v>0.35779162784875296</v>
      </c>
    </row>
    <row r="14" spans="1:6" x14ac:dyDescent="0.25">
      <c r="A14">
        <v>1992</v>
      </c>
      <c r="B14" t="s">
        <v>314</v>
      </c>
      <c r="C14">
        <v>0.373779001662636</v>
      </c>
      <c r="D14">
        <v>0.13720998337363999</v>
      </c>
      <c r="E14">
        <v>0.23656665659008499</v>
      </c>
      <c r="F14">
        <f t="shared" si="0"/>
        <v>0.37377663996372501</v>
      </c>
    </row>
    <row r="15" spans="1:6" x14ac:dyDescent="0.25">
      <c r="A15">
        <v>1993</v>
      </c>
      <c r="B15" t="s">
        <v>314</v>
      </c>
      <c r="C15">
        <v>0.37268094378441202</v>
      </c>
      <c r="D15">
        <v>0.13677310727646799</v>
      </c>
      <c r="E15">
        <v>0.23590558554340499</v>
      </c>
      <c r="F15">
        <f t="shared" si="0"/>
        <v>0.37267869281987298</v>
      </c>
    </row>
    <row r="16" spans="1:6" x14ac:dyDescent="0.25">
      <c r="A16">
        <v>1994</v>
      </c>
      <c r="B16" t="s">
        <v>314</v>
      </c>
      <c r="C16">
        <v>0.37098807517655702</v>
      </c>
      <c r="D16">
        <v>0.12968727890193901</v>
      </c>
      <c r="E16">
        <v>0.241309372199425</v>
      </c>
      <c r="F16">
        <f t="shared" si="0"/>
        <v>0.37099665110136404</v>
      </c>
    </row>
    <row r="17" spans="1:6" x14ac:dyDescent="0.25">
      <c r="A17">
        <v>1995</v>
      </c>
      <c r="B17" t="s">
        <v>314</v>
      </c>
      <c r="C17">
        <v>0.37117244908856101</v>
      </c>
      <c r="D17">
        <v>0.12783521356913</v>
      </c>
      <c r="E17">
        <v>0.24333723551943101</v>
      </c>
      <c r="F17">
        <f t="shared" si="0"/>
        <v>0.37117244908856101</v>
      </c>
    </row>
    <row r="18" spans="1:6" x14ac:dyDescent="0.25">
      <c r="A18">
        <v>1996</v>
      </c>
      <c r="B18" t="s">
        <v>314</v>
      </c>
      <c r="C18">
        <v>0.36582092824579798</v>
      </c>
      <c r="D18">
        <v>0.126851312835013</v>
      </c>
      <c r="E18">
        <v>0.23897150546983101</v>
      </c>
      <c r="F18">
        <f t="shared" si="0"/>
        <v>0.36582281830484398</v>
      </c>
    </row>
    <row r="19" spans="1:6" x14ac:dyDescent="0.25">
      <c r="A19">
        <v>1997</v>
      </c>
      <c r="B19" t="s">
        <v>314</v>
      </c>
      <c r="C19">
        <v>0.356710575079068</v>
      </c>
      <c r="D19">
        <v>0.12720066780125699</v>
      </c>
      <c r="E19">
        <v>0.22951350534492901</v>
      </c>
      <c r="F19">
        <f t="shared" si="0"/>
        <v>0.35671417314618603</v>
      </c>
    </row>
    <row r="20" spans="1:6" x14ac:dyDescent="0.25">
      <c r="A20">
        <v>1998</v>
      </c>
      <c r="B20" t="s">
        <v>314</v>
      </c>
      <c r="C20">
        <v>0.34288859899267699</v>
      </c>
      <c r="D20">
        <v>0.12699093951818799</v>
      </c>
      <c r="E20">
        <v>0.21589596307272599</v>
      </c>
      <c r="F20">
        <f t="shared" si="0"/>
        <v>0.34288690259091398</v>
      </c>
    </row>
    <row r="21" spans="1:6" x14ac:dyDescent="0.25">
      <c r="A21">
        <v>1999</v>
      </c>
      <c r="B21" t="s">
        <v>314</v>
      </c>
      <c r="C21">
        <v>0.34602571046080499</v>
      </c>
      <c r="D21">
        <v>0.133130945282907</v>
      </c>
      <c r="E21">
        <v>0.21289315807320999</v>
      </c>
      <c r="F21">
        <f t="shared" si="0"/>
        <v>0.346024103356117</v>
      </c>
    </row>
    <row r="22" spans="1:6" x14ac:dyDescent="0.25">
      <c r="A22">
        <v>2000</v>
      </c>
      <c r="B22" t="s">
        <v>314</v>
      </c>
      <c r="C22">
        <v>0.345364892411548</v>
      </c>
      <c r="D22">
        <v>0.12990885045348399</v>
      </c>
      <c r="E22">
        <v>0.21545905965534901</v>
      </c>
      <c r="F22">
        <f t="shared" si="0"/>
        <v>0.345367910108833</v>
      </c>
    </row>
    <row r="23" spans="1:6" x14ac:dyDescent="0.25">
      <c r="A23">
        <v>2001</v>
      </c>
      <c r="B23" t="s">
        <v>314</v>
      </c>
      <c r="C23">
        <v>0.35134383007817499</v>
      </c>
      <c r="D23">
        <v>0.12969591836158101</v>
      </c>
      <c r="E23">
        <v>0.22164649909168199</v>
      </c>
      <c r="F23">
        <f t="shared" si="0"/>
        <v>0.351342417453263</v>
      </c>
    </row>
    <row r="24" spans="1:6" x14ac:dyDescent="0.25">
      <c r="A24">
        <v>2002</v>
      </c>
      <c r="B24" t="s">
        <v>314</v>
      </c>
      <c r="C24">
        <v>0.34590256258394803</v>
      </c>
      <c r="D24">
        <v>0.12806574090721601</v>
      </c>
      <c r="E24">
        <v>0.21783682167673199</v>
      </c>
      <c r="F24">
        <f t="shared" si="0"/>
        <v>0.34590256258394803</v>
      </c>
    </row>
    <row r="25" spans="1:6" x14ac:dyDescent="0.25">
      <c r="A25">
        <v>2003</v>
      </c>
      <c r="B25" t="s">
        <v>314</v>
      </c>
      <c r="C25">
        <v>0.33945942449408101</v>
      </c>
      <c r="D25">
        <v>0.126636430131711</v>
      </c>
      <c r="E25">
        <v>0.21282423832294201</v>
      </c>
      <c r="F25">
        <f t="shared" si="0"/>
        <v>0.339460668454653</v>
      </c>
    </row>
    <row r="26" spans="1:6" x14ac:dyDescent="0.25">
      <c r="A26">
        <v>2004</v>
      </c>
      <c r="B26" t="s">
        <v>314</v>
      </c>
      <c r="C26">
        <v>0.33830352760310101</v>
      </c>
      <c r="D26">
        <v>0.12547348046343201</v>
      </c>
      <c r="E26">
        <v>0.212831204793613</v>
      </c>
      <c r="F26">
        <f t="shared" si="0"/>
        <v>0.33830468525704505</v>
      </c>
    </row>
    <row r="27" spans="1:6" x14ac:dyDescent="0.25">
      <c r="A27">
        <v>2005</v>
      </c>
      <c r="B27" t="s">
        <v>314</v>
      </c>
      <c r="C27">
        <v>0.33742978362875198</v>
      </c>
      <c r="D27">
        <v>0.12575187441779001</v>
      </c>
      <c r="E27">
        <v>0.21167682854345499</v>
      </c>
      <c r="F27">
        <f t="shared" si="0"/>
        <v>0.337428702961245</v>
      </c>
    </row>
    <row r="28" spans="1:6" x14ac:dyDescent="0.25">
      <c r="A28">
        <v>2006</v>
      </c>
      <c r="B28" t="s">
        <v>314</v>
      </c>
      <c r="C28">
        <v>0.33451384417256902</v>
      </c>
      <c r="D28">
        <v>0.12765314978422801</v>
      </c>
      <c r="E28">
        <v>0.20685969452032299</v>
      </c>
      <c r="F28">
        <f t="shared" si="0"/>
        <v>0.33451284430455097</v>
      </c>
    </row>
    <row r="29" spans="1:6" x14ac:dyDescent="0.25">
      <c r="A29">
        <v>2007</v>
      </c>
      <c r="B29" t="s">
        <v>314</v>
      </c>
      <c r="C29">
        <v>0.33025060049066801</v>
      </c>
      <c r="D29">
        <v>0.125813116661254</v>
      </c>
      <c r="E29">
        <v>0.20443748382941501</v>
      </c>
      <c r="F29">
        <f t="shared" si="0"/>
        <v>0.33025060049066901</v>
      </c>
    </row>
    <row r="30" spans="1:6" x14ac:dyDescent="0.25">
      <c r="A30">
        <v>2008</v>
      </c>
      <c r="B30" t="s">
        <v>314</v>
      </c>
      <c r="C30">
        <v>0.32995604609861401</v>
      </c>
      <c r="D30">
        <v>0.12715266033425299</v>
      </c>
      <c r="E30">
        <v>0.20280253805170201</v>
      </c>
      <c r="F30">
        <f t="shared" si="0"/>
        <v>0.329955198385955</v>
      </c>
    </row>
    <row r="31" spans="1:6" x14ac:dyDescent="0.25">
      <c r="A31">
        <v>2009</v>
      </c>
      <c r="B31" t="s">
        <v>314</v>
      </c>
      <c r="C31">
        <v>0.35162931765015498</v>
      </c>
      <c r="D31">
        <v>0.13171761083616901</v>
      </c>
      <c r="E31">
        <v>0.21991012137340399</v>
      </c>
      <c r="F31">
        <f t="shared" si="0"/>
        <v>0.351627732209573</v>
      </c>
    </row>
    <row r="32" spans="1:6" x14ac:dyDescent="0.25">
      <c r="A32">
        <v>2010</v>
      </c>
      <c r="B32" t="s">
        <v>314</v>
      </c>
      <c r="C32">
        <v>0.35752057553956801</v>
      </c>
      <c r="D32">
        <v>0.14049611510791399</v>
      </c>
      <c r="E32">
        <v>0.21702292565947201</v>
      </c>
      <c r="F32">
        <f t="shared" si="0"/>
        <v>0.357519040767386</v>
      </c>
    </row>
    <row r="33" spans="1:14" x14ac:dyDescent="0.25">
      <c r="A33">
        <v>2011</v>
      </c>
      <c r="B33" t="s">
        <v>314</v>
      </c>
      <c r="C33">
        <v>0.34822504121705</v>
      </c>
      <c r="D33">
        <v>0.13626120649125401</v>
      </c>
      <c r="E33">
        <v>0.21196594932435101</v>
      </c>
      <c r="F33">
        <f t="shared" si="0"/>
        <v>0.34822715581560504</v>
      </c>
    </row>
    <row r="34" spans="1:14" x14ac:dyDescent="0.25">
      <c r="A34">
        <v>2012</v>
      </c>
      <c r="B34" t="s">
        <v>314</v>
      </c>
      <c r="C34">
        <v>0.35105410144746801</v>
      </c>
      <c r="D34">
        <v>0.13463363746540699</v>
      </c>
      <c r="E34">
        <v>0.21642113098712101</v>
      </c>
      <c r="F34">
        <f t="shared" si="0"/>
        <v>0.35105476845252803</v>
      </c>
    </row>
    <row r="35" spans="1:14" x14ac:dyDescent="0.25">
      <c r="A35">
        <v>2013</v>
      </c>
      <c r="B35" t="s">
        <v>314</v>
      </c>
      <c r="C35">
        <v>0.34588674935744701</v>
      </c>
      <c r="D35">
        <v>0.13343253452097301</v>
      </c>
      <c r="E35">
        <v>0.21245226376416501</v>
      </c>
      <c r="F35">
        <f t="shared" si="0"/>
        <v>0.34588479828513802</v>
      </c>
    </row>
    <row r="36" spans="1:14" x14ac:dyDescent="0.25">
      <c r="A36">
        <v>2014</v>
      </c>
      <c r="B36" t="s">
        <v>314</v>
      </c>
      <c r="C36">
        <v>0.347643589009624</v>
      </c>
      <c r="D36">
        <v>0.131092275211904</v>
      </c>
      <c r="E36">
        <v>0.21655068880475101</v>
      </c>
      <c r="F36">
        <f t="shared" si="0"/>
        <v>0.34764296401665501</v>
      </c>
    </row>
    <row r="37" spans="1:14" x14ac:dyDescent="0.25">
      <c r="A37">
        <v>2015</v>
      </c>
      <c r="B37" t="s">
        <v>314</v>
      </c>
      <c r="C37">
        <v>0.35031740028654101</v>
      </c>
      <c r="D37">
        <v>0.13218031145018599</v>
      </c>
      <c r="E37">
        <v>0.21813708883635499</v>
      </c>
      <c r="F37">
        <f t="shared" si="0"/>
        <v>0.35031740028654101</v>
      </c>
    </row>
    <row r="38" spans="1:14" x14ac:dyDescent="0.25">
      <c r="A38">
        <v>2016</v>
      </c>
      <c r="B38" t="s">
        <v>314</v>
      </c>
      <c r="C38">
        <v>0.356054985106391</v>
      </c>
      <c r="D38">
        <v>0.13622615604931501</v>
      </c>
      <c r="E38">
        <v>0.219830035505786</v>
      </c>
      <c r="F38">
        <f t="shared" si="0"/>
        <v>0.35605619155510104</v>
      </c>
    </row>
    <row r="39" spans="1:14" x14ac:dyDescent="0.25">
      <c r="A39">
        <v>2017</v>
      </c>
      <c r="B39" t="s">
        <v>314</v>
      </c>
      <c r="C39">
        <v>0.35146401126451499</v>
      </c>
      <c r="D39">
        <v>0.13922762492444599</v>
      </c>
      <c r="E39">
        <v>0.21223581719523099</v>
      </c>
      <c r="F39">
        <f t="shared" si="0"/>
        <v>0.35146344211967695</v>
      </c>
    </row>
    <row r="40" spans="1:14" x14ac:dyDescent="0.25">
      <c r="A40">
        <v>2018</v>
      </c>
      <c r="B40" t="s">
        <v>314</v>
      </c>
      <c r="C40">
        <v>0.35128239092999702</v>
      </c>
      <c r="D40">
        <v>0.14156245181940799</v>
      </c>
      <c r="E40">
        <v>0.20971776759093799</v>
      </c>
      <c r="F40">
        <f t="shared" si="0"/>
        <v>0.35128021941034598</v>
      </c>
    </row>
    <row r="41" spans="1:14" x14ac:dyDescent="0.25">
      <c r="A41">
        <v>2019</v>
      </c>
      <c r="B41" t="s">
        <v>314</v>
      </c>
      <c r="C41">
        <v>0.35037060286341998</v>
      </c>
      <c r="D41">
        <v>0.142299273691332</v>
      </c>
      <c r="E41">
        <v>0.20807081548040701</v>
      </c>
      <c r="F41">
        <f t="shared" si="0"/>
        <v>0.35037008917173901</v>
      </c>
    </row>
    <row r="42" spans="1:14" x14ac:dyDescent="0.25">
      <c r="A42">
        <v>2020</v>
      </c>
      <c r="B42" t="s">
        <v>314</v>
      </c>
      <c r="C42">
        <v>0.39912534970861802</v>
      </c>
      <c r="D42">
        <v>0.150096453929361</v>
      </c>
      <c r="E42">
        <v>0.24902940077365099</v>
      </c>
      <c r="F42">
        <f t="shared" si="0"/>
        <v>0.39912585470301198</v>
      </c>
    </row>
    <row r="43" spans="1:14" x14ac:dyDescent="0.25">
      <c r="A43">
        <v>2021</v>
      </c>
      <c r="B43" t="s">
        <v>314</v>
      </c>
      <c r="C43">
        <v>0.42110218470466898</v>
      </c>
      <c r="D43">
        <v>0.15033933667474</v>
      </c>
      <c r="E43">
        <v>0.27076188877431101</v>
      </c>
      <c r="F43">
        <f t="shared" si="0"/>
        <v>0.42110122544905104</v>
      </c>
    </row>
    <row r="44" spans="1:14" x14ac:dyDescent="0.25">
      <c r="A44">
        <v>2022</v>
      </c>
      <c r="B44" t="s">
        <v>314</v>
      </c>
      <c r="C44">
        <v>0.37954043112125502</v>
      </c>
      <c r="D44">
        <v>0.14790621029293</v>
      </c>
      <c r="E44">
        <v>0.23163379214200799</v>
      </c>
      <c r="F44">
        <f t="shared" si="0"/>
        <v>0.37954000243493802</v>
      </c>
    </row>
    <row r="45" spans="1:14" x14ac:dyDescent="0.25">
      <c r="A45">
        <v>2023</v>
      </c>
      <c r="B45" t="s">
        <v>314</v>
      </c>
      <c r="C45">
        <v>0.35903576431439599</v>
      </c>
      <c r="D45">
        <v>0.14552921716733799</v>
      </c>
      <c r="E45">
        <v>0.21350732645335799</v>
      </c>
      <c r="F45">
        <f t="shared" si="0"/>
        <v>0.35903654362069598</v>
      </c>
    </row>
    <row r="46" spans="1:14" x14ac:dyDescent="0.25">
      <c r="A46">
        <v>2024</v>
      </c>
      <c r="B46" t="s">
        <v>314</v>
      </c>
      <c r="C46">
        <v>0.37337145704237501</v>
      </c>
      <c r="D46">
        <v>0.14904305450508401</v>
      </c>
      <c r="E46">
        <v>0.224327654426831</v>
      </c>
      <c r="F46">
        <f t="shared" si="0"/>
        <v>0.37337070893191504</v>
      </c>
      <c r="J46" t="s">
        <v>319</v>
      </c>
    </row>
    <row r="47" spans="1:14" x14ac:dyDescent="0.25">
      <c r="A47">
        <v>2025</v>
      </c>
      <c r="B47" t="s">
        <v>315</v>
      </c>
      <c r="C47">
        <v>0.36987750244790102</v>
      </c>
      <c r="D47">
        <v>0.14964798909232799</v>
      </c>
      <c r="E47">
        <v>0.237493307245943</v>
      </c>
      <c r="F47">
        <f t="shared" ref="F47:F85" si="1">D47+E47</f>
        <v>0.38714129633827099</v>
      </c>
      <c r="J47" t="s">
        <v>320</v>
      </c>
      <c r="K47" t="s">
        <v>0</v>
      </c>
      <c r="L47" t="s">
        <v>44</v>
      </c>
      <c r="M47" t="s">
        <v>317</v>
      </c>
      <c r="N47" t="s">
        <v>318</v>
      </c>
    </row>
    <row r="48" spans="1:14" x14ac:dyDescent="0.25">
      <c r="A48">
        <v>2026</v>
      </c>
      <c r="B48" t="s">
        <v>315</v>
      </c>
      <c r="C48">
        <v>0.37220766774599501</v>
      </c>
      <c r="D48">
        <v>0.15082201536775999</v>
      </c>
      <c r="E48">
        <v>0.23895831313513199</v>
      </c>
      <c r="F48">
        <f t="shared" si="1"/>
        <v>0.38978032850289202</v>
      </c>
      <c r="I48">
        <v>2026</v>
      </c>
      <c r="J48" s="11">
        <f t="shared" ref="J48:J93" si="2">C48-C$47</f>
        <v>2.3301652980939891E-3</v>
      </c>
      <c r="K48" s="11">
        <f t="shared" ref="K48:K93" si="3">D48-D$47</f>
        <v>1.1740262754320052E-3</v>
      </c>
      <c r="L48" s="11">
        <f t="shared" ref="L48:L93" si="4">E48-E$47</f>
        <v>1.4650058891889917E-3</v>
      </c>
      <c r="M48" s="11">
        <f t="shared" ref="M48:M93" si="5">F48-F$47</f>
        <v>2.6390321646210246E-3</v>
      </c>
      <c r="N48" s="10">
        <f>K48/M48</f>
        <v>0.44487001377666041</v>
      </c>
    </row>
    <row r="49" spans="1:14" x14ac:dyDescent="0.25">
      <c r="A49">
        <v>2027</v>
      </c>
      <c r="B49" t="s">
        <v>315</v>
      </c>
      <c r="C49">
        <v>0.37428677801829902</v>
      </c>
      <c r="D49">
        <v>0.151938842823927</v>
      </c>
      <c r="E49">
        <v>0.240956196239941</v>
      </c>
      <c r="F49">
        <f t="shared" si="1"/>
        <v>0.39289503906386802</v>
      </c>
      <c r="I49">
        <v>2027</v>
      </c>
      <c r="J49" s="11">
        <f t="shared" si="2"/>
        <v>4.4092755703979969E-3</v>
      </c>
      <c r="K49" s="11">
        <f t="shared" si="3"/>
        <v>2.290853731599013E-3</v>
      </c>
      <c r="L49" s="11">
        <f t="shared" si="4"/>
        <v>3.4628889939979923E-3</v>
      </c>
      <c r="M49" s="11">
        <f t="shared" si="5"/>
        <v>5.753742725597033E-3</v>
      </c>
      <c r="N49" s="10">
        <f t="shared" ref="N49:N93" si="6">K49/M49</f>
        <v>0.398150185166874</v>
      </c>
    </row>
    <row r="50" spans="1:14" x14ac:dyDescent="0.25">
      <c r="A50">
        <v>2028</v>
      </c>
      <c r="B50" t="s">
        <v>315</v>
      </c>
      <c r="C50">
        <v>0.37589390528389099</v>
      </c>
      <c r="D50">
        <v>0.15276996646883401</v>
      </c>
      <c r="E50">
        <v>0.24288727875371599</v>
      </c>
      <c r="F50">
        <f t="shared" si="1"/>
        <v>0.39565724522254997</v>
      </c>
      <c r="I50">
        <v>2028</v>
      </c>
      <c r="J50" s="11">
        <f t="shared" si="2"/>
        <v>6.0164028359899757E-3</v>
      </c>
      <c r="K50" s="11">
        <f t="shared" si="3"/>
        <v>3.1219773765060188E-3</v>
      </c>
      <c r="L50" s="11">
        <f t="shared" si="4"/>
        <v>5.3939715077729877E-3</v>
      </c>
      <c r="M50" s="11">
        <f t="shared" si="5"/>
        <v>8.5159488842789788E-3</v>
      </c>
      <c r="N50" s="10">
        <f t="shared" si="6"/>
        <v>0.36660358333871657</v>
      </c>
    </row>
    <row r="51" spans="1:14" x14ac:dyDescent="0.25">
      <c r="A51">
        <v>2029</v>
      </c>
      <c r="B51" t="s">
        <v>315</v>
      </c>
      <c r="C51">
        <v>0.37712298759094898</v>
      </c>
      <c r="D51">
        <v>0.153393352808181</v>
      </c>
      <c r="E51">
        <v>0.24454494502469001</v>
      </c>
      <c r="F51">
        <f t="shared" si="1"/>
        <v>0.39793829783287105</v>
      </c>
      <c r="I51">
        <v>2029</v>
      </c>
      <c r="J51" s="11">
        <f t="shared" si="2"/>
        <v>7.2454851430479583E-3</v>
      </c>
      <c r="K51" s="11">
        <f t="shared" si="3"/>
        <v>3.7453637158530173E-3</v>
      </c>
      <c r="L51" s="11">
        <f t="shared" si="4"/>
        <v>7.0516377787470108E-3</v>
      </c>
      <c r="M51" s="11">
        <f t="shared" si="5"/>
        <v>1.0797001494600056E-2</v>
      </c>
      <c r="N51" s="10">
        <f t="shared" si="6"/>
        <v>0.34688924677154115</v>
      </c>
    </row>
    <row r="52" spans="1:14" x14ac:dyDescent="0.25">
      <c r="A52">
        <v>2030</v>
      </c>
      <c r="B52" t="s">
        <v>315</v>
      </c>
      <c r="C52">
        <v>0.37803153985377203</v>
      </c>
      <c r="D52">
        <v>0.15383130355638999</v>
      </c>
      <c r="E52">
        <v>0.24583745037778501</v>
      </c>
      <c r="F52">
        <f t="shared" si="1"/>
        <v>0.399668753934175</v>
      </c>
      <c r="I52">
        <v>2030</v>
      </c>
      <c r="J52" s="11">
        <f t="shared" si="2"/>
        <v>8.1540374058710063E-3</v>
      </c>
      <c r="K52" s="11">
        <f t="shared" si="3"/>
        <v>4.1833144640620046E-3</v>
      </c>
      <c r="L52" s="11">
        <f t="shared" si="4"/>
        <v>8.3441431318420078E-3</v>
      </c>
      <c r="M52" s="11">
        <f t="shared" si="5"/>
        <v>1.2527457595904012E-2</v>
      </c>
      <c r="N52" s="10">
        <f t="shared" si="6"/>
        <v>0.33393164032179878</v>
      </c>
    </row>
    <row r="53" spans="1:14" x14ac:dyDescent="0.25">
      <c r="A53">
        <v>2031</v>
      </c>
      <c r="B53" t="s">
        <v>315</v>
      </c>
      <c r="C53">
        <v>0.37895824511592702</v>
      </c>
      <c r="D53">
        <v>0.154174393715442</v>
      </c>
      <c r="E53">
        <v>0.24709441673148799</v>
      </c>
      <c r="F53">
        <f t="shared" si="1"/>
        <v>0.40126881044692997</v>
      </c>
      <c r="I53">
        <v>2031</v>
      </c>
      <c r="J53" s="11">
        <f t="shared" si="2"/>
        <v>9.0807426680259984E-3</v>
      </c>
      <c r="K53" s="11">
        <f t="shared" si="3"/>
        <v>4.5264046231140165E-3</v>
      </c>
      <c r="L53" s="11">
        <f t="shared" si="4"/>
        <v>9.6011094855449897E-3</v>
      </c>
      <c r="M53" s="11">
        <f t="shared" si="5"/>
        <v>1.4127514108658978E-2</v>
      </c>
      <c r="N53" s="10">
        <f t="shared" si="6"/>
        <v>0.32039639729255065</v>
      </c>
    </row>
    <row r="54" spans="1:14" x14ac:dyDescent="0.25">
      <c r="A54">
        <v>2032</v>
      </c>
      <c r="B54" t="s">
        <v>315</v>
      </c>
      <c r="C54">
        <v>0.37979575514257002</v>
      </c>
      <c r="D54">
        <v>0.154549821900822</v>
      </c>
      <c r="E54">
        <v>0.248197993763667</v>
      </c>
      <c r="F54">
        <f t="shared" si="1"/>
        <v>0.40274781566448903</v>
      </c>
      <c r="I54">
        <v>2032</v>
      </c>
      <c r="J54" s="11">
        <f t="shared" si="2"/>
        <v>9.9182526946690053E-3</v>
      </c>
      <c r="K54" s="11">
        <f t="shared" si="3"/>
        <v>4.9018328084940166E-3</v>
      </c>
      <c r="L54" s="11">
        <f t="shared" si="4"/>
        <v>1.0704686517723994E-2</v>
      </c>
      <c r="M54" s="11">
        <f t="shared" si="5"/>
        <v>1.5606519326218038E-2</v>
      </c>
      <c r="N54" s="10">
        <f t="shared" si="6"/>
        <v>0.31408879238429704</v>
      </c>
    </row>
    <row r="55" spans="1:14" x14ac:dyDescent="0.25">
      <c r="A55">
        <v>2033</v>
      </c>
      <c r="B55" t="s">
        <v>315</v>
      </c>
      <c r="C55">
        <v>0.38063194594532901</v>
      </c>
      <c r="D55">
        <v>0.15498428172242801</v>
      </c>
      <c r="E55">
        <v>0.24930200300712499</v>
      </c>
      <c r="F55">
        <f t="shared" si="1"/>
        <v>0.40428628472955297</v>
      </c>
      <c r="I55">
        <v>2033</v>
      </c>
      <c r="J55" s="11">
        <f t="shared" si="2"/>
        <v>1.075444349742799E-2</v>
      </c>
      <c r="K55" s="11">
        <f t="shared" si="3"/>
        <v>5.3362926301000202E-3</v>
      </c>
      <c r="L55" s="11">
        <f t="shared" si="4"/>
        <v>1.1808695761181986E-2</v>
      </c>
      <c r="M55" s="11">
        <f t="shared" si="5"/>
        <v>1.7144988391281979E-2</v>
      </c>
      <c r="N55" s="10">
        <f t="shared" si="6"/>
        <v>0.31124504189302693</v>
      </c>
    </row>
    <row r="56" spans="1:14" x14ac:dyDescent="0.25">
      <c r="A56">
        <v>2034</v>
      </c>
      <c r="B56" t="s">
        <v>315</v>
      </c>
      <c r="C56">
        <v>0.38154109070985198</v>
      </c>
      <c r="D56">
        <v>0.155523973447034</v>
      </c>
      <c r="E56">
        <v>0.25046556826593702</v>
      </c>
      <c r="F56">
        <f t="shared" si="1"/>
        <v>0.40598954171297102</v>
      </c>
      <c r="I56">
        <v>2034</v>
      </c>
      <c r="J56" s="11">
        <f t="shared" si="2"/>
        <v>1.1663588261950963E-2</v>
      </c>
      <c r="K56" s="11">
        <f t="shared" si="3"/>
        <v>5.8759843547060153E-3</v>
      </c>
      <c r="L56" s="11">
        <f t="shared" si="4"/>
        <v>1.2972261019994019E-2</v>
      </c>
      <c r="M56" s="11">
        <f t="shared" si="5"/>
        <v>1.8848245374700034E-2</v>
      </c>
      <c r="N56" s="10">
        <f t="shared" si="6"/>
        <v>0.31175232696160349</v>
      </c>
    </row>
    <row r="57" spans="1:14" x14ac:dyDescent="0.25">
      <c r="A57">
        <v>2035</v>
      </c>
      <c r="B57" t="s">
        <v>315</v>
      </c>
      <c r="C57">
        <v>0.38230505070168502</v>
      </c>
      <c r="D57">
        <v>0.15608557090095301</v>
      </c>
      <c r="E57">
        <v>0.251311950831483</v>
      </c>
      <c r="F57">
        <f t="shared" si="1"/>
        <v>0.40739752173243604</v>
      </c>
      <c r="I57">
        <v>2035</v>
      </c>
      <c r="J57" s="11">
        <f t="shared" si="2"/>
        <v>1.2427548253784004E-2</v>
      </c>
      <c r="K57" s="11">
        <f t="shared" si="3"/>
        <v>6.4375818086250258E-3</v>
      </c>
      <c r="L57" s="11">
        <f t="shared" si="4"/>
        <v>1.3818643585539997E-2</v>
      </c>
      <c r="M57" s="11">
        <f t="shared" si="5"/>
        <v>2.0256225394165051E-2</v>
      </c>
      <c r="N57" s="10">
        <f t="shared" si="6"/>
        <v>0.31780757191215975</v>
      </c>
    </row>
    <row r="58" spans="1:14" x14ac:dyDescent="0.25">
      <c r="A58">
        <v>2036</v>
      </c>
      <c r="B58" t="s">
        <v>315</v>
      </c>
      <c r="C58">
        <v>0.38349201074407901</v>
      </c>
      <c r="D58">
        <v>0.156921840832835</v>
      </c>
      <c r="E58">
        <v>0.252475248997935</v>
      </c>
      <c r="F58">
        <f t="shared" si="1"/>
        <v>0.40939708983077</v>
      </c>
      <c r="I58">
        <v>2036</v>
      </c>
      <c r="J58" s="11">
        <f t="shared" si="2"/>
        <v>1.3614508296177996E-2</v>
      </c>
      <c r="K58" s="11">
        <f t="shared" si="3"/>
        <v>7.2738517405070147E-3</v>
      </c>
      <c r="L58" s="11">
        <f t="shared" si="4"/>
        <v>1.4981941751991995E-2</v>
      </c>
      <c r="M58" s="11">
        <f t="shared" si="5"/>
        <v>2.225579349249901E-2</v>
      </c>
      <c r="N58" s="10">
        <f t="shared" si="6"/>
        <v>0.32682958452856603</v>
      </c>
    </row>
    <row r="59" spans="1:14" x14ac:dyDescent="0.25">
      <c r="A59">
        <v>2037</v>
      </c>
      <c r="B59" t="s">
        <v>315</v>
      </c>
      <c r="C59">
        <v>0.385130533978157</v>
      </c>
      <c r="D59">
        <v>0.157818229741338</v>
      </c>
      <c r="E59">
        <v>0.25349794194638797</v>
      </c>
      <c r="F59">
        <f t="shared" si="1"/>
        <v>0.41131617168772594</v>
      </c>
      <c r="I59">
        <v>2037</v>
      </c>
      <c r="J59" s="11">
        <f t="shared" si="2"/>
        <v>1.5253031530255978E-2</v>
      </c>
      <c r="K59" s="11">
        <f t="shared" si="3"/>
        <v>8.1702406490100077E-3</v>
      </c>
      <c r="L59" s="11">
        <f t="shared" si="4"/>
        <v>1.600463470044497E-2</v>
      </c>
      <c r="M59" s="11">
        <f t="shared" si="5"/>
        <v>2.417487534945495E-2</v>
      </c>
      <c r="N59" s="10">
        <f t="shared" si="6"/>
        <v>0.33796412725636721</v>
      </c>
    </row>
    <row r="60" spans="1:14" x14ac:dyDescent="0.25">
      <c r="A60">
        <v>2038</v>
      </c>
      <c r="B60" t="s">
        <v>315</v>
      </c>
      <c r="C60">
        <v>0.38687794265641201</v>
      </c>
      <c r="D60">
        <v>0.158778695467957</v>
      </c>
      <c r="E60">
        <v>0.25373482156753802</v>
      </c>
      <c r="F60">
        <f t="shared" si="1"/>
        <v>0.41251351703549499</v>
      </c>
      <c r="I60">
        <v>2038</v>
      </c>
      <c r="J60" s="11">
        <f t="shared" si="2"/>
        <v>1.7000440208510992E-2</v>
      </c>
      <c r="K60" s="11">
        <f t="shared" si="3"/>
        <v>9.1307063756290163E-3</v>
      </c>
      <c r="L60" s="11">
        <f t="shared" si="4"/>
        <v>1.6241514321595013E-2</v>
      </c>
      <c r="M60" s="11">
        <f t="shared" si="5"/>
        <v>2.5372220697224002E-2</v>
      </c>
      <c r="N60" s="10">
        <f t="shared" si="6"/>
        <v>0.3598702094148194</v>
      </c>
    </row>
    <row r="61" spans="1:14" x14ac:dyDescent="0.25">
      <c r="A61">
        <v>2039</v>
      </c>
      <c r="B61" t="s">
        <v>315</v>
      </c>
      <c r="C61">
        <v>0.38833190191146999</v>
      </c>
      <c r="D61">
        <v>0.15962381211427301</v>
      </c>
      <c r="E61">
        <v>0.25379258774436803</v>
      </c>
      <c r="F61">
        <f t="shared" si="1"/>
        <v>0.41341639985864104</v>
      </c>
      <c r="I61">
        <v>2039</v>
      </c>
      <c r="J61" s="11">
        <f t="shared" si="2"/>
        <v>1.8454399463568971E-2</v>
      </c>
      <c r="K61" s="11">
        <f t="shared" si="3"/>
        <v>9.9758230219450239E-3</v>
      </c>
      <c r="L61" s="11">
        <f t="shared" si="4"/>
        <v>1.6299280498425023E-2</v>
      </c>
      <c r="M61" s="11">
        <f t="shared" si="5"/>
        <v>2.6275103520370047E-2</v>
      </c>
      <c r="N61" s="10">
        <f t="shared" si="6"/>
        <v>0.37966826711876372</v>
      </c>
    </row>
    <row r="62" spans="1:14" x14ac:dyDescent="0.25">
      <c r="A62">
        <v>2040</v>
      </c>
      <c r="B62" t="s">
        <v>315</v>
      </c>
      <c r="C62">
        <v>0.38967648259673199</v>
      </c>
      <c r="D62">
        <v>0.16039211924338101</v>
      </c>
      <c r="E62">
        <v>0.25346996475190497</v>
      </c>
      <c r="F62">
        <f t="shared" si="1"/>
        <v>0.41386208399528601</v>
      </c>
      <c r="I62">
        <v>2040</v>
      </c>
      <c r="J62" s="11">
        <f t="shared" si="2"/>
        <v>1.9798980148830969E-2</v>
      </c>
      <c r="K62" s="11">
        <f t="shared" si="3"/>
        <v>1.0744130151053022E-2</v>
      </c>
      <c r="L62" s="11">
        <f t="shared" si="4"/>
        <v>1.5976657505961972E-2</v>
      </c>
      <c r="M62" s="11">
        <f t="shared" si="5"/>
        <v>2.6720787657015022E-2</v>
      </c>
      <c r="N62" s="10">
        <f t="shared" si="6"/>
        <v>0.40208882645839072</v>
      </c>
    </row>
    <row r="63" spans="1:14" x14ac:dyDescent="0.25">
      <c r="A63">
        <v>2041</v>
      </c>
      <c r="B63" t="s">
        <v>315</v>
      </c>
      <c r="C63">
        <v>0.390853722961716</v>
      </c>
      <c r="D63">
        <v>0.16107743246759301</v>
      </c>
      <c r="E63">
        <v>0.25284082890346099</v>
      </c>
      <c r="F63">
        <f t="shared" si="1"/>
        <v>0.41391826137105403</v>
      </c>
      <c r="I63">
        <v>2041</v>
      </c>
      <c r="J63" s="11">
        <f t="shared" si="2"/>
        <v>2.097622051381498E-2</v>
      </c>
      <c r="K63" s="11">
        <f t="shared" si="3"/>
        <v>1.1429443375265025E-2</v>
      </c>
      <c r="L63" s="11">
        <f t="shared" si="4"/>
        <v>1.5347521657517987E-2</v>
      </c>
      <c r="M63" s="11">
        <f t="shared" si="5"/>
        <v>2.677696503278304E-2</v>
      </c>
      <c r="N63" s="10">
        <f t="shared" si="6"/>
        <v>0.42683864139464484</v>
      </c>
    </row>
    <row r="64" spans="1:14" x14ac:dyDescent="0.25">
      <c r="A64">
        <v>2042</v>
      </c>
      <c r="B64" t="s">
        <v>315</v>
      </c>
      <c r="C64">
        <v>0.39174276167073302</v>
      </c>
      <c r="D64">
        <v>0.16164495003084001</v>
      </c>
      <c r="E64">
        <v>0.252011882360545</v>
      </c>
      <c r="F64">
        <f t="shared" si="1"/>
        <v>0.41365683239138501</v>
      </c>
      <c r="I64">
        <v>2042</v>
      </c>
      <c r="J64" s="11">
        <f t="shared" si="2"/>
        <v>2.1865259222832001E-2</v>
      </c>
      <c r="K64" s="11">
        <f t="shared" si="3"/>
        <v>1.1996960938512019E-2</v>
      </c>
      <c r="L64" s="11">
        <f t="shared" si="4"/>
        <v>1.4518575114602E-2</v>
      </c>
      <c r="M64" s="11">
        <f t="shared" si="5"/>
        <v>2.6515536053114019E-2</v>
      </c>
      <c r="N64" s="10">
        <f t="shared" si="6"/>
        <v>0.45245025084465829</v>
      </c>
    </row>
    <row r="65" spans="1:14" x14ac:dyDescent="0.25">
      <c r="A65">
        <v>2043</v>
      </c>
      <c r="B65" t="s">
        <v>315</v>
      </c>
      <c r="C65">
        <v>0.39257714139146599</v>
      </c>
      <c r="D65">
        <v>0.16219571729283799</v>
      </c>
      <c r="E65">
        <v>0.25112446478860001</v>
      </c>
      <c r="F65">
        <f t="shared" si="1"/>
        <v>0.413320182081438</v>
      </c>
      <c r="I65">
        <v>2043</v>
      </c>
      <c r="J65" s="11">
        <f t="shared" si="2"/>
        <v>2.269963894356497E-2</v>
      </c>
      <c r="K65" s="11">
        <f t="shared" si="3"/>
        <v>1.2547728200510005E-2</v>
      </c>
      <c r="L65" s="11">
        <f t="shared" si="4"/>
        <v>1.3631157542657008E-2</v>
      </c>
      <c r="M65" s="11">
        <f t="shared" si="5"/>
        <v>2.6178885743167013E-2</v>
      </c>
      <c r="N65" s="10">
        <f t="shared" si="6"/>
        <v>0.47930719143709566</v>
      </c>
    </row>
    <row r="66" spans="1:14" x14ac:dyDescent="0.25">
      <c r="A66">
        <v>2044</v>
      </c>
      <c r="B66" t="s">
        <v>315</v>
      </c>
      <c r="C66">
        <v>0.39347974049366502</v>
      </c>
      <c r="D66">
        <v>0.16281352055818399</v>
      </c>
      <c r="E66">
        <v>0.25036573152069902</v>
      </c>
      <c r="F66">
        <f t="shared" si="1"/>
        <v>0.41317925207888301</v>
      </c>
      <c r="I66">
        <v>2044</v>
      </c>
      <c r="J66" s="11">
        <f t="shared" si="2"/>
        <v>2.3602238045764001E-2</v>
      </c>
      <c r="K66" s="11">
        <f t="shared" si="3"/>
        <v>1.3165531465856001E-2</v>
      </c>
      <c r="L66" s="11">
        <f t="shared" si="4"/>
        <v>1.2872424274756017E-2</v>
      </c>
      <c r="M66" s="11">
        <f t="shared" si="5"/>
        <v>2.6037955740612018E-2</v>
      </c>
      <c r="N66" s="10">
        <f t="shared" si="6"/>
        <v>0.50562846012221341</v>
      </c>
    </row>
    <row r="67" spans="1:14" x14ac:dyDescent="0.25">
      <c r="A67">
        <v>2045</v>
      </c>
      <c r="B67" t="s">
        <v>315</v>
      </c>
      <c r="C67">
        <v>0.39446606948851498</v>
      </c>
      <c r="D67">
        <v>0.163501791515443</v>
      </c>
      <c r="E67">
        <v>0.24965733833873999</v>
      </c>
      <c r="F67">
        <f t="shared" si="1"/>
        <v>0.41315912985418302</v>
      </c>
      <c r="I67">
        <v>2045</v>
      </c>
      <c r="J67" s="11">
        <f t="shared" si="2"/>
        <v>2.4588567040613962E-2</v>
      </c>
      <c r="K67" s="11">
        <f t="shared" si="3"/>
        <v>1.3853802423115014E-2</v>
      </c>
      <c r="L67" s="11">
        <f t="shared" si="4"/>
        <v>1.2164031092796984E-2</v>
      </c>
      <c r="M67" s="11">
        <f t="shared" si="5"/>
        <v>2.6017833515912026E-2</v>
      </c>
      <c r="N67" s="10">
        <f t="shared" si="6"/>
        <v>0.53247332890504828</v>
      </c>
    </row>
    <row r="68" spans="1:14" x14ac:dyDescent="0.25">
      <c r="A68">
        <v>2046</v>
      </c>
      <c r="B68" t="s">
        <v>315</v>
      </c>
      <c r="C68">
        <v>0.395453848939052</v>
      </c>
      <c r="D68">
        <v>0.164266057108164</v>
      </c>
      <c r="E68">
        <v>0.249361872785237</v>
      </c>
      <c r="F68">
        <f t="shared" si="1"/>
        <v>0.41362792989340103</v>
      </c>
      <c r="I68">
        <v>2046</v>
      </c>
      <c r="J68" s="11">
        <f t="shared" si="2"/>
        <v>2.5576346491150981E-2</v>
      </c>
      <c r="K68" s="11">
        <f t="shared" si="3"/>
        <v>1.4618068015836011E-2</v>
      </c>
      <c r="L68" s="11">
        <f t="shared" si="4"/>
        <v>1.1868565539293996E-2</v>
      </c>
      <c r="M68" s="11">
        <f t="shared" si="5"/>
        <v>2.6486633555130035E-2</v>
      </c>
      <c r="N68" s="10">
        <f t="shared" si="6"/>
        <v>0.55190358508224713</v>
      </c>
    </row>
    <row r="69" spans="1:14" x14ac:dyDescent="0.25">
      <c r="A69">
        <v>2047</v>
      </c>
      <c r="B69" t="s">
        <v>315</v>
      </c>
      <c r="C69">
        <v>0.39619469812445202</v>
      </c>
      <c r="D69">
        <v>0.16495701335808799</v>
      </c>
      <c r="E69">
        <v>0.24932320480319201</v>
      </c>
      <c r="F69">
        <f t="shared" si="1"/>
        <v>0.41428021816128002</v>
      </c>
      <c r="I69">
        <v>2047</v>
      </c>
      <c r="J69" s="11">
        <f t="shared" si="2"/>
        <v>2.6317195676550997E-2</v>
      </c>
      <c r="K69" s="11">
        <f t="shared" si="3"/>
        <v>1.5309024265760002E-2</v>
      </c>
      <c r="L69" s="11">
        <f t="shared" si="4"/>
        <v>1.1829897557249003E-2</v>
      </c>
      <c r="M69" s="11">
        <f t="shared" si="5"/>
        <v>2.7138921823009032E-2</v>
      </c>
      <c r="N69" s="10">
        <f t="shared" si="6"/>
        <v>0.56409846955602494</v>
      </c>
    </row>
    <row r="70" spans="1:14" x14ac:dyDescent="0.25">
      <c r="A70">
        <v>2048</v>
      </c>
      <c r="B70" t="s">
        <v>315</v>
      </c>
      <c r="C70">
        <v>0.39686736468058398</v>
      </c>
      <c r="D70">
        <v>0.16566627037973999</v>
      </c>
      <c r="E70">
        <v>0.249563106982193</v>
      </c>
      <c r="F70">
        <f t="shared" si="1"/>
        <v>0.41522937736193299</v>
      </c>
      <c r="I70">
        <v>2048</v>
      </c>
      <c r="J70" s="11">
        <f t="shared" si="2"/>
        <v>2.698986223268296E-2</v>
      </c>
      <c r="K70" s="11">
        <f t="shared" si="3"/>
        <v>1.6018281287412006E-2</v>
      </c>
      <c r="L70" s="11">
        <f t="shared" si="4"/>
        <v>1.2069799736249998E-2</v>
      </c>
      <c r="M70" s="11">
        <f t="shared" si="5"/>
        <v>2.8088081023662004E-2</v>
      </c>
      <c r="N70" s="10">
        <f t="shared" si="6"/>
        <v>0.57028749218993857</v>
      </c>
    </row>
    <row r="71" spans="1:14" x14ac:dyDescent="0.25">
      <c r="A71">
        <v>2049</v>
      </c>
      <c r="B71" t="s">
        <v>315</v>
      </c>
      <c r="C71">
        <v>0.39756647786886201</v>
      </c>
      <c r="D71">
        <v>0.166362722006487</v>
      </c>
      <c r="E71">
        <v>0.24986042314267201</v>
      </c>
      <c r="F71">
        <f t="shared" si="1"/>
        <v>0.41622314514915904</v>
      </c>
      <c r="I71">
        <v>2049</v>
      </c>
      <c r="J71" s="11">
        <f t="shared" si="2"/>
        <v>2.7688975420960993E-2</v>
      </c>
      <c r="K71" s="11">
        <f t="shared" si="3"/>
        <v>1.6714732914159008E-2</v>
      </c>
      <c r="L71" s="11">
        <f t="shared" si="4"/>
        <v>1.2367115896729008E-2</v>
      </c>
      <c r="M71" s="11">
        <f t="shared" si="5"/>
        <v>2.9081848810888045E-2</v>
      </c>
      <c r="N71" s="10">
        <f t="shared" si="6"/>
        <v>0.57474794752048664</v>
      </c>
    </row>
    <row r="72" spans="1:14" x14ac:dyDescent="0.25">
      <c r="A72">
        <v>2050</v>
      </c>
      <c r="B72" t="s">
        <v>315</v>
      </c>
      <c r="C72">
        <v>0.39831469830937499</v>
      </c>
      <c r="D72">
        <v>0.16706882720018301</v>
      </c>
      <c r="E72">
        <v>0.25027047048484202</v>
      </c>
      <c r="F72">
        <f t="shared" si="1"/>
        <v>0.41733929768502503</v>
      </c>
      <c r="I72">
        <v>2050</v>
      </c>
      <c r="J72" s="11">
        <f t="shared" si="2"/>
        <v>2.8437195861473974E-2</v>
      </c>
      <c r="K72" s="11">
        <f t="shared" si="3"/>
        <v>1.7420838107855025E-2</v>
      </c>
      <c r="L72" s="11">
        <f t="shared" si="4"/>
        <v>1.277716323889902E-2</v>
      </c>
      <c r="M72" s="11">
        <f t="shared" si="5"/>
        <v>3.0198001346754044E-2</v>
      </c>
      <c r="N72" s="10">
        <f t="shared" si="6"/>
        <v>0.57688712268792497</v>
      </c>
    </row>
    <row r="73" spans="1:14" x14ac:dyDescent="0.25">
      <c r="A73">
        <v>2051</v>
      </c>
      <c r="B73" t="s">
        <v>315</v>
      </c>
      <c r="C73">
        <v>0.39876314149323899</v>
      </c>
      <c r="D73">
        <v>0.16762581877187499</v>
      </c>
      <c r="E73">
        <v>0.25081310322315198</v>
      </c>
      <c r="F73">
        <f t="shared" si="1"/>
        <v>0.41843892199502697</v>
      </c>
      <c r="I73">
        <v>2051</v>
      </c>
      <c r="J73" s="11">
        <f t="shared" si="2"/>
        <v>2.8885639045337974E-2</v>
      </c>
      <c r="K73" s="11">
        <f t="shared" si="3"/>
        <v>1.7977829679547003E-2</v>
      </c>
      <c r="L73" s="11">
        <f t="shared" si="4"/>
        <v>1.3319795977208976E-2</v>
      </c>
      <c r="M73" s="11">
        <f t="shared" si="5"/>
        <v>3.1297625656755979E-2</v>
      </c>
      <c r="N73" s="10">
        <f t="shared" si="6"/>
        <v>0.57441512901686409</v>
      </c>
    </row>
    <row r="74" spans="1:14" x14ac:dyDescent="0.25">
      <c r="A74">
        <v>2052</v>
      </c>
      <c r="B74" t="s">
        <v>315</v>
      </c>
      <c r="C74">
        <v>0.39912485273926002</v>
      </c>
      <c r="D74">
        <v>0.16808867683332401</v>
      </c>
      <c r="E74">
        <v>0.251496674484469</v>
      </c>
      <c r="F74">
        <f t="shared" si="1"/>
        <v>0.41958535131779301</v>
      </c>
      <c r="I74">
        <v>2052</v>
      </c>
      <c r="J74" s="11">
        <f t="shared" si="2"/>
        <v>2.9247350291358998E-2</v>
      </c>
      <c r="K74" s="11">
        <f t="shared" si="3"/>
        <v>1.8440687740996026E-2</v>
      </c>
      <c r="L74" s="11">
        <f t="shared" si="4"/>
        <v>1.4003367238525993E-2</v>
      </c>
      <c r="M74" s="11">
        <f t="shared" si="5"/>
        <v>3.2444054979522019E-2</v>
      </c>
      <c r="N74" s="10">
        <f t="shared" si="6"/>
        <v>0.56838418479550068</v>
      </c>
    </row>
    <row r="75" spans="1:14" x14ac:dyDescent="0.25">
      <c r="A75">
        <v>2053</v>
      </c>
      <c r="B75" t="s">
        <v>315</v>
      </c>
      <c r="C75">
        <v>0.399388430860109</v>
      </c>
      <c r="D75">
        <v>0.168473735053182</v>
      </c>
      <c r="E75">
        <v>0.25234692170598499</v>
      </c>
      <c r="F75">
        <f t="shared" si="1"/>
        <v>0.42082065675916702</v>
      </c>
      <c r="I75">
        <v>2053</v>
      </c>
      <c r="J75" s="11">
        <f t="shared" si="2"/>
        <v>2.9510928412207982E-2</v>
      </c>
      <c r="K75" s="11">
        <f t="shared" si="3"/>
        <v>1.8825745960854012E-2</v>
      </c>
      <c r="L75" s="11">
        <f t="shared" si="4"/>
        <v>1.4853614460041992E-2</v>
      </c>
      <c r="M75" s="11">
        <f t="shared" si="5"/>
        <v>3.3679360420896032E-2</v>
      </c>
      <c r="N75" s="10">
        <f t="shared" si="6"/>
        <v>0.55896981788210442</v>
      </c>
    </row>
    <row r="76" spans="1:14" x14ac:dyDescent="0.25">
      <c r="A76">
        <v>2054</v>
      </c>
      <c r="B76" t="s">
        <v>315</v>
      </c>
      <c r="C76">
        <v>0.39972709737531797</v>
      </c>
      <c r="D76">
        <v>0.16888330923888401</v>
      </c>
      <c r="E76">
        <v>0.25328499407462801</v>
      </c>
      <c r="F76">
        <f t="shared" si="1"/>
        <v>0.42216830331351202</v>
      </c>
      <c r="I76">
        <v>2054</v>
      </c>
      <c r="J76" s="11">
        <f t="shared" si="2"/>
        <v>2.9849594927416956E-2</v>
      </c>
      <c r="K76" s="11">
        <f t="shared" si="3"/>
        <v>1.9235320146556018E-2</v>
      </c>
      <c r="L76" s="11">
        <f t="shared" si="4"/>
        <v>1.5791686828685009E-2</v>
      </c>
      <c r="M76" s="11">
        <f t="shared" si="5"/>
        <v>3.5027006975241026E-2</v>
      </c>
      <c r="N76" s="10">
        <f t="shared" si="6"/>
        <v>0.54915683090343903</v>
      </c>
    </row>
    <row r="77" spans="1:14" x14ac:dyDescent="0.25">
      <c r="A77">
        <v>2055</v>
      </c>
      <c r="B77" t="s">
        <v>315</v>
      </c>
      <c r="C77">
        <v>0.40040591302891998</v>
      </c>
      <c r="D77">
        <v>0.16944576664299599</v>
      </c>
      <c r="E77">
        <v>0.25432228120988998</v>
      </c>
      <c r="F77">
        <f t="shared" si="1"/>
        <v>0.42376804785288597</v>
      </c>
      <c r="I77">
        <v>2055</v>
      </c>
      <c r="J77" s="11">
        <f t="shared" si="2"/>
        <v>3.0528410581018961E-2</v>
      </c>
      <c r="K77" s="11">
        <f t="shared" si="3"/>
        <v>1.9797777550668E-2</v>
      </c>
      <c r="L77" s="11">
        <f t="shared" si="4"/>
        <v>1.6828973963946975E-2</v>
      </c>
      <c r="M77" s="11">
        <f t="shared" si="5"/>
        <v>3.6626751514614975E-2</v>
      </c>
      <c r="N77" s="10">
        <f t="shared" si="6"/>
        <v>0.54052780364013986</v>
      </c>
    </row>
    <row r="78" spans="1:14" x14ac:dyDescent="0.25">
      <c r="A78">
        <v>2056</v>
      </c>
      <c r="B78" t="s">
        <v>315</v>
      </c>
      <c r="C78">
        <v>0.40100142094316299</v>
      </c>
      <c r="D78">
        <v>0.16995214777067599</v>
      </c>
      <c r="E78">
        <v>0.25536138274629</v>
      </c>
      <c r="F78">
        <f t="shared" si="1"/>
        <v>0.42531353051696597</v>
      </c>
      <c r="I78">
        <v>2056</v>
      </c>
      <c r="J78" s="11">
        <f t="shared" si="2"/>
        <v>3.1123918495261971E-2</v>
      </c>
      <c r="K78" s="11">
        <f t="shared" si="3"/>
        <v>2.0304158678348005E-2</v>
      </c>
      <c r="L78" s="11">
        <f t="shared" si="4"/>
        <v>1.7868075500346997E-2</v>
      </c>
      <c r="M78" s="11">
        <f t="shared" si="5"/>
        <v>3.8172234178694975E-2</v>
      </c>
      <c r="N78" s="10">
        <f t="shared" si="6"/>
        <v>0.53190909872601433</v>
      </c>
    </row>
    <row r="79" spans="1:14" x14ac:dyDescent="0.25">
      <c r="A79">
        <v>2057</v>
      </c>
      <c r="B79" t="s">
        <v>315</v>
      </c>
      <c r="C79">
        <v>0.40127560716344102</v>
      </c>
      <c r="D79">
        <v>0.17026760369117899</v>
      </c>
      <c r="E79">
        <v>0.256308251049852</v>
      </c>
      <c r="F79">
        <f t="shared" si="1"/>
        <v>0.42657585474103099</v>
      </c>
      <c r="I79">
        <v>2057</v>
      </c>
      <c r="J79" s="11">
        <f t="shared" si="2"/>
        <v>3.1398104715539998E-2</v>
      </c>
      <c r="K79" s="11">
        <f t="shared" si="3"/>
        <v>2.0619614598851005E-2</v>
      </c>
      <c r="L79" s="11">
        <f t="shared" si="4"/>
        <v>1.8814943803908996E-2</v>
      </c>
      <c r="M79" s="11">
        <f t="shared" si="5"/>
        <v>3.943455840276E-2</v>
      </c>
      <c r="N79" s="10">
        <f t="shared" si="6"/>
        <v>0.52288184359147916</v>
      </c>
    </row>
    <row r="80" spans="1:14" x14ac:dyDescent="0.25">
      <c r="A80">
        <v>2058</v>
      </c>
      <c r="B80" t="s">
        <v>315</v>
      </c>
      <c r="C80">
        <v>0.40179174954010899</v>
      </c>
      <c r="D80">
        <v>0.17065870607035899</v>
      </c>
      <c r="E80">
        <v>0.25728118015602403</v>
      </c>
      <c r="F80">
        <f t="shared" si="1"/>
        <v>0.42793988622638301</v>
      </c>
      <c r="I80">
        <v>2058</v>
      </c>
      <c r="J80" s="11">
        <f t="shared" si="2"/>
        <v>3.191424709220797E-2</v>
      </c>
      <c r="K80" s="11">
        <f t="shared" si="3"/>
        <v>2.1010716978031002E-2</v>
      </c>
      <c r="L80" s="11">
        <f t="shared" si="4"/>
        <v>1.9787872910081022E-2</v>
      </c>
      <c r="M80" s="11">
        <f t="shared" si="5"/>
        <v>4.0798589888112025E-2</v>
      </c>
      <c r="N80" s="10">
        <f t="shared" si="6"/>
        <v>0.51498635211784971</v>
      </c>
    </row>
    <row r="81" spans="1:14" x14ac:dyDescent="0.25">
      <c r="A81">
        <v>2059</v>
      </c>
      <c r="B81" t="s">
        <v>315</v>
      </c>
      <c r="C81">
        <v>0.40256825412089903</v>
      </c>
      <c r="D81">
        <v>0.17115866414160699</v>
      </c>
      <c r="E81">
        <v>0.25813912860500399</v>
      </c>
      <c r="F81">
        <f t="shared" si="1"/>
        <v>0.42929779274661095</v>
      </c>
      <c r="I81">
        <v>2059</v>
      </c>
      <c r="J81" s="11">
        <f t="shared" si="2"/>
        <v>3.2690751672998009E-2</v>
      </c>
      <c r="K81" s="11">
        <f t="shared" si="3"/>
        <v>2.1510675049279004E-2</v>
      </c>
      <c r="L81" s="11">
        <f t="shared" si="4"/>
        <v>2.0645821359060984E-2</v>
      </c>
      <c r="M81" s="11">
        <f t="shared" si="5"/>
        <v>4.2156496408339961E-2</v>
      </c>
      <c r="N81" s="10">
        <f t="shared" si="6"/>
        <v>0.51025765616099628</v>
      </c>
    </row>
    <row r="82" spans="1:14" x14ac:dyDescent="0.25">
      <c r="A82">
        <v>2060</v>
      </c>
      <c r="B82" t="s">
        <v>315</v>
      </c>
      <c r="C82">
        <v>0.403555656766931</v>
      </c>
      <c r="D82">
        <v>0.17175271803480099</v>
      </c>
      <c r="E82">
        <v>0.25892778822703899</v>
      </c>
      <c r="F82">
        <f t="shared" si="1"/>
        <v>0.43068050626183996</v>
      </c>
      <c r="I82">
        <v>2060</v>
      </c>
      <c r="J82" s="11">
        <f t="shared" si="2"/>
        <v>3.3678154319029985E-2</v>
      </c>
      <c r="K82" s="11">
        <f t="shared" si="3"/>
        <v>2.2104728942473006E-2</v>
      </c>
      <c r="L82" s="11">
        <f t="shared" si="4"/>
        <v>2.1434480981095988E-2</v>
      </c>
      <c r="M82" s="11">
        <f t="shared" si="5"/>
        <v>4.3539209923568967E-2</v>
      </c>
      <c r="N82" s="10">
        <f t="shared" si="6"/>
        <v>0.5076970615975076</v>
      </c>
    </row>
    <row r="83" spans="1:14" x14ac:dyDescent="0.25">
      <c r="A83">
        <v>2061</v>
      </c>
      <c r="B83" t="s">
        <v>315</v>
      </c>
      <c r="C83">
        <v>0.40479729516313701</v>
      </c>
      <c r="D83">
        <v>0.17241007107801801</v>
      </c>
      <c r="E83">
        <v>0.25942435926855101</v>
      </c>
      <c r="F83">
        <f t="shared" si="1"/>
        <v>0.43183443034656899</v>
      </c>
      <c r="I83">
        <v>2061</v>
      </c>
      <c r="J83" s="11">
        <f t="shared" si="2"/>
        <v>3.4919792715235987E-2</v>
      </c>
      <c r="K83" s="11">
        <f t="shared" si="3"/>
        <v>2.2762081985690019E-2</v>
      </c>
      <c r="L83" s="11">
        <f t="shared" si="4"/>
        <v>2.1931052022608005E-2</v>
      </c>
      <c r="M83" s="11">
        <f t="shared" si="5"/>
        <v>4.4693134008297997E-2</v>
      </c>
      <c r="N83" s="10">
        <f t="shared" si="6"/>
        <v>0.50929706521507023</v>
      </c>
    </row>
    <row r="84" spans="1:14" x14ac:dyDescent="0.25">
      <c r="A84">
        <v>2062</v>
      </c>
      <c r="B84" t="s">
        <v>315</v>
      </c>
      <c r="C84">
        <v>0.40631138952151702</v>
      </c>
      <c r="D84">
        <v>0.17314819317645</v>
      </c>
      <c r="E84">
        <v>0.25964049338314898</v>
      </c>
      <c r="F84">
        <f t="shared" si="1"/>
        <v>0.43278868655959901</v>
      </c>
      <c r="I84">
        <v>2062</v>
      </c>
      <c r="J84" s="11">
        <f t="shared" si="2"/>
        <v>3.6433887073616E-2</v>
      </c>
      <c r="K84" s="11">
        <f t="shared" si="3"/>
        <v>2.3500204084122012E-2</v>
      </c>
      <c r="L84" s="11">
        <f t="shared" si="4"/>
        <v>2.2147186137205982E-2</v>
      </c>
      <c r="M84" s="11">
        <f t="shared" si="5"/>
        <v>4.5647390221328021E-2</v>
      </c>
      <c r="N84" s="10">
        <f t="shared" si="6"/>
        <v>0.51482032094667074</v>
      </c>
    </row>
    <row r="85" spans="1:14" x14ac:dyDescent="0.25">
      <c r="A85">
        <v>2063</v>
      </c>
      <c r="B85" t="s">
        <v>315</v>
      </c>
      <c r="C85">
        <v>0.407864818162122</v>
      </c>
      <c r="D85">
        <v>0.173870613847283</v>
      </c>
      <c r="E85">
        <v>0.25968132570463898</v>
      </c>
      <c r="F85">
        <f t="shared" si="1"/>
        <v>0.43355193955192195</v>
      </c>
      <c r="I85">
        <v>2063</v>
      </c>
      <c r="J85" s="11">
        <f t="shared" si="2"/>
        <v>3.7987315714220982E-2</v>
      </c>
      <c r="K85" s="11">
        <f t="shared" si="3"/>
        <v>2.4222624754955013E-2</v>
      </c>
      <c r="L85" s="11">
        <f t="shared" si="4"/>
        <v>2.2188018458695974E-2</v>
      </c>
      <c r="M85" s="11">
        <f t="shared" si="5"/>
        <v>4.6410643213650959E-2</v>
      </c>
      <c r="N85" s="10">
        <f t="shared" si="6"/>
        <v>0.5219196089019148</v>
      </c>
    </row>
    <row r="86" spans="1:14" x14ac:dyDescent="0.25">
      <c r="A86">
        <v>2064</v>
      </c>
      <c r="B86" t="s">
        <v>315</v>
      </c>
      <c r="C86">
        <v>0.40933397700266599</v>
      </c>
      <c r="D86">
        <v>0.17457401687697799</v>
      </c>
      <c r="E86">
        <v>0.259770577961767</v>
      </c>
      <c r="F86">
        <f t="shared" ref="F86:F93" si="7">D86+E86</f>
        <v>0.43434459483874499</v>
      </c>
      <c r="I86">
        <v>2064</v>
      </c>
      <c r="J86" s="11">
        <f t="shared" si="2"/>
        <v>3.9456474554764975E-2</v>
      </c>
      <c r="K86" s="11">
        <f t="shared" si="3"/>
        <v>2.4926027784650001E-2</v>
      </c>
      <c r="L86" s="11">
        <f t="shared" si="4"/>
        <v>2.2277270715823999E-2</v>
      </c>
      <c r="M86" s="11">
        <f t="shared" si="5"/>
        <v>4.7203298500474E-2</v>
      </c>
      <c r="N86" s="10">
        <f t="shared" si="6"/>
        <v>0.52805690654011606</v>
      </c>
    </row>
    <row r="87" spans="1:14" x14ac:dyDescent="0.25">
      <c r="A87">
        <v>2065</v>
      </c>
      <c r="B87" t="s">
        <v>315</v>
      </c>
      <c r="C87">
        <v>0.41078155438422798</v>
      </c>
      <c r="D87">
        <v>0.175330222632093</v>
      </c>
      <c r="E87">
        <v>0.26003376669755102</v>
      </c>
      <c r="F87">
        <f t="shared" si="7"/>
        <v>0.43536398932964404</v>
      </c>
      <c r="I87">
        <v>2065</v>
      </c>
      <c r="J87" s="11">
        <f t="shared" si="2"/>
        <v>4.0904051936326957E-2</v>
      </c>
      <c r="K87" s="11">
        <f t="shared" si="3"/>
        <v>2.5682233539765009E-2</v>
      </c>
      <c r="L87" s="11">
        <f t="shared" si="4"/>
        <v>2.2540459451608014E-2</v>
      </c>
      <c r="M87" s="11">
        <f t="shared" si="5"/>
        <v>4.8222692991373051E-2</v>
      </c>
      <c r="N87" s="10">
        <f t="shared" si="6"/>
        <v>0.53257568059003901</v>
      </c>
    </row>
    <row r="88" spans="1:14" x14ac:dyDescent="0.25">
      <c r="A88">
        <v>2066</v>
      </c>
      <c r="B88" t="s">
        <v>315</v>
      </c>
      <c r="C88">
        <v>0.41207429479058999</v>
      </c>
      <c r="D88">
        <v>0.176015599950721</v>
      </c>
      <c r="E88">
        <v>0.26028155076877102</v>
      </c>
      <c r="F88">
        <f t="shared" si="7"/>
        <v>0.43629715071949204</v>
      </c>
      <c r="I88">
        <v>2066</v>
      </c>
      <c r="J88" s="11">
        <f t="shared" si="2"/>
        <v>4.2196792342688971E-2</v>
      </c>
      <c r="K88" s="11">
        <f t="shared" si="3"/>
        <v>2.6367610858393009E-2</v>
      </c>
      <c r="L88" s="11">
        <f t="shared" si="4"/>
        <v>2.2788243522828017E-2</v>
      </c>
      <c r="M88" s="11">
        <f t="shared" si="5"/>
        <v>4.9155854381221054E-2</v>
      </c>
      <c r="N88" s="10">
        <f t="shared" si="6"/>
        <v>0.53640835237859674</v>
      </c>
    </row>
    <row r="89" spans="1:14" x14ac:dyDescent="0.25">
      <c r="A89">
        <v>2067</v>
      </c>
      <c r="B89" t="s">
        <v>315</v>
      </c>
      <c r="C89">
        <v>0.41337534090082201</v>
      </c>
      <c r="D89">
        <v>0.17666323300630199</v>
      </c>
      <c r="E89">
        <v>0.26028983040498599</v>
      </c>
      <c r="F89">
        <f t="shared" si="7"/>
        <v>0.43695306341128798</v>
      </c>
      <c r="I89">
        <v>2067</v>
      </c>
      <c r="J89" s="11">
        <f t="shared" si="2"/>
        <v>4.3497838452920989E-2</v>
      </c>
      <c r="K89" s="11">
        <f t="shared" si="3"/>
        <v>2.7015243913974002E-2</v>
      </c>
      <c r="L89" s="11">
        <f t="shared" si="4"/>
        <v>2.2796523159042986E-2</v>
      </c>
      <c r="M89" s="11">
        <f t="shared" si="5"/>
        <v>4.9811767073016988E-2</v>
      </c>
      <c r="N89" s="10">
        <f t="shared" si="6"/>
        <v>0.54234662814458046</v>
      </c>
    </row>
    <row r="90" spans="1:14" x14ac:dyDescent="0.25">
      <c r="A90">
        <v>2068</v>
      </c>
      <c r="B90" t="s">
        <v>315</v>
      </c>
      <c r="C90">
        <v>0.414616050489091</v>
      </c>
      <c r="D90">
        <v>0.17731359490652701</v>
      </c>
      <c r="E90">
        <v>0.260349391332938</v>
      </c>
      <c r="F90">
        <f t="shared" si="7"/>
        <v>0.43766298623946498</v>
      </c>
      <c r="I90">
        <v>2068</v>
      </c>
      <c r="J90" s="11">
        <f t="shared" si="2"/>
        <v>4.4738548041189985E-2</v>
      </c>
      <c r="K90" s="11">
        <f t="shared" si="3"/>
        <v>2.7665605814199024E-2</v>
      </c>
      <c r="L90" s="11">
        <f t="shared" si="4"/>
        <v>2.2856084086994993E-2</v>
      </c>
      <c r="M90" s="11">
        <f t="shared" si="5"/>
        <v>5.0521689901193989E-2</v>
      </c>
      <c r="N90" s="10">
        <f t="shared" si="6"/>
        <v>0.54759858326799948</v>
      </c>
    </row>
    <row r="91" spans="1:14" x14ac:dyDescent="0.25">
      <c r="A91">
        <v>2069</v>
      </c>
      <c r="B91" t="s">
        <v>315</v>
      </c>
      <c r="C91">
        <v>0.41570589813817199</v>
      </c>
      <c r="D91">
        <v>0.177959236265335</v>
      </c>
      <c r="E91">
        <v>0.26061912606210202</v>
      </c>
      <c r="F91">
        <f t="shared" si="7"/>
        <v>0.43857836232743702</v>
      </c>
      <c r="I91">
        <v>2069</v>
      </c>
      <c r="J91" s="11">
        <f t="shared" si="2"/>
        <v>4.5828395690270973E-2</v>
      </c>
      <c r="K91" s="11">
        <f t="shared" si="3"/>
        <v>2.8311247173007009E-2</v>
      </c>
      <c r="L91" s="11">
        <f t="shared" si="4"/>
        <v>2.3125818816159022E-2</v>
      </c>
      <c r="M91" s="11">
        <f t="shared" si="5"/>
        <v>5.1437065989166031E-2</v>
      </c>
      <c r="N91" s="10">
        <f t="shared" si="6"/>
        <v>0.55040556121474904</v>
      </c>
    </row>
    <row r="92" spans="1:14" x14ac:dyDescent="0.25">
      <c r="A92">
        <v>2070</v>
      </c>
      <c r="B92" t="s">
        <v>315</v>
      </c>
      <c r="C92">
        <v>0.41664801672699098</v>
      </c>
      <c r="D92">
        <v>0.17858859583512299</v>
      </c>
      <c r="E92">
        <v>0.26104746970098602</v>
      </c>
      <c r="F92">
        <f t="shared" si="7"/>
        <v>0.43963606553610901</v>
      </c>
      <c r="I92">
        <v>2070</v>
      </c>
      <c r="J92" s="11">
        <f t="shared" si="2"/>
        <v>4.6770514279089959E-2</v>
      </c>
      <c r="K92" s="11">
        <f t="shared" si="3"/>
        <v>2.8940606742795E-2</v>
      </c>
      <c r="L92" s="11">
        <f t="shared" si="4"/>
        <v>2.3554162455043021E-2</v>
      </c>
      <c r="M92" s="11">
        <f t="shared" si="5"/>
        <v>5.249476919783802E-2</v>
      </c>
      <c r="N92" s="10">
        <f t="shared" si="6"/>
        <v>0.5513045811045667</v>
      </c>
    </row>
    <row r="93" spans="1:14" x14ac:dyDescent="0.25">
      <c r="A93">
        <v>2071</v>
      </c>
      <c r="B93" t="s">
        <v>315</v>
      </c>
      <c r="C93">
        <v>0.41758230982772299</v>
      </c>
      <c r="D93">
        <v>0.179269136366219</v>
      </c>
      <c r="E93">
        <v>0.26159402342173599</v>
      </c>
      <c r="F93">
        <f t="shared" si="7"/>
        <v>0.44086315978795498</v>
      </c>
      <c r="I93">
        <v>2071</v>
      </c>
      <c r="J93" s="11">
        <f t="shared" si="2"/>
        <v>4.7704807379821967E-2</v>
      </c>
      <c r="K93" s="11">
        <f t="shared" si="3"/>
        <v>2.9621147273891008E-2</v>
      </c>
      <c r="L93" s="11">
        <f t="shared" si="4"/>
        <v>2.4100716175792986E-2</v>
      </c>
      <c r="M93" s="11">
        <f t="shared" si="5"/>
        <v>5.3721863449683993E-2</v>
      </c>
      <c r="N93" s="10">
        <f t="shared" si="6"/>
        <v>0.55137974321449656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4DB6E-CE67-48F6-951B-22327034725B}">
  <dimension ref="A1:Q93"/>
  <sheetViews>
    <sheetView workbookViewId="0">
      <selection activeCell="J2" sqref="J2"/>
    </sheetView>
  </sheetViews>
  <sheetFormatPr defaultRowHeight="15" x14ac:dyDescent="0.25"/>
  <cols>
    <col min="3" max="3" width="11.85546875" bestFit="1" customWidth="1"/>
    <col min="4" max="4" width="10.85546875" bestFit="1" customWidth="1"/>
    <col min="5" max="5" width="12.42578125" bestFit="1" customWidth="1"/>
    <col min="6" max="6" width="16.42578125" bestFit="1" customWidth="1"/>
    <col min="8" max="8" width="11.42578125" bestFit="1" customWidth="1"/>
  </cols>
  <sheetData>
    <row r="1" spans="1:10" x14ac:dyDescent="0.25">
      <c r="A1" t="s">
        <v>5</v>
      </c>
      <c r="B1" t="s">
        <v>7</v>
      </c>
      <c r="C1" t="s">
        <v>323</v>
      </c>
      <c r="D1" t="s">
        <v>324</v>
      </c>
      <c r="E1" t="s">
        <v>321</v>
      </c>
      <c r="F1" t="s">
        <v>325</v>
      </c>
      <c r="G1" t="s">
        <v>49</v>
      </c>
      <c r="H1" t="s">
        <v>322</v>
      </c>
      <c r="J1" s="8" t="s">
        <v>329</v>
      </c>
    </row>
    <row r="2" spans="1:10" x14ac:dyDescent="0.25">
      <c r="A2">
        <v>1980</v>
      </c>
      <c r="B2" t="s">
        <v>314</v>
      </c>
      <c r="C2" s="11">
        <v>0.33358106902907397</v>
      </c>
      <c r="D2">
        <v>134614</v>
      </c>
      <c r="E2" s="12">
        <f>D2*C2</f>
        <v>44904.682026279763</v>
      </c>
      <c r="F2" t="s">
        <v>326</v>
      </c>
      <c r="G2" t="s">
        <v>326</v>
      </c>
    </row>
    <row r="3" spans="1:10" x14ac:dyDescent="0.25">
      <c r="A3">
        <v>1981</v>
      </c>
      <c r="B3" t="s">
        <v>314</v>
      </c>
      <c r="C3" s="11">
        <v>0.34234996327772499</v>
      </c>
      <c r="D3">
        <v>152360</v>
      </c>
      <c r="E3" s="12">
        <f t="shared" ref="E3:E66" si="0">D3*C3</f>
        <v>52160.44040499418</v>
      </c>
      <c r="F3" t="s">
        <v>326</v>
      </c>
      <c r="G3" t="s">
        <v>326</v>
      </c>
    </row>
    <row r="4" spans="1:10" x14ac:dyDescent="0.25">
      <c r="A4">
        <v>1982</v>
      </c>
      <c r="B4" t="s">
        <v>314</v>
      </c>
      <c r="C4" s="11">
        <v>0.34243956831667399</v>
      </c>
      <c r="D4">
        <v>175860</v>
      </c>
      <c r="E4" s="12">
        <f t="shared" si="0"/>
        <v>60221.422484170289</v>
      </c>
      <c r="F4" t="s">
        <v>326</v>
      </c>
      <c r="G4" t="s">
        <v>326</v>
      </c>
    </row>
    <row r="5" spans="1:10" x14ac:dyDescent="0.25">
      <c r="A5">
        <v>1983</v>
      </c>
      <c r="B5" t="s">
        <v>314</v>
      </c>
      <c r="C5" s="11">
        <v>0.36969617117710601</v>
      </c>
      <c r="D5">
        <v>189415</v>
      </c>
      <c r="E5" s="12">
        <f t="shared" si="0"/>
        <v>70026.000263511538</v>
      </c>
      <c r="F5" t="s">
        <v>326</v>
      </c>
      <c r="G5" t="s">
        <v>326</v>
      </c>
    </row>
    <row r="6" spans="1:10" x14ac:dyDescent="0.25">
      <c r="A6">
        <v>1984</v>
      </c>
      <c r="B6" t="s">
        <v>314</v>
      </c>
      <c r="C6" s="11">
        <v>0.37465388213283402</v>
      </c>
      <c r="D6">
        <v>213694</v>
      </c>
      <c r="E6" s="12">
        <f t="shared" si="0"/>
        <v>80061.286688493827</v>
      </c>
      <c r="F6" t="s">
        <v>326</v>
      </c>
      <c r="G6" t="s">
        <v>326</v>
      </c>
    </row>
    <row r="7" spans="1:10" x14ac:dyDescent="0.25">
      <c r="A7">
        <v>1985</v>
      </c>
      <c r="B7" t="s">
        <v>314</v>
      </c>
      <c r="C7" s="11">
        <v>0.38535363186614902</v>
      </c>
      <c r="D7">
        <v>235504</v>
      </c>
      <c r="E7" s="12">
        <f t="shared" si="0"/>
        <v>90752.321719005558</v>
      </c>
      <c r="F7" t="s">
        <v>326</v>
      </c>
      <c r="G7" t="s">
        <v>326</v>
      </c>
    </row>
    <row r="8" spans="1:10" x14ac:dyDescent="0.25">
      <c r="A8">
        <v>1986</v>
      </c>
      <c r="B8" t="s">
        <v>314</v>
      </c>
      <c r="C8" s="11">
        <v>0.38723092726603697</v>
      </c>
      <c r="D8">
        <v>260876</v>
      </c>
      <c r="E8" s="12">
        <f t="shared" si="0"/>
        <v>101019.25538145466</v>
      </c>
      <c r="F8" t="s">
        <v>326</v>
      </c>
      <c r="G8" t="s">
        <v>326</v>
      </c>
    </row>
    <row r="9" spans="1:10" x14ac:dyDescent="0.25">
      <c r="A9">
        <v>1987</v>
      </c>
      <c r="B9" t="s">
        <v>314</v>
      </c>
      <c r="C9" s="11">
        <v>0.387584900913995</v>
      </c>
      <c r="D9">
        <v>286367</v>
      </c>
      <c r="E9" s="12">
        <f t="shared" si="0"/>
        <v>110991.52532003801</v>
      </c>
      <c r="F9" t="s">
        <v>326</v>
      </c>
      <c r="G9" t="s">
        <v>326</v>
      </c>
    </row>
    <row r="10" spans="1:10" x14ac:dyDescent="0.25">
      <c r="A10">
        <v>1988</v>
      </c>
      <c r="B10" t="s">
        <v>314</v>
      </c>
      <c r="C10" s="11">
        <v>0.36184958279045298</v>
      </c>
      <c r="D10">
        <v>324582</v>
      </c>
      <c r="E10" s="12">
        <f t="shared" si="0"/>
        <v>117449.86128129081</v>
      </c>
      <c r="F10" t="s">
        <v>326</v>
      </c>
      <c r="G10" t="s">
        <v>326</v>
      </c>
    </row>
    <row r="11" spans="1:10" x14ac:dyDescent="0.25">
      <c r="A11">
        <v>1989</v>
      </c>
      <c r="B11" t="s">
        <v>314</v>
      </c>
      <c r="C11" s="11">
        <v>0.34642664227335501</v>
      </c>
      <c r="D11">
        <v>368281</v>
      </c>
      <c r="E11" s="12">
        <f t="shared" si="0"/>
        <v>127582.35024307345</v>
      </c>
      <c r="F11" t="s">
        <v>326</v>
      </c>
      <c r="G11" t="s">
        <v>326</v>
      </c>
    </row>
    <row r="12" spans="1:10" x14ac:dyDescent="0.25">
      <c r="A12">
        <v>1990</v>
      </c>
      <c r="B12" t="s">
        <v>314</v>
      </c>
      <c r="C12" s="11">
        <v>0.34313739991322501</v>
      </c>
      <c r="D12">
        <v>404704</v>
      </c>
      <c r="E12" s="12">
        <f t="shared" si="0"/>
        <v>138869.07829448182</v>
      </c>
      <c r="F12" t="s">
        <v>326</v>
      </c>
      <c r="G12" t="s">
        <v>326</v>
      </c>
    </row>
    <row r="13" spans="1:10" x14ac:dyDescent="0.25">
      <c r="A13">
        <v>1991</v>
      </c>
      <c r="B13" t="s">
        <v>314</v>
      </c>
      <c r="C13" s="11">
        <v>0.35779644247365799</v>
      </c>
      <c r="D13">
        <v>415332</v>
      </c>
      <c r="E13" s="12">
        <f t="shared" si="0"/>
        <v>148604.31204546933</v>
      </c>
      <c r="F13" t="s">
        <v>326</v>
      </c>
      <c r="G13" t="s">
        <v>326</v>
      </c>
    </row>
    <row r="14" spans="1:10" x14ac:dyDescent="0.25">
      <c r="A14">
        <v>1992</v>
      </c>
      <c r="B14" t="s">
        <v>314</v>
      </c>
      <c r="C14" s="11">
        <v>0.373779001662636</v>
      </c>
      <c r="D14">
        <v>423281</v>
      </c>
      <c r="E14" s="12">
        <f t="shared" si="0"/>
        <v>158213.54960276224</v>
      </c>
      <c r="F14" t="s">
        <v>326</v>
      </c>
      <c r="G14" t="s">
        <v>326</v>
      </c>
    </row>
    <row r="15" spans="1:10" x14ac:dyDescent="0.25">
      <c r="A15">
        <v>1993</v>
      </c>
      <c r="B15" t="s">
        <v>314</v>
      </c>
      <c r="C15" s="11">
        <v>0.37268094378441202</v>
      </c>
      <c r="D15">
        <v>444230</v>
      </c>
      <c r="E15" s="12">
        <f t="shared" si="0"/>
        <v>165556.05565734935</v>
      </c>
      <c r="F15" t="s">
        <v>326</v>
      </c>
      <c r="G15" t="s">
        <v>326</v>
      </c>
    </row>
    <row r="16" spans="1:10" x14ac:dyDescent="0.25">
      <c r="A16">
        <v>1994</v>
      </c>
      <c r="B16" t="s">
        <v>314</v>
      </c>
      <c r="C16" s="11">
        <v>0.37098807517655702</v>
      </c>
      <c r="D16">
        <v>466618</v>
      </c>
      <c r="E16" s="12">
        <f t="shared" si="0"/>
        <v>173109.71366273469</v>
      </c>
      <c r="F16" t="s">
        <v>326</v>
      </c>
      <c r="G16" t="s">
        <v>326</v>
      </c>
    </row>
    <row r="17" spans="1:14" x14ac:dyDescent="0.25">
      <c r="A17">
        <v>1995</v>
      </c>
      <c r="B17" t="s">
        <v>314</v>
      </c>
      <c r="C17" s="11">
        <v>0.37117244908856101</v>
      </c>
      <c r="D17">
        <v>495847</v>
      </c>
      <c r="E17" s="12">
        <f t="shared" si="0"/>
        <v>184044.74536321571</v>
      </c>
      <c r="F17" t="s">
        <v>326</v>
      </c>
      <c r="G17" t="s">
        <v>326</v>
      </c>
    </row>
    <row r="18" spans="1:14" x14ac:dyDescent="0.25">
      <c r="A18">
        <v>1996</v>
      </c>
      <c r="B18" t="s">
        <v>314</v>
      </c>
      <c r="C18" s="11">
        <v>0.36582092824579798</v>
      </c>
      <c r="D18">
        <v>528970</v>
      </c>
      <c r="E18" s="12">
        <f t="shared" si="0"/>
        <v>193508.29641417976</v>
      </c>
      <c r="F18" t="s">
        <v>326</v>
      </c>
      <c r="G18" t="s">
        <v>326</v>
      </c>
    </row>
    <row r="19" spans="1:14" x14ac:dyDescent="0.25">
      <c r="A19">
        <v>1997</v>
      </c>
      <c r="B19" t="s">
        <v>314</v>
      </c>
      <c r="C19" s="11">
        <v>0.356710575079068</v>
      </c>
      <c r="D19">
        <v>556666</v>
      </c>
      <c r="E19" s="12">
        <f t="shared" si="0"/>
        <v>198568.64898696446</v>
      </c>
      <c r="F19" t="s">
        <v>326</v>
      </c>
      <c r="G19" t="s">
        <v>326</v>
      </c>
    </row>
    <row r="20" spans="1:14" x14ac:dyDescent="0.25">
      <c r="A20">
        <v>1998</v>
      </c>
      <c r="B20" t="s">
        <v>314</v>
      </c>
      <c r="C20" s="11">
        <v>0.34288859899267699</v>
      </c>
      <c r="D20">
        <v>589241</v>
      </c>
      <c r="E20" s="12">
        <f t="shared" si="0"/>
        <v>202044.02095904399</v>
      </c>
      <c r="F20" t="s">
        <v>326</v>
      </c>
      <c r="G20" t="s">
        <v>326</v>
      </c>
    </row>
    <row r="21" spans="1:14" x14ac:dyDescent="0.25">
      <c r="A21">
        <v>1999</v>
      </c>
      <c r="B21" t="s">
        <v>314</v>
      </c>
      <c r="C21" s="11">
        <v>0.34602571046080499</v>
      </c>
      <c r="D21">
        <v>621808</v>
      </c>
      <c r="E21" s="12">
        <f t="shared" si="0"/>
        <v>215161.55497021222</v>
      </c>
      <c r="F21" t="s">
        <v>326</v>
      </c>
      <c r="G21" t="s">
        <v>326</v>
      </c>
    </row>
    <row r="22" spans="1:14" x14ac:dyDescent="0.25">
      <c r="A22">
        <v>2000</v>
      </c>
      <c r="B22" t="s">
        <v>314</v>
      </c>
      <c r="C22" s="11">
        <v>0.345364892411548</v>
      </c>
      <c r="D22">
        <v>662676</v>
      </c>
      <c r="E22" s="12">
        <f t="shared" si="0"/>
        <v>228865.02544371499</v>
      </c>
      <c r="F22" t="s">
        <v>326</v>
      </c>
      <c r="G22" t="s">
        <v>326</v>
      </c>
    </row>
    <row r="23" spans="1:14" x14ac:dyDescent="0.25">
      <c r="A23">
        <v>2001</v>
      </c>
      <c r="B23" t="s">
        <v>314</v>
      </c>
      <c r="C23" s="11">
        <v>0.35134383007817499</v>
      </c>
      <c r="D23">
        <v>707404</v>
      </c>
      <c r="E23" s="12">
        <f t="shared" si="0"/>
        <v>248542.03077262131</v>
      </c>
      <c r="F23" t="s">
        <v>326</v>
      </c>
      <c r="G23" t="s">
        <v>326</v>
      </c>
    </row>
    <row r="24" spans="1:14" x14ac:dyDescent="0.25">
      <c r="A24">
        <v>2002</v>
      </c>
      <c r="B24" t="s">
        <v>314</v>
      </c>
      <c r="C24" s="11">
        <v>0.34590256258394803</v>
      </c>
      <c r="D24">
        <v>756448</v>
      </c>
      <c r="E24" s="12">
        <f t="shared" si="0"/>
        <v>261657.30166150231</v>
      </c>
      <c r="F24" t="s">
        <v>326</v>
      </c>
      <c r="G24" t="s">
        <v>326</v>
      </c>
    </row>
    <row r="25" spans="1:14" x14ac:dyDescent="0.25">
      <c r="A25">
        <v>2003</v>
      </c>
      <c r="B25" t="s">
        <v>314</v>
      </c>
      <c r="C25" s="11">
        <v>0.33945942449408101</v>
      </c>
      <c r="D25">
        <v>803110</v>
      </c>
      <c r="E25" s="12">
        <f t="shared" si="0"/>
        <v>272623.25840544142</v>
      </c>
      <c r="F25">
        <v>268.8</v>
      </c>
      <c r="G25">
        <v>280.39999999999998</v>
      </c>
    </row>
    <row r="26" spans="1:14" x14ac:dyDescent="0.25">
      <c r="A26">
        <v>2004</v>
      </c>
      <c r="B26" t="s">
        <v>314</v>
      </c>
      <c r="C26" s="11">
        <v>0.33830352760310101</v>
      </c>
      <c r="D26">
        <v>864091</v>
      </c>
      <c r="E26" s="12">
        <f t="shared" si="0"/>
        <v>292325.03347009118</v>
      </c>
      <c r="F26">
        <v>289.3</v>
      </c>
      <c r="G26">
        <v>304.3</v>
      </c>
      <c r="K26" s="10">
        <f t="shared" ref="K26:K39" si="1">G26/G25-1</f>
        <v>8.5235378031383924E-2</v>
      </c>
      <c r="L26" s="10">
        <f>G26*1000/D26</f>
        <v>0.3521619829392969</v>
      </c>
      <c r="M26" s="10">
        <f>F26*1000/D26</f>
        <v>0.33480270017856917</v>
      </c>
      <c r="N26" s="10"/>
    </row>
    <row r="27" spans="1:14" x14ac:dyDescent="0.25">
      <c r="A27">
        <v>2005</v>
      </c>
      <c r="B27" t="s">
        <v>314</v>
      </c>
      <c r="C27" s="11">
        <v>0.33742978362875198</v>
      </c>
      <c r="D27">
        <v>925444</v>
      </c>
      <c r="E27" s="12">
        <f t="shared" si="0"/>
        <v>312272.36868052674</v>
      </c>
      <c r="F27">
        <v>308.10000000000002</v>
      </c>
      <c r="G27">
        <v>328.9</v>
      </c>
      <c r="K27" s="10">
        <f t="shared" si="1"/>
        <v>8.0841275057508932E-2</v>
      </c>
      <c r="L27" s="10">
        <f t="shared" ref="L27:L90" si="2">G27*1000/D27</f>
        <v>0.35539697701859863</v>
      </c>
      <c r="M27" s="10">
        <f t="shared" ref="M27:M90" si="3">F27*1000/D27</f>
        <v>0.33292127886722483</v>
      </c>
      <c r="N27" s="10"/>
    </row>
    <row r="28" spans="1:14" x14ac:dyDescent="0.25">
      <c r="A28">
        <v>2006</v>
      </c>
      <c r="B28" t="s">
        <v>314</v>
      </c>
      <c r="C28" s="11">
        <v>0.33451384417256902</v>
      </c>
      <c r="D28">
        <v>999587</v>
      </c>
      <c r="E28" s="12">
        <f t="shared" si="0"/>
        <v>334375.68995492574</v>
      </c>
      <c r="F28">
        <v>327</v>
      </c>
      <c r="G28">
        <v>355.9</v>
      </c>
      <c r="K28" s="10">
        <f t="shared" si="1"/>
        <v>8.2091821222256112E-2</v>
      </c>
      <c r="L28" s="10">
        <f t="shared" si="2"/>
        <v>0.35604704743058885</v>
      </c>
      <c r="M28" s="10">
        <f t="shared" si="3"/>
        <v>0.32713510679910801</v>
      </c>
      <c r="N28" s="10"/>
    </row>
    <row r="29" spans="1:14" x14ac:dyDescent="0.25">
      <c r="A29">
        <v>2007</v>
      </c>
      <c r="B29" t="s">
        <v>314</v>
      </c>
      <c r="C29" s="11">
        <v>0.33025060049066801</v>
      </c>
      <c r="D29">
        <v>1089025</v>
      </c>
      <c r="E29" s="12">
        <f t="shared" si="0"/>
        <v>359651.16019934975</v>
      </c>
      <c r="F29">
        <v>352.5</v>
      </c>
      <c r="G29">
        <v>380.9</v>
      </c>
      <c r="K29" s="10">
        <f t="shared" si="1"/>
        <v>7.0244450688395688E-2</v>
      </c>
      <c r="L29" s="10">
        <f t="shared" si="2"/>
        <v>0.34976240214871102</v>
      </c>
      <c r="M29" s="10">
        <f t="shared" si="3"/>
        <v>0.32368402929225681</v>
      </c>
      <c r="N29" s="10"/>
    </row>
    <row r="30" spans="1:14" x14ac:dyDescent="0.25">
      <c r="A30">
        <v>2008</v>
      </c>
      <c r="B30" t="s">
        <v>314</v>
      </c>
      <c r="C30" s="11">
        <v>0.32995604609861401</v>
      </c>
      <c r="D30">
        <v>1179633</v>
      </c>
      <c r="E30" s="12">
        <f t="shared" si="0"/>
        <v>389227.04052744631</v>
      </c>
      <c r="F30">
        <v>379.3</v>
      </c>
      <c r="G30">
        <v>411.4</v>
      </c>
      <c r="K30" s="10">
        <f t="shared" si="1"/>
        <v>8.0073510107639745E-2</v>
      </c>
      <c r="L30" s="10">
        <f t="shared" si="2"/>
        <v>0.34875253574628717</v>
      </c>
      <c r="M30" s="10">
        <f t="shared" si="3"/>
        <v>0.32154068256822249</v>
      </c>
      <c r="N30" s="10"/>
    </row>
    <row r="31" spans="1:14" x14ac:dyDescent="0.25">
      <c r="A31">
        <v>2009</v>
      </c>
      <c r="B31" t="s">
        <v>314</v>
      </c>
      <c r="C31" s="11">
        <v>0.35162931765015498</v>
      </c>
      <c r="D31">
        <v>1261444</v>
      </c>
      <c r="E31" s="12">
        <f t="shared" si="0"/>
        <v>443560.69297388208</v>
      </c>
      <c r="F31">
        <v>431.2</v>
      </c>
      <c r="G31">
        <v>409.8</v>
      </c>
      <c r="K31" s="10">
        <f t="shared" si="1"/>
        <v>-3.8891589693728079E-3</v>
      </c>
      <c r="L31" s="10">
        <f t="shared" si="2"/>
        <v>0.32486578873100985</v>
      </c>
      <c r="M31" s="10">
        <f t="shared" si="3"/>
        <v>0.34183047364766095</v>
      </c>
      <c r="N31" s="10"/>
    </row>
    <row r="32" spans="1:14" x14ac:dyDescent="0.25">
      <c r="A32">
        <v>2010</v>
      </c>
      <c r="B32" t="s">
        <v>314</v>
      </c>
      <c r="C32" s="11">
        <v>0.35752057553956801</v>
      </c>
      <c r="D32">
        <v>1304323</v>
      </c>
      <c r="E32" s="12">
        <f t="shared" si="0"/>
        <v>466322.30964949599</v>
      </c>
      <c r="F32">
        <v>451.6</v>
      </c>
      <c r="G32">
        <v>409.7</v>
      </c>
      <c r="K32" s="10">
        <f t="shared" si="1"/>
        <v>-2.4402147388979945E-4</v>
      </c>
      <c r="L32" s="10">
        <f t="shared" si="2"/>
        <v>0.31410931188056945</v>
      </c>
      <c r="M32" s="10">
        <f t="shared" si="3"/>
        <v>0.34623325663965138</v>
      </c>
      <c r="N32" s="10"/>
    </row>
    <row r="33" spans="1:15" x14ac:dyDescent="0.25">
      <c r="A33">
        <v>2011</v>
      </c>
      <c r="B33" t="s">
        <v>314</v>
      </c>
      <c r="C33" s="11">
        <v>0.34822504121705</v>
      </c>
      <c r="D33">
        <v>1418560</v>
      </c>
      <c r="E33" s="12">
        <f t="shared" si="0"/>
        <v>493978.11446885846</v>
      </c>
      <c r="F33">
        <v>476.4</v>
      </c>
      <c r="G33">
        <v>437</v>
      </c>
      <c r="K33" s="10">
        <f t="shared" si="1"/>
        <v>6.6634122528679507E-2</v>
      </c>
      <c r="L33" s="10">
        <f t="shared" si="2"/>
        <v>0.30805887660726372</v>
      </c>
      <c r="M33" s="10">
        <f t="shared" si="3"/>
        <v>0.3358335213173923</v>
      </c>
      <c r="N33" s="10"/>
    </row>
    <row r="34" spans="1:15" x14ac:dyDescent="0.25">
      <c r="A34">
        <v>2012</v>
      </c>
      <c r="B34" t="s">
        <v>314</v>
      </c>
      <c r="C34" s="11">
        <v>0.35105410144746801</v>
      </c>
      <c r="D34">
        <v>1500738</v>
      </c>
      <c r="E34" s="12">
        <f t="shared" si="0"/>
        <v>526840.23009807023</v>
      </c>
      <c r="F34">
        <v>511.4</v>
      </c>
      <c r="G34">
        <v>472.2</v>
      </c>
      <c r="K34" s="10">
        <f t="shared" si="1"/>
        <v>8.0549199084668066E-2</v>
      </c>
      <c r="L34" s="10">
        <f t="shared" si="2"/>
        <v>0.31464519456427437</v>
      </c>
      <c r="M34" s="10">
        <f t="shared" si="3"/>
        <v>0.34076567662043605</v>
      </c>
      <c r="N34" s="10"/>
    </row>
    <row r="35" spans="1:15" x14ac:dyDescent="0.25">
      <c r="A35">
        <v>2013</v>
      </c>
      <c r="B35" t="s">
        <v>314</v>
      </c>
      <c r="C35" s="11">
        <v>0.34588674935744701</v>
      </c>
      <c r="D35">
        <v>1537270</v>
      </c>
      <c r="E35" s="12">
        <f t="shared" si="0"/>
        <v>531721.32318472257</v>
      </c>
      <c r="F35">
        <v>528</v>
      </c>
      <c r="G35">
        <v>504</v>
      </c>
      <c r="K35" s="10">
        <f t="shared" si="1"/>
        <v>6.7344345616264345E-2</v>
      </c>
      <c r="L35" s="10">
        <f t="shared" si="2"/>
        <v>0.3278539228632576</v>
      </c>
      <c r="M35" s="10">
        <f t="shared" si="3"/>
        <v>0.34346601442817465</v>
      </c>
      <c r="N35" s="10"/>
    </row>
    <row r="36" spans="1:15" x14ac:dyDescent="0.25">
      <c r="A36">
        <v>2014</v>
      </c>
      <c r="B36" t="s">
        <v>314</v>
      </c>
      <c r="C36" s="11">
        <v>0.347643589009624</v>
      </c>
      <c r="D36">
        <v>1599336</v>
      </c>
      <c r="E36" s="12">
        <f t="shared" si="0"/>
        <v>555998.90707229602</v>
      </c>
      <c r="F36">
        <v>551.29999999999995</v>
      </c>
      <c r="G36">
        <v>524.4</v>
      </c>
      <c r="K36" s="10">
        <f t="shared" si="1"/>
        <v>4.0476190476190332E-2</v>
      </c>
      <c r="L36" s="10">
        <f t="shared" si="2"/>
        <v>0.32788607272017889</v>
      </c>
      <c r="M36" s="10">
        <f t="shared" si="3"/>
        <v>0.34470555280441384</v>
      </c>
      <c r="N36" s="10"/>
    </row>
    <row r="37" spans="1:15" x14ac:dyDescent="0.25">
      <c r="A37">
        <v>2015</v>
      </c>
      <c r="B37" t="s">
        <v>314</v>
      </c>
      <c r="C37" s="11">
        <v>0.35031740028654101</v>
      </c>
      <c r="D37">
        <v>1624167</v>
      </c>
      <c r="E37" s="12">
        <f t="shared" si="0"/>
        <v>568973.96107119042</v>
      </c>
      <c r="F37">
        <v>569.1</v>
      </c>
      <c r="G37">
        <v>540.70000000000005</v>
      </c>
      <c r="K37" s="10">
        <f t="shared" si="1"/>
        <v>3.1083142639206862E-2</v>
      </c>
      <c r="L37" s="10">
        <f t="shared" si="2"/>
        <v>0.3329091158729367</v>
      </c>
      <c r="M37" s="10">
        <f t="shared" si="3"/>
        <v>0.35039500248435046</v>
      </c>
      <c r="N37" s="10"/>
    </row>
    <row r="38" spans="1:15" x14ac:dyDescent="0.25">
      <c r="A38">
        <v>2016</v>
      </c>
      <c r="B38" t="s">
        <v>314</v>
      </c>
      <c r="C38" s="11">
        <v>0.356054985106391</v>
      </c>
      <c r="D38">
        <v>1657916</v>
      </c>
      <c r="E38" s="12">
        <f t="shared" si="0"/>
        <v>590309.25668764731</v>
      </c>
      <c r="F38">
        <v>585.5</v>
      </c>
      <c r="G38">
        <v>561.5</v>
      </c>
      <c r="K38" s="10">
        <f t="shared" si="1"/>
        <v>3.8468651747734395E-2</v>
      </c>
      <c r="L38" s="10">
        <f t="shared" si="2"/>
        <v>0.33867819600027987</v>
      </c>
      <c r="M38" s="10">
        <f t="shared" si="3"/>
        <v>0.35315420081596416</v>
      </c>
      <c r="N38" s="10"/>
    </row>
    <row r="39" spans="1:15" x14ac:dyDescent="0.25">
      <c r="A39">
        <v>2017</v>
      </c>
      <c r="B39" t="s">
        <v>314</v>
      </c>
      <c r="C39" s="11">
        <v>0.35146401126451499</v>
      </c>
      <c r="D39">
        <v>1757656</v>
      </c>
      <c r="E39" s="12">
        <f t="shared" si="0"/>
        <v>617752.82818314235</v>
      </c>
      <c r="F39">
        <v>607.70000000000005</v>
      </c>
      <c r="G39">
        <v>593.29999999999995</v>
      </c>
      <c r="K39" s="10">
        <f t="shared" si="1"/>
        <v>5.6634016028495049E-2</v>
      </c>
      <c r="L39" s="10">
        <f t="shared" si="2"/>
        <v>0.33755183039229519</v>
      </c>
      <c r="M39" s="10">
        <f t="shared" si="3"/>
        <v>0.34574455980009738</v>
      </c>
      <c r="N39" s="10"/>
    </row>
    <row r="40" spans="1:15" x14ac:dyDescent="0.25">
      <c r="A40">
        <v>2018</v>
      </c>
      <c r="B40" t="s">
        <v>314</v>
      </c>
      <c r="C40" s="11">
        <v>0.35128239092999702</v>
      </c>
      <c r="D40">
        <v>1842048</v>
      </c>
      <c r="E40" s="12">
        <f t="shared" si="0"/>
        <v>647079.02564781916</v>
      </c>
      <c r="F40">
        <v>631.79999999999995</v>
      </c>
      <c r="G40">
        <v>640.79999999999995</v>
      </c>
      <c r="K40" s="10">
        <f>G40/G39-1</f>
        <v>8.0060677566155425E-2</v>
      </c>
      <c r="L40" s="10">
        <f t="shared" si="2"/>
        <v>0.34787367104440275</v>
      </c>
      <c r="M40" s="10">
        <f t="shared" si="3"/>
        <v>0.34298780487804881</v>
      </c>
      <c r="N40" s="10"/>
    </row>
    <row r="41" spans="1:15" x14ac:dyDescent="0.25">
      <c r="A41">
        <v>2019</v>
      </c>
      <c r="B41" t="s">
        <v>314</v>
      </c>
      <c r="C41" s="11">
        <v>0.35037060286341998</v>
      </c>
      <c r="D41">
        <v>1947322</v>
      </c>
      <c r="E41" s="12">
        <f t="shared" si="0"/>
        <v>682284.38310920075</v>
      </c>
      <c r="F41">
        <v>664.6</v>
      </c>
      <c r="G41">
        <v>680.6</v>
      </c>
      <c r="K41" s="10">
        <f t="shared" ref="K41:K93" si="4">G41/G40-1</f>
        <v>6.2109862671660521E-2</v>
      </c>
      <c r="L41" s="10">
        <f t="shared" si="2"/>
        <v>0.34950562875579899</v>
      </c>
      <c r="M41" s="10">
        <f t="shared" si="3"/>
        <v>0.34128921667808404</v>
      </c>
      <c r="N41" s="10"/>
    </row>
    <row r="42" spans="1:15" x14ac:dyDescent="0.25">
      <c r="A42">
        <v>2020</v>
      </c>
      <c r="B42" t="s">
        <v>314</v>
      </c>
      <c r="C42" s="11">
        <v>0.39912534970861802</v>
      </c>
      <c r="D42">
        <v>1981664</v>
      </c>
      <c r="E42" s="12">
        <f t="shared" si="0"/>
        <v>790932.33700497879</v>
      </c>
      <c r="F42">
        <v>777.4</v>
      </c>
      <c r="G42">
        <v>670.6</v>
      </c>
      <c r="K42" s="10">
        <f t="shared" si="4"/>
        <v>-1.4692918013517464E-2</v>
      </c>
      <c r="L42" s="10">
        <f t="shared" si="2"/>
        <v>0.33840247388053674</v>
      </c>
      <c r="M42" s="10">
        <f t="shared" si="3"/>
        <v>0.3922965749995963</v>
      </c>
      <c r="N42" s="10"/>
    </row>
    <row r="43" spans="1:15" x14ac:dyDescent="0.25">
      <c r="A43">
        <v>2021</v>
      </c>
      <c r="B43" t="s">
        <v>314</v>
      </c>
      <c r="C43" s="11">
        <v>0.42110218470466898</v>
      </c>
      <c r="D43">
        <v>2085822</v>
      </c>
      <c r="E43" s="12">
        <f t="shared" si="0"/>
        <v>878344.20110506203</v>
      </c>
      <c r="F43">
        <v>865.8</v>
      </c>
      <c r="G43">
        <v>719</v>
      </c>
      <c r="K43" s="10">
        <f t="shared" si="4"/>
        <v>7.2174172382940549E-2</v>
      </c>
      <c r="L43" s="10">
        <f t="shared" si="2"/>
        <v>0.34470822534233508</v>
      </c>
      <c r="M43" s="10">
        <f t="shared" si="3"/>
        <v>0.41508815229679236</v>
      </c>
      <c r="N43" s="10"/>
    </row>
    <row r="44" spans="1:15" x14ac:dyDescent="0.25">
      <c r="A44">
        <v>2022</v>
      </c>
      <c r="B44" t="s">
        <v>314</v>
      </c>
      <c r="C44" s="11">
        <v>0.37954043112125502</v>
      </c>
      <c r="D44">
        <v>2330329</v>
      </c>
      <c r="E44" s="12">
        <f t="shared" si="0"/>
        <v>884454.07331436314</v>
      </c>
      <c r="F44">
        <v>857.9</v>
      </c>
      <c r="G44">
        <v>824</v>
      </c>
      <c r="K44" s="10">
        <f t="shared" si="4"/>
        <v>0.14603616133518771</v>
      </c>
      <c r="L44" s="10">
        <f t="shared" si="2"/>
        <v>0.35359814000512374</v>
      </c>
      <c r="M44" s="10">
        <f t="shared" si="3"/>
        <v>0.36814544212426659</v>
      </c>
      <c r="N44" s="10"/>
    </row>
    <row r="45" spans="1:15" x14ac:dyDescent="0.25">
      <c r="A45">
        <v>2023</v>
      </c>
      <c r="B45" t="s">
        <v>314</v>
      </c>
      <c r="C45" s="11">
        <v>0.35903576431439599</v>
      </c>
      <c r="D45">
        <v>2567512</v>
      </c>
      <c r="E45" s="12">
        <f t="shared" si="0"/>
        <v>921828.6333063835</v>
      </c>
      <c r="F45">
        <v>890.8</v>
      </c>
      <c r="G45">
        <v>906.8</v>
      </c>
      <c r="K45" s="10">
        <f t="shared" si="4"/>
        <v>0.10048543689320377</v>
      </c>
      <c r="L45" s="10">
        <f t="shared" si="2"/>
        <v>0.35318238045236011</v>
      </c>
      <c r="M45" s="10">
        <f t="shared" si="3"/>
        <v>0.34695066663758534</v>
      </c>
      <c r="N45" s="10"/>
      <c r="O45" s="10"/>
    </row>
    <row r="46" spans="1:15" x14ac:dyDescent="0.25">
      <c r="A46">
        <v>2024</v>
      </c>
      <c r="B46" t="s">
        <v>314</v>
      </c>
      <c r="C46" s="11">
        <v>0.37337145704237501</v>
      </c>
      <c r="D46">
        <v>2673672</v>
      </c>
      <c r="E46" s="12">
        <f t="shared" si="0"/>
        <v>998272.81029340089</v>
      </c>
      <c r="F46">
        <v>935.8</v>
      </c>
      <c r="G46">
        <v>932.9</v>
      </c>
      <c r="H46" s="13">
        <f>49.8/100*D46</f>
        <v>1331488.656</v>
      </c>
      <c r="I46" s="10">
        <f>H46/D46</f>
        <v>0.498</v>
      </c>
      <c r="J46" s="12">
        <f>G46-F46</f>
        <v>-2.8999999999999773</v>
      </c>
      <c r="K46" s="10">
        <f t="shared" si="4"/>
        <v>2.8782531980591219E-2</v>
      </c>
      <c r="L46" s="10">
        <f t="shared" si="2"/>
        <v>0.34892088483553707</v>
      </c>
      <c r="M46" s="10">
        <f t="shared" si="3"/>
        <v>0.35000553545835089</v>
      </c>
      <c r="N46" s="10"/>
      <c r="O46" s="10">
        <f>(G46/G26)^(1/20)-1</f>
        <v>5.7612699459864247E-2</v>
      </c>
    </row>
    <row r="47" spans="1:15" x14ac:dyDescent="0.25">
      <c r="A47">
        <v>2025</v>
      </c>
      <c r="B47" t="s">
        <v>315</v>
      </c>
      <c r="C47" s="11">
        <v>0.36987750244790102</v>
      </c>
      <c r="D47">
        <v>2787609</v>
      </c>
      <c r="E47" s="12">
        <f t="shared" si="0"/>
        <v>1031073.8547212909</v>
      </c>
      <c r="F47">
        <v>957.1</v>
      </c>
      <c r="G47">
        <v>934.5</v>
      </c>
      <c r="H47" s="12">
        <f>H46+F47*1000-G47*1000</f>
        <v>1354088.656</v>
      </c>
      <c r="I47" s="10">
        <f>H47/D47</f>
        <v>0.48575272070078696</v>
      </c>
      <c r="J47" s="12">
        <f t="shared" ref="J47:J93" si="5">G47-F47</f>
        <v>-22.600000000000023</v>
      </c>
      <c r="K47" s="10">
        <f t="shared" si="4"/>
        <v>1.7150820023583702E-3</v>
      </c>
      <c r="L47" s="10">
        <f t="shared" si="2"/>
        <v>0.33523352808804963</v>
      </c>
      <c r="M47" s="10">
        <f t="shared" si="3"/>
        <v>0.34334083438531016</v>
      </c>
      <c r="N47" s="10"/>
    </row>
    <row r="48" spans="1:15" x14ac:dyDescent="0.25">
      <c r="A48">
        <v>2026</v>
      </c>
      <c r="B48" t="s">
        <v>315</v>
      </c>
      <c r="C48" s="11">
        <v>0.37220766774599501</v>
      </c>
      <c r="D48">
        <v>2879792</v>
      </c>
      <c r="E48" s="12">
        <f t="shared" si="0"/>
        <v>1071880.6639135745</v>
      </c>
      <c r="F48">
        <v>985.6</v>
      </c>
      <c r="G48">
        <v>975.7</v>
      </c>
      <c r="H48" s="12">
        <f>H47+F48*1000-G48*1000</f>
        <v>1363988.656</v>
      </c>
      <c r="I48" s="10">
        <f t="shared" ref="I48:I93" si="6">H48/D48</f>
        <v>0.47364137965519731</v>
      </c>
      <c r="J48" s="12">
        <f t="shared" si="5"/>
        <v>-9.8999999999999773</v>
      </c>
      <c r="K48" s="10">
        <f t="shared" si="4"/>
        <v>4.4087747458533944E-2</v>
      </c>
      <c r="L48" s="10">
        <f t="shared" si="2"/>
        <v>0.33880919177496155</v>
      </c>
      <c r="M48" s="10">
        <f t="shared" si="3"/>
        <v>0.34224694005678186</v>
      </c>
      <c r="N48" s="10"/>
    </row>
    <row r="49" spans="1:17" x14ac:dyDescent="0.25">
      <c r="A49">
        <v>2027</v>
      </c>
      <c r="B49" t="s">
        <v>315</v>
      </c>
      <c r="C49" s="11">
        <v>0.37428677801829902</v>
      </c>
      <c r="D49">
        <v>2992714</v>
      </c>
      <c r="E49" s="12">
        <f t="shared" si="0"/>
        <v>1120133.2805902557</v>
      </c>
      <c r="F49">
        <v>1021.2</v>
      </c>
      <c r="G49">
        <v>1018.7</v>
      </c>
      <c r="H49" s="12">
        <f t="shared" ref="H49:H93" si="7">H48+F49*1000-G49*1000</f>
        <v>1366488.656</v>
      </c>
      <c r="I49" s="10">
        <f t="shared" si="6"/>
        <v>0.45660516039955706</v>
      </c>
      <c r="J49" s="12">
        <f t="shared" si="5"/>
        <v>-2.5</v>
      </c>
      <c r="K49" s="10">
        <f t="shared" si="4"/>
        <v>4.4070923439581744E-2</v>
      </c>
      <c r="L49" s="10">
        <f t="shared" si="2"/>
        <v>0.34039336869477005</v>
      </c>
      <c r="M49" s="10">
        <f t="shared" si="3"/>
        <v>0.34122873084431055</v>
      </c>
      <c r="N49" s="10"/>
      <c r="O49" t="s">
        <v>327</v>
      </c>
      <c r="Q49" t="s">
        <v>328</v>
      </c>
    </row>
    <row r="50" spans="1:17" x14ac:dyDescent="0.25">
      <c r="A50">
        <v>2028</v>
      </c>
      <c r="B50" t="s">
        <v>315</v>
      </c>
      <c r="C50" s="11">
        <v>0.37589390528389099</v>
      </c>
      <c r="D50">
        <v>3148870</v>
      </c>
      <c r="E50" s="12">
        <f t="shared" si="0"/>
        <v>1183641.0415312857</v>
      </c>
      <c r="F50" s="14">
        <f>$F$49*E50/E$49</f>
        <v>1079.0985792108638</v>
      </c>
      <c r="G50" s="15">
        <f>G49*(1+$O$50)-15</f>
        <v>1051.5789</v>
      </c>
      <c r="H50" s="12">
        <f>H49+F50*1000-G50*1000</f>
        <v>1394008.335210864</v>
      </c>
      <c r="I50" s="10">
        <f t="shared" si="6"/>
        <v>0.4427011388881929</v>
      </c>
      <c r="J50" s="12">
        <f t="shared" si="5"/>
        <v>-27.519679210863842</v>
      </c>
      <c r="K50" s="10">
        <f>G50/G49-1</f>
        <v>3.227535093746936E-2</v>
      </c>
      <c r="L50" s="10">
        <f t="shared" si="2"/>
        <v>0.33395437093306485</v>
      </c>
      <c r="M50" s="10">
        <f t="shared" si="3"/>
        <v>0.34269391216876655</v>
      </c>
      <c r="N50" s="10"/>
      <c r="O50" s="10">
        <v>4.7E-2</v>
      </c>
      <c r="Q50" s="10">
        <v>4.7E-2</v>
      </c>
    </row>
    <row r="51" spans="1:17" x14ac:dyDescent="0.25">
      <c r="A51">
        <v>2029</v>
      </c>
      <c r="B51" t="s">
        <v>315</v>
      </c>
      <c r="C51" s="11">
        <v>0.37712298759094898</v>
      </c>
      <c r="D51">
        <v>3320000</v>
      </c>
      <c r="E51" s="12">
        <f t="shared" si="0"/>
        <v>1252048.3188019507</v>
      </c>
      <c r="F51" s="14">
        <f t="shared" ref="F51:F93" si="8">$F$49*E51/E$49</f>
        <v>1141.4639358691284</v>
      </c>
      <c r="G51" s="15">
        <f>G50*(1+$O$50)-15</f>
        <v>1086.0031082999999</v>
      </c>
      <c r="H51" s="12">
        <f t="shared" si="7"/>
        <v>1449469.1627799924</v>
      </c>
      <c r="I51" s="10">
        <f t="shared" si="6"/>
        <v>0.4365870972228893</v>
      </c>
      <c r="J51" s="12">
        <f t="shared" si="5"/>
        <v>-55.460827569128469</v>
      </c>
      <c r="K51" s="10">
        <f>G51/G50-1</f>
        <v>3.2735735093201157E-2</v>
      </c>
      <c r="L51" s="10">
        <f t="shared" si="2"/>
        <v>0.32710936996987949</v>
      </c>
      <c r="M51" s="10">
        <f t="shared" si="3"/>
        <v>0.3438144385147977</v>
      </c>
      <c r="N51" s="10"/>
    </row>
    <row r="52" spans="1:17" x14ac:dyDescent="0.25">
      <c r="A52">
        <v>2030</v>
      </c>
      <c r="B52" t="s">
        <v>315</v>
      </c>
      <c r="C52" s="11">
        <v>0.37803153985377203</v>
      </c>
      <c r="D52" s="15">
        <f>D51*(1+$Q$50)</f>
        <v>3476040</v>
      </c>
      <c r="E52" s="12">
        <f t="shared" si="0"/>
        <v>1314052.7537933057</v>
      </c>
      <c r="F52" s="14">
        <f t="shared" si="8"/>
        <v>1197.9919670511015</v>
      </c>
      <c r="G52" s="15">
        <f t="shared" ref="G52:G93" si="9">G51*(1+$O$50)</f>
        <v>1137.0452543900999</v>
      </c>
      <c r="H52" s="12">
        <f t="shared" si="7"/>
        <v>1510415.875440994</v>
      </c>
      <c r="I52" s="10">
        <f t="shared" si="6"/>
        <v>0.43452200649042994</v>
      </c>
      <c r="J52" s="12">
        <f t="shared" si="5"/>
        <v>-60.946712661001584</v>
      </c>
      <c r="K52" s="10">
        <f t="shared" si="4"/>
        <v>4.6999999999999931E-2</v>
      </c>
      <c r="L52" s="10">
        <f t="shared" si="2"/>
        <v>0.32710936996987944</v>
      </c>
      <c r="M52" s="10">
        <f t="shared" si="3"/>
        <v>0.34464274491982294</v>
      </c>
      <c r="N52" s="10"/>
    </row>
    <row r="53" spans="1:17" x14ac:dyDescent="0.25">
      <c r="A53">
        <v>2031</v>
      </c>
      <c r="B53" t="s">
        <v>315</v>
      </c>
      <c r="C53" s="11">
        <v>0.37895824511592702</v>
      </c>
      <c r="D53" s="15">
        <f t="shared" ref="D53:D93" si="10">D52*(1+$Q$50)</f>
        <v>3639413.88</v>
      </c>
      <c r="E53" s="12">
        <f t="shared" si="0"/>
        <v>1379185.897215347</v>
      </c>
      <c r="F53" s="14">
        <f t="shared" si="8"/>
        <v>1257.3723704505423</v>
      </c>
      <c r="G53" s="15">
        <f t="shared" si="9"/>
        <v>1190.4863813464344</v>
      </c>
      <c r="H53" s="12">
        <f t="shared" si="7"/>
        <v>1577301.8645451022</v>
      </c>
      <c r="I53" s="10">
        <f t="shared" si="6"/>
        <v>0.43339447409732423</v>
      </c>
      <c r="J53" s="12">
        <f t="shared" si="5"/>
        <v>-66.885989104107921</v>
      </c>
      <c r="K53" s="10">
        <f t="shared" si="4"/>
        <v>4.6999999999999931E-2</v>
      </c>
      <c r="L53" s="10">
        <f t="shared" si="2"/>
        <v>0.32710936996987944</v>
      </c>
      <c r="M53" s="10">
        <f t="shared" si="3"/>
        <v>0.34548760100089038</v>
      </c>
      <c r="N53" s="10"/>
    </row>
    <row r="54" spans="1:17" x14ac:dyDescent="0.25">
      <c r="A54">
        <v>2032</v>
      </c>
      <c r="B54" t="s">
        <v>315</v>
      </c>
      <c r="C54" s="11">
        <v>0.37979575514257002</v>
      </c>
      <c r="D54" s="15">
        <f t="shared" si="10"/>
        <v>3810466.3323599994</v>
      </c>
      <c r="E54" s="12">
        <f t="shared" si="0"/>
        <v>1447198.9381440051</v>
      </c>
      <c r="F54" s="14">
        <f t="shared" si="8"/>
        <v>1319.3783108148411</v>
      </c>
      <c r="G54" s="15">
        <f t="shared" si="9"/>
        <v>1246.4392412697168</v>
      </c>
      <c r="H54" s="12">
        <f t="shared" si="7"/>
        <v>1650240.9340902267</v>
      </c>
      <c r="I54" s="10">
        <f t="shared" si="6"/>
        <v>0.43308109563276354</v>
      </c>
      <c r="J54" s="12">
        <f t="shared" si="5"/>
        <v>-72.939069545124312</v>
      </c>
      <c r="K54" s="10">
        <f t="shared" si="4"/>
        <v>4.6999999999999931E-2</v>
      </c>
      <c r="L54" s="10">
        <f t="shared" si="2"/>
        <v>0.32710936996987949</v>
      </c>
      <c r="M54" s="10">
        <f t="shared" si="3"/>
        <v>0.34625113981723299</v>
      </c>
      <c r="N54" s="10"/>
    </row>
    <row r="55" spans="1:17" x14ac:dyDescent="0.25">
      <c r="A55">
        <v>2033</v>
      </c>
      <c r="B55" t="s">
        <v>315</v>
      </c>
      <c r="C55" s="11">
        <v>0.38063194594532901</v>
      </c>
      <c r="D55" s="15">
        <f t="shared" si="10"/>
        <v>3989558.2499809191</v>
      </c>
      <c r="E55" s="12">
        <f t="shared" si="0"/>
        <v>1518553.3201524785</v>
      </c>
      <c r="F55" s="14">
        <f t="shared" si="8"/>
        <v>1384.4304757399434</v>
      </c>
      <c r="G55" s="15">
        <f t="shared" si="9"/>
        <v>1305.0218856093934</v>
      </c>
      <c r="H55" s="12">
        <f t="shared" si="7"/>
        <v>1729649.5242207763</v>
      </c>
      <c r="I55" s="10">
        <f t="shared" si="6"/>
        <v>0.43354412088833361</v>
      </c>
      <c r="J55" s="12">
        <f t="shared" si="5"/>
        <v>-79.40859013055001</v>
      </c>
      <c r="K55" s="10">
        <f t="shared" si="4"/>
        <v>4.6999999999999931E-2</v>
      </c>
      <c r="L55" s="10">
        <f t="shared" si="2"/>
        <v>0.32710936996987949</v>
      </c>
      <c r="M55" s="10">
        <f t="shared" si="3"/>
        <v>0.34701347592720688</v>
      </c>
      <c r="N55" s="10"/>
    </row>
    <row r="56" spans="1:17" x14ac:dyDescent="0.25">
      <c r="A56">
        <v>2034</v>
      </c>
      <c r="B56" t="s">
        <v>315</v>
      </c>
      <c r="C56" s="11">
        <v>0.38154109070985198</v>
      </c>
      <c r="D56" s="15">
        <f t="shared" si="10"/>
        <v>4177067.4877300221</v>
      </c>
      <c r="E56" s="12">
        <f t="shared" si="0"/>
        <v>1593722.8852371739</v>
      </c>
      <c r="F56" s="14">
        <f t="shared" si="8"/>
        <v>1452.9608561818495</v>
      </c>
      <c r="G56" s="15">
        <f t="shared" si="9"/>
        <v>1366.3579142330348</v>
      </c>
      <c r="H56" s="12">
        <f t="shared" si="7"/>
        <v>1816252.4661695908</v>
      </c>
      <c r="I56" s="10">
        <f t="shared" si="6"/>
        <v>0.43481520744033075</v>
      </c>
      <c r="J56" s="12">
        <f t="shared" si="5"/>
        <v>-86.60294194881476</v>
      </c>
      <c r="K56" s="10">
        <f t="shared" si="4"/>
        <v>4.6999999999999931E-2</v>
      </c>
      <c r="L56" s="10">
        <f t="shared" si="2"/>
        <v>0.32710936996987944</v>
      </c>
      <c r="M56" s="10">
        <f t="shared" si="3"/>
        <v>0.34784232250253727</v>
      </c>
      <c r="N56" s="10"/>
    </row>
    <row r="57" spans="1:17" x14ac:dyDescent="0.25">
      <c r="A57">
        <v>2035</v>
      </c>
      <c r="B57" t="s">
        <v>315</v>
      </c>
      <c r="C57" s="11">
        <v>0.38230505070168502</v>
      </c>
      <c r="D57" s="15">
        <f t="shared" si="10"/>
        <v>4373389.659653333</v>
      </c>
      <c r="E57" s="12">
        <f t="shared" si="0"/>
        <v>1671968.9555719926</v>
      </c>
      <c r="F57" s="14">
        <f t="shared" si="8"/>
        <v>1524.2960163904731</v>
      </c>
      <c r="G57" s="15">
        <f t="shared" si="9"/>
        <v>1430.5767362019874</v>
      </c>
      <c r="H57" s="12">
        <f t="shared" si="7"/>
        <v>1909971.7463580763</v>
      </c>
      <c r="I57" s="10">
        <f t="shared" si="6"/>
        <v>0.43672571963539025</v>
      </c>
      <c r="J57" s="12">
        <f t="shared" si="5"/>
        <v>-93.719280188485754</v>
      </c>
      <c r="K57" s="10">
        <f t="shared" si="4"/>
        <v>4.6999999999999931E-2</v>
      </c>
      <c r="L57" s="10">
        <f t="shared" si="2"/>
        <v>0.32710936996987949</v>
      </c>
      <c r="M57" s="10">
        <f t="shared" si="3"/>
        <v>0.34853880742730342</v>
      </c>
      <c r="N57" s="10"/>
    </row>
    <row r="58" spans="1:17" x14ac:dyDescent="0.25">
      <c r="A58">
        <v>2036</v>
      </c>
      <c r="B58" t="s">
        <v>315</v>
      </c>
      <c r="C58" s="11">
        <v>0.38349201074407901</v>
      </c>
      <c r="D58" s="15">
        <f t="shared" si="10"/>
        <v>4578938.973657039</v>
      </c>
      <c r="E58" s="12">
        <f t="shared" si="0"/>
        <v>1755986.5140821673</v>
      </c>
      <c r="F58" s="14">
        <f t="shared" si="8"/>
        <v>1600.8929109183982</v>
      </c>
      <c r="G58" s="15">
        <f t="shared" si="9"/>
        <v>1497.8138428034806</v>
      </c>
      <c r="H58" s="12">
        <f t="shared" si="7"/>
        <v>2013050.8144729943</v>
      </c>
      <c r="I58" s="10">
        <f t="shared" si="6"/>
        <v>0.43963259306451091</v>
      </c>
      <c r="J58" s="12">
        <f t="shared" si="5"/>
        <v>-103.07906811491762</v>
      </c>
      <c r="K58" s="10">
        <f t="shared" si="4"/>
        <v>4.6999999999999931E-2</v>
      </c>
      <c r="L58" s="10">
        <f t="shared" si="2"/>
        <v>0.32710936996987949</v>
      </c>
      <c r="M58" s="10">
        <f t="shared" si="3"/>
        <v>0.349620931864008</v>
      </c>
      <c r="N58" s="10"/>
    </row>
    <row r="59" spans="1:17" x14ac:dyDescent="0.25">
      <c r="A59">
        <v>2037</v>
      </c>
      <c r="B59" t="s">
        <v>315</v>
      </c>
      <c r="C59" s="11">
        <v>0.385130533978157</v>
      </c>
      <c r="D59" s="15">
        <f t="shared" si="10"/>
        <v>4794149.1054189196</v>
      </c>
      <c r="E59" s="12">
        <f t="shared" si="0"/>
        <v>1846373.2049408923</v>
      </c>
      <c r="F59" s="14">
        <f t="shared" si="8"/>
        <v>1683.2963983465108</v>
      </c>
      <c r="G59" s="15">
        <f t="shared" si="9"/>
        <v>1568.211093415244</v>
      </c>
      <c r="H59" s="12">
        <f t="shared" si="7"/>
        <v>2128136.1194042615</v>
      </c>
      <c r="I59" s="10">
        <f t="shared" si="6"/>
        <v>0.44390278078727002</v>
      </c>
      <c r="J59" s="12">
        <f t="shared" si="5"/>
        <v>-115.08530493126682</v>
      </c>
      <c r="K59" s="10">
        <f t="shared" si="4"/>
        <v>4.6999999999999931E-2</v>
      </c>
      <c r="L59" s="10">
        <f t="shared" si="2"/>
        <v>0.32710936996987944</v>
      </c>
      <c r="M59" s="10">
        <f t="shared" si="3"/>
        <v>0.35111473617786487</v>
      </c>
      <c r="N59" s="10"/>
    </row>
    <row r="60" spans="1:17" x14ac:dyDescent="0.25">
      <c r="A60">
        <v>2038</v>
      </c>
      <c r="B60" t="s">
        <v>315</v>
      </c>
      <c r="C60" s="11">
        <v>0.38687794265641201</v>
      </c>
      <c r="D60" s="15">
        <f t="shared" si="10"/>
        <v>5019474.1133736083</v>
      </c>
      <c r="E60" s="12">
        <f t="shared" si="0"/>
        <v>1941923.8181990993</v>
      </c>
      <c r="F60" s="14">
        <f t="shared" si="8"/>
        <v>1770.4077162138483</v>
      </c>
      <c r="G60" s="15">
        <f t="shared" si="9"/>
        <v>1641.9170148057603</v>
      </c>
      <c r="H60" s="12">
        <f t="shared" si="7"/>
        <v>2256626.8208123492</v>
      </c>
      <c r="I60" s="10">
        <f t="shared" si="6"/>
        <v>0.44957435178317146</v>
      </c>
      <c r="J60" s="12">
        <f t="shared" si="5"/>
        <v>-128.49070140808794</v>
      </c>
      <c r="K60" s="10">
        <f t="shared" si="4"/>
        <v>4.6999999999999931E-2</v>
      </c>
      <c r="L60" s="10">
        <f t="shared" si="2"/>
        <v>0.32710936996987944</v>
      </c>
      <c r="M60" s="10">
        <f t="shared" si="3"/>
        <v>0.3527078088712266</v>
      </c>
      <c r="N60" s="10"/>
    </row>
    <row r="61" spans="1:17" x14ac:dyDescent="0.25">
      <c r="A61">
        <v>2039</v>
      </c>
      <c r="B61" t="s">
        <v>315</v>
      </c>
      <c r="C61" s="11">
        <v>0.38833190191146999</v>
      </c>
      <c r="D61" s="15">
        <f t="shared" si="10"/>
        <v>5255389.3967021676</v>
      </c>
      <c r="E61" s="12">
        <f t="shared" si="0"/>
        <v>2040835.3597067257</v>
      </c>
      <c r="F61" s="14">
        <f t="shared" si="8"/>
        <v>1860.5831158184037</v>
      </c>
      <c r="G61" s="15">
        <f t="shared" si="9"/>
        <v>1719.087114501631</v>
      </c>
      <c r="H61" s="12">
        <f t="shared" si="7"/>
        <v>2398122.822129122</v>
      </c>
      <c r="I61" s="10">
        <f t="shared" si="6"/>
        <v>0.4563168665739552</v>
      </c>
      <c r="J61" s="12">
        <f t="shared" si="5"/>
        <v>-141.49600131677266</v>
      </c>
      <c r="K61" s="10">
        <f t="shared" si="4"/>
        <v>4.6999999999999931E-2</v>
      </c>
      <c r="L61" s="10">
        <f t="shared" si="2"/>
        <v>0.32710936996987949</v>
      </c>
      <c r="M61" s="10">
        <f t="shared" si="3"/>
        <v>0.35403335040900041</v>
      </c>
      <c r="N61" s="10"/>
    </row>
    <row r="62" spans="1:17" x14ac:dyDescent="0.25">
      <c r="A62">
        <v>2040</v>
      </c>
      <c r="B62" t="s">
        <v>315</v>
      </c>
      <c r="C62" s="11">
        <v>0.38967648259673199</v>
      </c>
      <c r="D62" s="15">
        <f t="shared" si="10"/>
        <v>5502392.698347169</v>
      </c>
      <c r="E62" s="12">
        <f t="shared" si="0"/>
        <v>2144153.0325578656</v>
      </c>
      <c r="F62" s="14">
        <f t="shared" si="8"/>
        <v>1954.775485015743</v>
      </c>
      <c r="G62" s="15">
        <f t="shared" si="9"/>
        <v>1799.8842088832075</v>
      </c>
      <c r="H62" s="12">
        <f t="shared" si="7"/>
        <v>2553014.0982616581</v>
      </c>
      <c r="I62" s="10">
        <f t="shared" si="6"/>
        <v>0.46398253236788112</v>
      </c>
      <c r="J62" s="12">
        <f t="shared" si="5"/>
        <v>-154.89127613253549</v>
      </c>
      <c r="K62" s="10">
        <f t="shared" si="4"/>
        <v>4.6999999999999931E-2</v>
      </c>
      <c r="L62" s="10">
        <f t="shared" si="2"/>
        <v>0.32710936996987949</v>
      </c>
      <c r="M62" s="10">
        <f t="shared" si="3"/>
        <v>0.35525917399587387</v>
      </c>
      <c r="N62" s="10"/>
    </row>
    <row r="63" spans="1:17" x14ac:dyDescent="0.25">
      <c r="A63">
        <v>2041</v>
      </c>
      <c r="B63" t="s">
        <v>315</v>
      </c>
      <c r="C63" s="11">
        <v>0.390853722961716</v>
      </c>
      <c r="D63" s="15">
        <f t="shared" si="10"/>
        <v>5761005.1551694851</v>
      </c>
      <c r="E63" s="12">
        <f t="shared" si="0"/>
        <v>2251710.3128996314</v>
      </c>
      <c r="F63" s="14">
        <f t="shared" si="8"/>
        <v>2052.8330078018998</v>
      </c>
      <c r="G63" s="15">
        <f t="shared" si="9"/>
        <v>1884.4787667007181</v>
      </c>
      <c r="H63" s="12">
        <f t="shared" si="7"/>
        <v>2721368.3393628397</v>
      </c>
      <c r="I63" s="10">
        <f t="shared" si="6"/>
        <v>0.47237734840783679</v>
      </c>
      <c r="J63" s="12">
        <f t="shared" si="5"/>
        <v>-168.35424110118174</v>
      </c>
      <c r="K63" s="10">
        <f t="shared" si="4"/>
        <v>4.6999999999999931E-2</v>
      </c>
      <c r="L63" s="10">
        <f t="shared" si="2"/>
        <v>0.32710936996987949</v>
      </c>
      <c r="M63" s="10">
        <f t="shared" si="3"/>
        <v>0.35633243722405711</v>
      </c>
      <c r="N63" s="10"/>
    </row>
    <row r="64" spans="1:17" x14ac:dyDescent="0.25">
      <c r="A64">
        <v>2042</v>
      </c>
      <c r="B64" t="s">
        <v>315</v>
      </c>
      <c r="C64" s="11">
        <v>0.39174276167073302</v>
      </c>
      <c r="D64" s="15">
        <f t="shared" si="10"/>
        <v>6031772.3974624509</v>
      </c>
      <c r="E64" s="12">
        <f t="shared" si="0"/>
        <v>2362903.1767512388</v>
      </c>
      <c r="F64" s="14">
        <f t="shared" si="8"/>
        <v>2154.2050092707123</v>
      </c>
      <c r="G64" s="15">
        <f t="shared" si="9"/>
        <v>1973.0492687356518</v>
      </c>
      <c r="H64" s="12">
        <f t="shared" si="7"/>
        <v>2902524.0798979001</v>
      </c>
      <c r="I64" s="10">
        <f t="shared" si="6"/>
        <v>0.48120583613516044</v>
      </c>
      <c r="J64" s="12">
        <f t="shared" si="5"/>
        <v>-181.15574053506043</v>
      </c>
      <c r="K64" s="10">
        <f t="shared" si="4"/>
        <v>4.6999999999999931E-2</v>
      </c>
      <c r="L64" s="10">
        <f t="shared" si="2"/>
        <v>0.32710936996987949</v>
      </c>
      <c r="M64" s="10">
        <f t="shared" si="3"/>
        <v>0.35714295356651388</v>
      </c>
      <c r="N64" s="10"/>
    </row>
    <row r="65" spans="1:14" x14ac:dyDescent="0.25">
      <c r="A65">
        <v>2043</v>
      </c>
      <c r="B65" t="s">
        <v>315</v>
      </c>
      <c r="C65" s="11">
        <v>0.39257714139146599</v>
      </c>
      <c r="D65" s="15">
        <f t="shared" si="10"/>
        <v>6315265.7001431854</v>
      </c>
      <c r="E65" s="12">
        <f t="shared" si="0"/>
        <v>2479228.9556897869</v>
      </c>
      <c r="F65" s="14">
        <f t="shared" si="8"/>
        <v>2260.2565725181216</v>
      </c>
      <c r="G65" s="15">
        <f t="shared" si="9"/>
        <v>2065.7825843662272</v>
      </c>
      <c r="H65" s="12">
        <f t="shared" si="7"/>
        <v>3096998.0680497941</v>
      </c>
      <c r="I65" s="10">
        <f t="shared" si="6"/>
        <v>0.49039869660267438</v>
      </c>
      <c r="J65" s="12">
        <f t="shared" si="5"/>
        <v>-194.47398815189445</v>
      </c>
      <c r="K65" s="10">
        <f t="shared" si="4"/>
        <v>4.6999999999999931E-2</v>
      </c>
      <c r="L65" s="10">
        <f t="shared" si="2"/>
        <v>0.32710936996987949</v>
      </c>
      <c r="M65" s="10">
        <f t="shared" si="3"/>
        <v>0.3579036385542535</v>
      </c>
      <c r="N65" s="10"/>
    </row>
    <row r="66" spans="1:14" x14ac:dyDescent="0.25">
      <c r="A66">
        <v>2044</v>
      </c>
      <c r="B66" t="s">
        <v>315</v>
      </c>
      <c r="C66" s="11">
        <v>0.39347974049366502</v>
      </c>
      <c r="D66" s="15">
        <f t="shared" si="10"/>
        <v>6612083.1880499143</v>
      </c>
      <c r="E66" s="12">
        <f t="shared" si="0"/>
        <v>2601720.7769564055</v>
      </c>
      <c r="F66" s="14">
        <f t="shared" si="8"/>
        <v>2371.9295761195813</v>
      </c>
      <c r="G66" s="15">
        <f t="shared" si="9"/>
        <v>2162.8743658314397</v>
      </c>
      <c r="H66" s="12">
        <f t="shared" si="7"/>
        <v>3306053.2783379355</v>
      </c>
      <c r="I66" s="10">
        <f t="shared" si="6"/>
        <v>0.50000176711524125</v>
      </c>
      <c r="J66" s="12">
        <f t="shared" si="5"/>
        <v>-209.05521028814155</v>
      </c>
      <c r="K66" s="10">
        <f t="shared" si="4"/>
        <v>4.6999999999999931E-2</v>
      </c>
      <c r="L66" s="10">
        <f t="shared" si="2"/>
        <v>0.32710936996987949</v>
      </c>
      <c r="M66" s="10">
        <f t="shared" si="3"/>
        <v>0.35872651759832574</v>
      </c>
      <c r="N66" s="10"/>
    </row>
    <row r="67" spans="1:14" x14ac:dyDescent="0.25">
      <c r="A67">
        <v>2045</v>
      </c>
      <c r="B67" t="s">
        <v>315</v>
      </c>
      <c r="C67" s="11">
        <v>0.39446606948851498</v>
      </c>
      <c r="D67" s="15">
        <f t="shared" si="10"/>
        <v>6922851.0978882601</v>
      </c>
      <c r="E67" s="12">
        <f t="shared" ref="E67:E93" si="11">D67*C67</f>
        <v>2730829.8622382325</v>
      </c>
      <c r="F67" s="14">
        <f t="shared" si="8"/>
        <v>2489.6353886103284</v>
      </c>
      <c r="G67" s="15">
        <f t="shared" si="9"/>
        <v>2264.5294610255173</v>
      </c>
      <c r="H67" s="12">
        <f t="shared" si="7"/>
        <v>3531159.205922747</v>
      </c>
      <c r="I67" s="10">
        <f t="shared" si="6"/>
        <v>0.51007296791344947</v>
      </c>
      <c r="J67" s="12">
        <f t="shared" si="5"/>
        <v>-225.10592758481107</v>
      </c>
      <c r="K67" s="10">
        <f t="shared" si="4"/>
        <v>4.6999999999999931E-2</v>
      </c>
      <c r="L67" s="10">
        <f t="shared" si="2"/>
        <v>0.32710936996987949</v>
      </c>
      <c r="M67" s="10">
        <f t="shared" si="3"/>
        <v>0.35962573127851394</v>
      </c>
      <c r="N67" s="10"/>
    </row>
    <row r="68" spans="1:14" x14ac:dyDescent="0.25">
      <c r="A68">
        <v>2046</v>
      </c>
      <c r="B68" t="s">
        <v>315</v>
      </c>
      <c r="C68" s="11">
        <v>0.395453848939052</v>
      </c>
      <c r="D68" s="15">
        <f t="shared" si="10"/>
        <v>7248225.0994890081</v>
      </c>
      <c r="E68" s="12">
        <f t="shared" si="11"/>
        <v>2866338.5135695715</v>
      </c>
      <c r="F68" s="14">
        <f t="shared" si="8"/>
        <v>2613.1755397132783</v>
      </c>
      <c r="G68" s="15">
        <f t="shared" si="9"/>
        <v>2370.9623456937165</v>
      </c>
      <c r="H68" s="12">
        <f t="shared" si="7"/>
        <v>3773372.3999423091</v>
      </c>
      <c r="I68" s="10">
        <f t="shared" si="6"/>
        <v>0.52059260690018139</v>
      </c>
      <c r="J68" s="12">
        <f t="shared" si="5"/>
        <v>-242.2131940195618</v>
      </c>
      <c r="K68" s="10">
        <f t="shared" si="4"/>
        <v>4.6999999999999931E-2</v>
      </c>
      <c r="L68" s="10">
        <f t="shared" si="2"/>
        <v>0.32710936996987944</v>
      </c>
      <c r="M68" s="10">
        <f t="shared" si="3"/>
        <v>0.3605262673061167</v>
      </c>
      <c r="N68" s="10"/>
    </row>
    <row r="69" spans="1:14" x14ac:dyDescent="0.25">
      <c r="A69">
        <v>2047</v>
      </c>
      <c r="B69" t="s">
        <v>315</v>
      </c>
      <c r="C69" s="11">
        <v>0.39619469812445202</v>
      </c>
      <c r="D69" s="15">
        <f t="shared" si="10"/>
        <v>7588891.6791649908</v>
      </c>
      <c r="E69" s="12">
        <f t="shared" si="11"/>
        <v>3006678.6479259394</v>
      </c>
      <c r="F69" s="14">
        <f t="shared" si="8"/>
        <v>2741.1204438493314</v>
      </c>
      <c r="G69" s="15">
        <f t="shared" si="9"/>
        <v>2482.3975759413211</v>
      </c>
      <c r="H69" s="12">
        <f t="shared" si="7"/>
        <v>4032095.2678503194</v>
      </c>
      <c r="I69" s="10">
        <f t="shared" si="6"/>
        <v>0.5313154329136468</v>
      </c>
      <c r="J69" s="12">
        <f t="shared" si="5"/>
        <v>-258.72286790801036</v>
      </c>
      <c r="K69" s="10">
        <f t="shared" si="4"/>
        <v>4.6999999999999931E-2</v>
      </c>
      <c r="L69" s="10">
        <f t="shared" si="2"/>
        <v>0.32710936996987949</v>
      </c>
      <c r="M69" s="10">
        <f t="shared" si="3"/>
        <v>0.3612016826350245</v>
      </c>
      <c r="N69" s="10"/>
    </row>
    <row r="70" spans="1:14" x14ac:dyDescent="0.25">
      <c r="A70">
        <v>2048</v>
      </c>
      <c r="B70" t="s">
        <v>315</v>
      </c>
      <c r="C70" s="11">
        <v>0.39686736468058398</v>
      </c>
      <c r="D70" s="15">
        <f t="shared" si="10"/>
        <v>7945569.5880857445</v>
      </c>
      <c r="E70" s="12">
        <f t="shared" si="11"/>
        <v>3153337.2633097824</v>
      </c>
      <c r="F70" s="14">
        <f t="shared" si="8"/>
        <v>2874.8257632297714</v>
      </c>
      <c r="G70" s="15">
        <f t="shared" si="9"/>
        <v>2599.0702620105631</v>
      </c>
      <c r="H70" s="12">
        <f t="shared" si="7"/>
        <v>4307850.7690695282</v>
      </c>
      <c r="I70" s="10">
        <f t="shared" si="6"/>
        <v>0.54217016430503384</v>
      </c>
      <c r="J70" s="12">
        <f t="shared" si="5"/>
        <v>-275.75550121920833</v>
      </c>
      <c r="K70" s="10">
        <f t="shared" si="4"/>
        <v>4.6999999999999931E-2</v>
      </c>
      <c r="L70" s="10">
        <f t="shared" si="2"/>
        <v>0.32710936996987955</v>
      </c>
      <c r="M70" s="10">
        <f t="shared" si="3"/>
        <v>0.36181493741374149</v>
      </c>
      <c r="N70" s="10"/>
    </row>
    <row r="71" spans="1:14" x14ac:dyDescent="0.25">
      <c r="A71">
        <v>2049</v>
      </c>
      <c r="B71" t="s">
        <v>315</v>
      </c>
      <c r="C71" s="11">
        <v>0.39756647786886201</v>
      </c>
      <c r="D71" s="15">
        <f t="shared" si="10"/>
        <v>8319011.3587257741</v>
      </c>
      <c r="E71" s="12">
        <f t="shared" si="11"/>
        <v>3307360.0452396623</v>
      </c>
      <c r="F71" s="14">
        <f t="shared" si="8"/>
        <v>3015.244825525564</v>
      </c>
      <c r="G71" s="15">
        <f t="shared" si="9"/>
        <v>2721.2265643250594</v>
      </c>
      <c r="H71" s="12">
        <f t="shared" si="7"/>
        <v>4601869.0302700326</v>
      </c>
      <c r="I71" s="10">
        <f t="shared" si="6"/>
        <v>0.55317499061269493</v>
      </c>
      <c r="J71" s="12">
        <f t="shared" si="5"/>
        <v>-294.01826120050464</v>
      </c>
      <c r="K71" s="10">
        <f t="shared" si="4"/>
        <v>4.6999999999999931E-2</v>
      </c>
      <c r="L71" s="10">
        <f t="shared" si="2"/>
        <v>0.32710936996987949</v>
      </c>
      <c r="M71" s="10">
        <f t="shared" si="3"/>
        <v>0.36245230298464337</v>
      </c>
      <c r="N71" s="10"/>
    </row>
    <row r="72" spans="1:14" x14ac:dyDescent="0.25">
      <c r="A72">
        <v>2050</v>
      </c>
      <c r="B72" t="s">
        <v>315</v>
      </c>
      <c r="C72" s="11">
        <v>0.39831469830937499</v>
      </c>
      <c r="D72" s="15">
        <f t="shared" si="10"/>
        <v>8710004.8925858848</v>
      </c>
      <c r="E72" s="12">
        <f t="shared" si="11"/>
        <v>3469322.9710635268</v>
      </c>
      <c r="F72" s="14">
        <f t="shared" si="8"/>
        <v>3162.9027361664962</v>
      </c>
      <c r="G72" s="15">
        <f t="shared" si="9"/>
        <v>2849.1242128483368</v>
      </c>
      <c r="H72" s="12">
        <f t="shared" si="7"/>
        <v>4915647.553588191</v>
      </c>
      <c r="I72" s="10">
        <f t="shared" si="6"/>
        <v>0.56436794401487422</v>
      </c>
      <c r="J72" s="12">
        <f t="shared" si="5"/>
        <v>-313.77852331815939</v>
      </c>
      <c r="K72" s="10">
        <f t="shared" si="4"/>
        <v>4.6999999999999931E-2</v>
      </c>
      <c r="L72" s="10">
        <f t="shared" si="2"/>
        <v>0.32710936996987949</v>
      </c>
      <c r="M72" s="10">
        <f t="shared" si="3"/>
        <v>0.36313443851895155</v>
      </c>
      <c r="N72" s="10"/>
    </row>
    <row r="73" spans="1:14" x14ac:dyDescent="0.25">
      <c r="A73">
        <v>2051</v>
      </c>
      <c r="B73" t="s">
        <v>315</v>
      </c>
      <c r="C73" s="11">
        <v>0.39876314149323899</v>
      </c>
      <c r="D73" s="15">
        <f t="shared" si="10"/>
        <v>9119375.1225374211</v>
      </c>
      <c r="E73" s="12">
        <f t="shared" si="11"/>
        <v>3636470.6723183133</v>
      </c>
      <c r="F73" s="14">
        <f t="shared" si="8"/>
        <v>3315.2874884804728</v>
      </c>
      <c r="G73" s="15">
        <f t="shared" si="9"/>
        <v>2983.0330508522084</v>
      </c>
      <c r="H73" s="12">
        <f t="shared" si="7"/>
        <v>5247901.9912164556</v>
      </c>
      <c r="I73" s="10">
        <f t="shared" si="6"/>
        <v>0.57546727935852837</v>
      </c>
      <c r="J73" s="12">
        <f t="shared" si="5"/>
        <v>-332.25443762826444</v>
      </c>
      <c r="K73" s="10">
        <f t="shared" si="4"/>
        <v>4.6999999999999931E-2</v>
      </c>
      <c r="L73" s="10">
        <f t="shared" si="2"/>
        <v>0.32710936996987949</v>
      </c>
      <c r="M73" s="10">
        <f t="shared" si="3"/>
        <v>0.36354327395603508</v>
      </c>
      <c r="N73" s="10"/>
    </row>
    <row r="74" spans="1:14" x14ac:dyDescent="0.25">
      <c r="A74">
        <v>2052</v>
      </c>
      <c r="B74" t="s">
        <v>315</v>
      </c>
      <c r="C74" s="11">
        <v>0.39912485273926002</v>
      </c>
      <c r="D74" s="15">
        <f t="shared" si="10"/>
        <v>9547985.7532966789</v>
      </c>
      <c r="E74" s="12">
        <f t="shared" si="11"/>
        <v>3810838.4077410894</v>
      </c>
      <c r="F74" s="14">
        <f t="shared" si="8"/>
        <v>3474.2545815034632</v>
      </c>
      <c r="G74" s="15">
        <f t="shared" si="9"/>
        <v>3123.2356042422621</v>
      </c>
      <c r="H74" s="12">
        <f t="shared" si="7"/>
        <v>5598920.9684776571</v>
      </c>
      <c r="I74" s="10">
        <f t="shared" si="6"/>
        <v>0.5863981276411615</v>
      </c>
      <c r="J74" s="12">
        <f t="shared" si="5"/>
        <v>-351.01897726120114</v>
      </c>
      <c r="K74" s="10">
        <f t="shared" si="4"/>
        <v>4.6999999999999931E-2</v>
      </c>
      <c r="L74" s="10">
        <f t="shared" si="2"/>
        <v>0.32710936996987949</v>
      </c>
      <c r="M74" s="10">
        <f t="shared" si="3"/>
        <v>0.36387303786077507</v>
      </c>
      <c r="N74" s="10"/>
    </row>
    <row r="75" spans="1:14" x14ac:dyDescent="0.25">
      <c r="A75">
        <v>2053</v>
      </c>
      <c r="B75" t="s">
        <v>315</v>
      </c>
      <c r="C75" s="11">
        <v>0.399388430860109</v>
      </c>
      <c r="D75" s="15">
        <f t="shared" si="10"/>
        <v>9996741.0837016217</v>
      </c>
      <c r="E75" s="12">
        <f t="shared" si="11"/>
        <v>3992582.7351343762</v>
      </c>
      <c r="F75" s="14">
        <f t="shared" si="8"/>
        <v>3639.9467454183</v>
      </c>
      <c r="G75" s="15">
        <f t="shared" si="9"/>
        <v>3270.0276776416481</v>
      </c>
      <c r="H75" s="12">
        <f t="shared" si="7"/>
        <v>5968840.03625431</v>
      </c>
      <c r="I75" s="10">
        <f t="shared" si="6"/>
        <v>0.59707858653913948</v>
      </c>
      <c r="J75" s="12">
        <f t="shared" si="5"/>
        <v>-369.9190677766519</v>
      </c>
      <c r="K75" s="10">
        <f t="shared" si="4"/>
        <v>4.6999999999999931E-2</v>
      </c>
      <c r="L75" s="10">
        <f t="shared" si="2"/>
        <v>0.32710936996987949</v>
      </c>
      <c r="M75" s="10">
        <f t="shared" si="3"/>
        <v>0.36411333603035462</v>
      </c>
      <c r="N75" s="10"/>
    </row>
    <row r="76" spans="1:14" x14ac:dyDescent="0.25">
      <c r="A76">
        <v>2054</v>
      </c>
      <c r="B76" t="s">
        <v>315</v>
      </c>
      <c r="C76" s="11">
        <v>0.39972709737531797</v>
      </c>
      <c r="D76" s="15">
        <f t="shared" si="10"/>
        <v>10466587.914635597</v>
      </c>
      <c r="E76" s="12">
        <f t="shared" si="11"/>
        <v>4183778.8065408696</v>
      </c>
      <c r="F76" s="14">
        <f t="shared" si="8"/>
        <v>3814.2558490790934</v>
      </c>
      <c r="G76" s="15">
        <f t="shared" si="9"/>
        <v>3423.7189784908055</v>
      </c>
      <c r="H76" s="12">
        <f t="shared" si="7"/>
        <v>6359376.9068425987</v>
      </c>
      <c r="I76" s="10">
        <f t="shared" si="6"/>
        <v>0.60758835245153586</v>
      </c>
      <c r="J76" s="12">
        <f t="shared" si="5"/>
        <v>-390.53687058828791</v>
      </c>
      <c r="K76" s="10">
        <f t="shared" si="4"/>
        <v>4.6999999999999931E-2</v>
      </c>
      <c r="L76" s="10">
        <f t="shared" si="2"/>
        <v>0.32710936996987955</v>
      </c>
      <c r="M76" s="10">
        <f t="shared" si="3"/>
        <v>0.36442209057887515</v>
      </c>
      <c r="N76" s="10"/>
    </row>
    <row r="77" spans="1:14" x14ac:dyDescent="0.25">
      <c r="A77">
        <v>2055</v>
      </c>
      <c r="B77" t="s">
        <v>315</v>
      </c>
      <c r="C77" s="11">
        <v>0.40040591302891998</v>
      </c>
      <c r="D77" s="15">
        <f t="shared" si="10"/>
        <v>10958517.546623468</v>
      </c>
      <c r="E77" s="12">
        <f t="shared" si="11"/>
        <v>4387855.2236992102</v>
      </c>
      <c r="F77" s="14">
        <f t="shared" si="8"/>
        <v>4000.3076706018669</v>
      </c>
      <c r="G77" s="15">
        <f t="shared" si="9"/>
        <v>3584.633770479873</v>
      </c>
      <c r="H77" s="12">
        <f t="shared" si="7"/>
        <v>6775050.806964593</v>
      </c>
      <c r="I77" s="10">
        <f t="shared" si="6"/>
        <v>0.61824519403649791</v>
      </c>
      <c r="J77" s="12">
        <f t="shared" si="5"/>
        <v>-415.67390012199394</v>
      </c>
      <c r="K77" s="10">
        <f t="shared" si="4"/>
        <v>4.6999999999999931E-2</v>
      </c>
      <c r="L77" s="10">
        <f t="shared" si="2"/>
        <v>0.32710936996987955</v>
      </c>
      <c r="M77" s="10">
        <f t="shared" si="3"/>
        <v>0.36504095134970505</v>
      </c>
      <c r="N77" s="10"/>
    </row>
    <row r="78" spans="1:14" x14ac:dyDescent="0.25">
      <c r="A78">
        <v>2056</v>
      </c>
      <c r="B78" t="s">
        <v>315</v>
      </c>
      <c r="C78" s="11">
        <v>0.40100142094316299</v>
      </c>
      <c r="D78" s="15">
        <f t="shared" si="10"/>
        <v>11473567.871314771</v>
      </c>
      <c r="E78" s="12">
        <f t="shared" si="11"/>
        <v>4600917.0196850449</v>
      </c>
      <c r="F78" s="14">
        <f t="shared" si="8"/>
        <v>4194.5512573526157</v>
      </c>
      <c r="G78" s="15">
        <f t="shared" si="9"/>
        <v>3753.1115576924267</v>
      </c>
      <c r="H78" s="12">
        <f t="shared" si="7"/>
        <v>7216490.5066247806</v>
      </c>
      <c r="I78" s="10">
        <f t="shared" si="6"/>
        <v>0.62896655927462897</v>
      </c>
      <c r="J78" s="12">
        <f t="shared" si="5"/>
        <v>-441.43969966018904</v>
      </c>
      <c r="K78" s="10">
        <f t="shared" si="4"/>
        <v>4.6999999999999931E-2</v>
      </c>
      <c r="L78" s="10">
        <f t="shared" si="2"/>
        <v>0.32710936996987955</v>
      </c>
      <c r="M78" s="10">
        <f t="shared" si="3"/>
        <v>0.3655838623519605</v>
      </c>
      <c r="N78" s="10"/>
    </row>
    <row r="79" spans="1:14" x14ac:dyDescent="0.25">
      <c r="A79">
        <v>2057</v>
      </c>
      <c r="B79" t="s">
        <v>315</v>
      </c>
      <c r="C79" s="11">
        <v>0.40127560716344102</v>
      </c>
      <c r="D79" s="15">
        <f t="shared" si="10"/>
        <v>12012825.561266566</v>
      </c>
      <c r="E79" s="12">
        <f t="shared" si="11"/>
        <v>4820453.8708457453</v>
      </c>
      <c r="F79" s="14">
        <f t="shared" si="8"/>
        <v>4394.6980044318298</v>
      </c>
      <c r="G79" s="15">
        <f t="shared" si="9"/>
        <v>3929.5078009039703</v>
      </c>
      <c r="H79" s="12">
        <f t="shared" si="7"/>
        <v>7681680.7101526391</v>
      </c>
      <c r="I79" s="10">
        <f t="shared" si="6"/>
        <v>0.63945661001862786</v>
      </c>
      <c r="J79" s="12">
        <f t="shared" si="5"/>
        <v>-465.19020352785947</v>
      </c>
      <c r="K79" s="10">
        <f t="shared" si="4"/>
        <v>4.6999999999999931E-2</v>
      </c>
      <c r="L79" s="10">
        <f t="shared" si="2"/>
        <v>0.32710936996987949</v>
      </c>
      <c r="M79" s="10">
        <f t="shared" si="3"/>
        <v>0.36583383168418182</v>
      </c>
      <c r="N79" s="10"/>
    </row>
    <row r="80" spans="1:14" x14ac:dyDescent="0.25">
      <c r="A80">
        <v>2058</v>
      </c>
      <c r="B80" t="s">
        <v>315</v>
      </c>
      <c r="C80" s="11">
        <v>0.40179174954010899</v>
      </c>
      <c r="D80" s="15">
        <f t="shared" si="10"/>
        <v>12577428.362646094</v>
      </c>
      <c r="E80" s="12">
        <f t="shared" si="11"/>
        <v>5053506.9465429625</v>
      </c>
      <c r="F80" s="14">
        <f t="shared" si="8"/>
        <v>4607.1671855783679</v>
      </c>
      <c r="G80" s="15">
        <f t="shared" si="9"/>
        <v>4114.1946675464569</v>
      </c>
      <c r="H80" s="12">
        <f t="shared" si="7"/>
        <v>8174653.2281845491</v>
      </c>
      <c r="I80" s="10">
        <f t="shared" si="6"/>
        <v>0.64994631593073371</v>
      </c>
      <c r="J80" s="12">
        <f t="shared" si="5"/>
        <v>-492.97251803191102</v>
      </c>
      <c r="K80" s="10">
        <f t="shared" si="4"/>
        <v>4.6999999999999931E-2</v>
      </c>
      <c r="L80" s="10">
        <f t="shared" si="2"/>
        <v>0.32710936996987949</v>
      </c>
      <c r="M80" s="10">
        <f t="shared" si="3"/>
        <v>0.36630438693344242</v>
      </c>
      <c r="N80" s="10"/>
    </row>
    <row r="81" spans="1:14" x14ac:dyDescent="0.25">
      <c r="A81">
        <v>2059</v>
      </c>
      <c r="B81" t="s">
        <v>315</v>
      </c>
      <c r="C81" s="11">
        <v>0.40256825412089903</v>
      </c>
      <c r="D81" s="15">
        <f t="shared" si="10"/>
        <v>13168567.495690459</v>
      </c>
      <c r="E81" s="12">
        <f t="shared" si="11"/>
        <v>5301247.2260133279</v>
      </c>
      <c r="F81" s="14">
        <f t="shared" si="8"/>
        <v>4833.0263558922998</v>
      </c>
      <c r="G81" s="15">
        <f t="shared" si="9"/>
        <v>4307.5618169211402</v>
      </c>
      <c r="H81" s="12">
        <f t="shared" si="7"/>
        <v>8700117.7671557069</v>
      </c>
      <c r="I81" s="10">
        <f t="shared" si="6"/>
        <v>0.66067305878205085</v>
      </c>
      <c r="J81" s="12">
        <f t="shared" si="5"/>
        <v>-525.46453897115953</v>
      </c>
      <c r="K81" s="10">
        <f t="shared" si="4"/>
        <v>4.6999999999999931E-2</v>
      </c>
      <c r="L81" s="10">
        <f t="shared" si="2"/>
        <v>0.32710936996987949</v>
      </c>
      <c r="M81" s="10">
        <f t="shared" si="3"/>
        <v>0.36701230847424782</v>
      </c>
      <c r="N81" s="10"/>
    </row>
    <row r="82" spans="1:14" x14ac:dyDescent="0.25">
      <c r="A82">
        <v>2060</v>
      </c>
      <c r="B82" t="s">
        <v>315</v>
      </c>
      <c r="C82" s="11">
        <v>0.403555656766931</v>
      </c>
      <c r="D82" s="15">
        <f t="shared" si="10"/>
        <v>13787490.167987909</v>
      </c>
      <c r="E82" s="12">
        <f t="shared" si="11"/>
        <v>5564019.6499099648</v>
      </c>
      <c r="F82" s="14">
        <f t="shared" si="8"/>
        <v>5072.5899899107817</v>
      </c>
      <c r="G82" s="15">
        <f t="shared" si="9"/>
        <v>4510.0172223164336</v>
      </c>
      <c r="H82" s="12">
        <f t="shared" si="7"/>
        <v>9262690.5347500555</v>
      </c>
      <c r="I82" s="10">
        <f t="shared" si="6"/>
        <v>0.67181846890860308</v>
      </c>
      <c r="J82" s="12">
        <f t="shared" si="5"/>
        <v>-562.57276759434808</v>
      </c>
      <c r="K82" s="10">
        <f t="shared" si="4"/>
        <v>4.6999999999999931E-2</v>
      </c>
      <c r="L82" s="10">
        <f t="shared" si="2"/>
        <v>0.32710936996987955</v>
      </c>
      <c r="M82" s="10">
        <f t="shared" si="3"/>
        <v>0.36791250097776534</v>
      </c>
      <c r="N82" s="10"/>
    </row>
    <row r="83" spans="1:14" x14ac:dyDescent="0.25">
      <c r="A83">
        <v>2061</v>
      </c>
      <c r="B83" t="s">
        <v>315</v>
      </c>
      <c r="C83" s="11">
        <v>0.40479729516313701</v>
      </c>
      <c r="D83" s="15">
        <f t="shared" si="10"/>
        <v>14435502.205883339</v>
      </c>
      <c r="E83" s="12">
        <f t="shared" si="11"/>
        <v>5843452.247263073</v>
      </c>
      <c r="F83" s="14">
        <f t="shared" si="8"/>
        <v>5327.3423246210095</v>
      </c>
      <c r="G83" s="15">
        <f t="shared" si="9"/>
        <v>4721.988031765306</v>
      </c>
      <c r="H83" s="12">
        <f t="shared" si="7"/>
        <v>9868044.8276057597</v>
      </c>
      <c r="I83" s="10">
        <f t="shared" si="6"/>
        <v>0.6835955332114414</v>
      </c>
      <c r="J83" s="12">
        <f t="shared" si="5"/>
        <v>-605.35429285570353</v>
      </c>
      <c r="K83" s="10">
        <f t="shared" si="4"/>
        <v>4.6999999999999931E-2</v>
      </c>
      <c r="L83" s="10">
        <f t="shared" si="2"/>
        <v>0.3271093699698796</v>
      </c>
      <c r="M83" s="10">
        <f t="shared" si="3"/>
        <v>0.36904447442429789</v>
      </c>
      <c r="N83" s="10"/>
    </row>
    <row r="84" spans="1:14" x14ac:dyDescent="0.25">
      <c r="A84">
        <v>2062</v>
      </c>
      <c r="B84" t="s">
        <v>315</v>
      </c>
      <c r="C84" s="11">
        <v>0.40631138952151702</v>
      </c>
      <c r="D84" s="15">
        <f t="shared" si="10"/>
        <v>15113970.809559856</v>
      </c>
      <c r="E84" s="12">
        <f t="shared" si="11"/>
        <v>6140978.4808199126</v>
      </c>
      <c r="F84" s="14">
        <f t="shared" si="8"/>
        <v>5598.5902153614206</v>
      </c>
      <c r="G84" s="15">
        <f t="shared" si="9"/>
        <v>4943.9214692582755</v>
      </c>
      <c r="H84" s="12">
        <f t="shared" si="7"/>
        <v>10522713.573708907</v>
      </c>
      <c r="I84" s="10">
        <f t="shared" si="6"/>
        <v>0.69622428852734741</v>
      </c>
      <c r="J84" s="12">
        <f t="shared" si="5"/>
        <v>-654.66874610314517</v>
      </c>
      <c r="K84" s="10">
        <f t="shared" si="4"/>
        <v>4.6999999999999931E-2</v>
      </c>
      <c r="L84" s="10">
        <f t="shared" si="2"/>
        <v>0.3271093699698796</v>
      </c>
      <c r="M84" s="10">
        <f t="shared" si="3"/>
        <v>0.37042483976614621</v>
      </c>
      <c r="N84" s="10"/>
    </row>
    <row r="85" spans="1:14" x14ac:dyDescent="0.25">
      <c r="A85">
        <v>2063</v>
      </c>
      <c r="B85" t="s">
        <v>315</v>
      </c>
      <c r="C85" s="11">
        <v>0.407864818162122</v>
      </c>
      <c r="D85" s="15">
        <f t="shared" si="10"/>
        <v>15824327.437609168</v>
      </c>
      <c r="E85" s="12">
        <f t="shared" si="11"/>
        <v>6454186.4328783415</v>
      </c>
      <c r="F85" s="14">
        <f t="shared" si="8"/>
        <v>5884.1347716962919</v>
      </c>
      <c r="G85" s="15">
        <f t="shared" si="9"/>
        <v>5176.2857783134141</v>
      </c>
      <c r="H85" s="12">
        <f t="shared" si="7"/>
        <v>11230562.567091785</v>
      </c>
      <c r="I85" s="10">
        <f t="shared" si="6"/>
        <v>0.70970236247769181</v>
      </c>
      <c r="J85" s="12">
        <f t="shared" si="5"/>
        <v>-707.84899338287778</v>
      </c>
      <c r="K85" s="10">
        <f t="shared" si="4"/>
        <v>4.6999999999999931E-2</v>
      </c>
      <c r="L85" s="10">
        <f t="shared" si="2"/>
        <v>0.3271093699698796</v>
      </c>
      <c r="M85" s="10">
        <f t="shared" si="3"/>
        <v>0.37184106527722999</v>
      </c>
      <c r="N85" s="10"/>
    </row>
    <row r="86" spans="1:14" x14ac:dyDescent="0.25">
      <c r="A86">
        <v>2064</v>
      </c>
      <c r="B86" t="s">
        <v>315</v>
      </c>
      <c r="C86" s="11">
        <v>0.40933397700266599</v>
      </c>
      <c r="D86" s="15">
        <f t="shared" si="10"/>
        <v>16568070.827176798</v>
      </c>
      <c r="E86" s="12">
        <f t="shared" si="11"/>
        <v>6781874.3229501285</v>
      </c>
      <c r="F86" s="14">
        <f t="shared" si="8"/>
        <v>6182.8803577259932</v>
      </c>
      <c r="G86" s="15">
        <f t="shared" si="9"/>
        <v>5419.571209894144</v>
      </c>
      <c r="H86" s="12">
        <f t="shared" si="7"/>
        <v>11993871.714923635</v>
      </c>
      <c r="I86" s="10">
        <f t="shared" si="6"/>
        <v>0.7239148021536671</v>
      </c>
      <c r="J86" s="12">
        <f t="shared" si="5"/>
        <v>-763.30914783184926</v>
      </c>
      <c r="K86" s="10">
        <f t="shared" si="4"/>
        <v>4.6999999999999931E-2</v>
      </c>
      <c r="L86" s="10">
        <f t="shared" si="2"/>
        <v>0.32710936996987955</v>
      </c>
      <c r="M86" s="10">
        <f t="shared" si="3"/>
        <v>0.37318046393090876</v>
      </c>
      <c r="N86" s="10"/>
    </row>
    <row r="87" spans="1:14" x14ac:dyDescent="0.25">
      <c r="A87">
        <v>2065</v>
      </c>
      <c r="B87" t="s">
        <v>315</v>
      </c>
      <c r="C87" s="11">
        <v>0.41078155438422798</v>
      </c>
      <c r="D87" s="15">
        <f t="shared" si="10"/>
        <v>17346770.156054106</v>
      </c>
      <c r="E87" s="12">
        <f t="shared" si="11"/>
        <v>7125733.2082498427</v>
      </c>
      <c r="F87" s="14">
        <f t="shared" si="8"/>
        <v>6496.3686717978962</v>
      </c>
      <c r="G87" s="15">
        <f t="shared" si="9"/>
        <v>5674.291056759168</v>
      </c>
      <c r="H87" s="12">
        <f t="shared" si="7"/>
        <v>12815949.329962362</v>
      </c>
      <c r="I87" s="10">
        <f t="shared" si="6"/>
        <v>0.73880896643399252</v>
      </c>
      <c r="J87" s="12">
        <f t="shared" si="5"/>
        <v>-822.07761503872825</v>
      </c>
      <c r="K87" s="10">
        <f t="shared" si="4"/>
        <v>4.6999999999999931E-2</v>
      </c>
      <c r="L87" s="10">
        <f t="shared" si="2"/>
        <v>0.3271093699698796</v>
      </c>
      <c r="M87" s="10">
        <f t="shared" si="3"/>
        <v>0.37450018725996853</v>
      </c>
      <c r="N87" s="10"/>
    </row>
    <row r="88" spans="1:14" x14ac:dyDescent="0.25">
      <c r="A88">
        <v>2066</v>
      </c>
      <c r="B88" t="s">
        <v>315</v>
      </c>
      <c r="C88" s="11">
        <v>0.41207429479058999</v>
      </c>
      <c r="D88" s="15">
        <f t="shared" si="10"/>
        <v>18162068.353388648</v>
      </c>
      <c r="E88" s="12">
        <f t="shared" si="11"/>
        <v>7484121.5086611193</v>
      </c>
      <c r="F88" s="14">
        <f t="shared" si="8"/>
        <v>6823.103122708183</v>
      </c>
      <c r="G88" s="15">
        <f t="shared" si="9"/>
        <v>5940.9827364268485</v>
      </c>
      <c r="H88" s="12">
        <f t="shared" si="7"/>
        <v>13698069.716243695</v>
      </c>
      <c r="I88" s="10">
        <f t="shared" si="6"/>
        <v>0.75421309124673197</v>
      </c>
      <c r="J88" s="12">
        <f t="shared" si="5"/>
        <v>-882.1203862813345</v>
      </c>
      <c r="K88" s="10">
        <f t="shared" si="4"/>
        <v>4.6999999999999931E-2</v>
      </c>
      <c r="L88" s="10">
        <f t="shared" si="2"/>
        <v>0.32710936996987955</v>
      </c>
      <c r="M88" s="10">
        <f t="shared" si="3"/>
        <v>0.37567874924527195</v>
      </c>
      <c r="N88" s="10"/>
    </row>
    <row r="89" spans="1:14" x14ac:dyDescent="0.25">
      <c r="A89">
        <v>2067</v>
      </c>
      <c r="B89" t="s">
        <v>315</v>
      </c>
      <c r="C89" s="11">
        <v>0.41337534090082201</v>
      </c>
      <c r="D89" s="15">
        <f t="shared" si="10"/>
        <v>19015685.565997913</v>
      </c>
      <c r="E89" s="12">
        <f t="shared" si="11"/>
        <v>7860615.503307228</v>
      </c>
      <c r="F89" s="14">
        <f t="shared" si="8"/>
        <v>7166.3441226809773</v>
      </c>
      <c r="G89" s="15">
        <f t="shared" si="9"/>
        <v>6220.2089250389099</v>
      </c>
      <c r="H89" s="12">
        <f t="shared" si="7"/>
        <v>14644204.913885763</v>
      </c>
      <c r="I89" s="10">
        <f t="shared" si="6"/>
        <v>0.770111856501833</v>
      </c>
      <c r="J89" s="12">
        <f t="shared" si="5"/>
        <v>-946.1351976420674</v>
      </c>
      <c r="K89" s="10">
        <f t="shared" si="4"/>
        <v>4.6999999999999931E-2</v>
      </c>
      <c r="L89" s="10">
        <f t="shared" si="2"/>
        <v>0.32710936996987955</v>
      </c>
      <c r="M89" s="10">
        <f t="shared" si="3"/>
        <v>0.37686488335162471</v>
      </c>
      <c r="N89" s="10"/>
    </row>
    <row r="90" spans="1:14" x14ac:dyDescent="0.25">
      <c r="A90">
        <v>2068</v>
      </c>
      <c r="B90" t="s">
        <v>315</v>
      </c>
      <c r="C90" s="11">
        <v>0.414616050489091</v>
      </c>
      <c r="D90" s="15">
        <f t="shared" si="10"/>
        <v>19909422.787599813</v>
      </c>
      <c r="E90" s="12">
        <f t="shared" si="11"/>
        <v>8254766.243712143</v>
      </c>
      <c r="F90" s="14">
        <f t="shared" si="8"/>
        <v>7525.682375615841</v>
      </c>
      <c r="G90" s="15">
        <f t="shared" si="9"/>
        <v>6512.558744515738</v>
      </c>
      <c r="H90" s="12">
        <f t="shared" si="7"/>
        <v>15657328.544985864</v>
      </c>
      <c r="I90" s="10">
        <f t="shared" si="6"/>
        <v>0.78642805027666196</v>
      </c>
      <c r="J90" s="12">
        <f t="shared" si="5"/>
        <v>-1013.123631100103</v>
      </c>
      <c r="K90" s="10">
        <f t="shared" si="4"/>
        <v>4.6999999999999931E-2</v>
      </c>
      <c r="L90" s="10">
        <f t="shared" si="2"/>
        <v>0.32710936996987955</v>
      </c>
      <c r="M90" s="10">
        <f t="shared" si="3"/>
        <v>0.37799601002511546</v>
      </c>
      <c r="N90" s="10"/>
    </row>
    <row r="91" spans="1:14" x14ac:dyDescent="0.25">
      <c r="A91">
        <v>2069</v>
      </c>
      <c r="B91" t="s">
        <v>315</v>
      </c>
      <c r="C91" s="11">
        <v>0.41570589813817199</v>
      </c>
      <c r="D91" s="15">
        <f t="shared" si="10"/>
        <v>20845165.658617005</v>
      </c>
      <c r="E91" s="12">
        <f t="shared" si="11"/>
        <v>8665458.3119543623</v>
      </c>
      <c r="F91" s="14">
        <f t="shared" si="8"/>
        <v>7900.100980398257</v>
      </c>
      <c r="G91" s="15">
        <f t="shared" si="9"/>
        <v>6818.6490055079776</v>
      </c>
      <c r="H91" s="12">
        <f t="shared" si="7"/>
        <v>16738780.519876143</v>
      </c>
      <c r="I91" s="10">
        <f t="shared" si="6"/>
        <v>0.80300539674323201</v>
      </c>
      <c r="J91" s="12">
        <f t="shared" si="5"/>
        <v>-1081.4519748902794</v>
      </c>
      <c r="K91" s="10">
        <f t="shared" si="4"/>
        <v>4.6999999999999931E-2</v>
      </c>
      <c r="L91" s="10">
        <f t="shared" ref="L91:L93" si="12">G91*1000/D91</f>
        <v>0.32710936996987955</v>
      </c>
      <c r="M91" s="10">
        <f t="shared" ref="M91:M93" si="13">F91*1000/D91</f>
        <v>0.37898959930464748</v>
      </c>
      <c r="N91" s="10"/>
    </row>
    <row r="92" spans="1:14" x14ac:dyDescent="0.25">
      <c r="A92">
        <v>2070</v>
      </c>
      <c r="B92" t="s">
        <v>315</v>
      </c>
      <c r="C92" s="11">
        <v>0.41664801672699098</v>
      </c>
      <c r="D92" s="15">
        <f t="shared" si="10"/>
        <v>21824888.444572002</v>
      </c>
      <c r="E92" s="12">
        <f t="shared" si="11"/>
        <v>9093296.4857187476</v>
      </c>
      <c r="F92" s="14">
        <f t="shared" si="8"/>
        <v>8290.1512990692299</v>
      </c>
      <c r="G92" s="15">
        <f t="shared" si="9"/>
        <v>7139.1255087668524</v>
      </c>
      <c r="H92" s="12">
        <f t="shared" si="7"/>
        <v>17889806.310178518</v>
      </c>
      <c r="I92" s="10">
        <f t="shared" si="6"/>
        <v>0.81969749149521243</v>
      </c>
      <c r="J92" s="12">
        <f t="shared" si="5"/>
        <v>-1151.0257903023776</v>
      </c>
      <c r="K92" s="10">
        <f t="shared" si="4"/>
        <v>4.6999999999999931E-2</v>
      </c>
      <c r="L92" s="10">
        <f t="shared" si="12"/>
        <v>0.32710936996987955</v>
      </c>
      <c r="M92" s="10">
        <f t="shared" si="13"/>
        <v>0.37984850736458386</v>
      </c>
      <c r="N92" s="10"/>
    </row>
    <row r="93" spans="1:14" x14ac:dyDescent="0.25">
      <c r="A93">
        <v>2071</v>
      </c>
      <c r="B93" t="s">
        <v>315</v>
      </c>
      <c r="C93" s="11">
        <v>0.41758230982772299</v>
      </c>
      <c r="D93" s="15">
        <f t="shared" si="10"/>
        <v>22850658.201466884</v>
      </c>
      <c r="E93" s="12">
        <f t="shared" si="11"/>
        <v>9542030.6328523438</v>
      </c>
      <c r="F93" s="14">
        <f t="shared" si="8"/>
        <v>8699.2520007387247</v>
      </c>
      <c r="G93" s="15">
        <f t="shared" si="9"/>
        <v>7474.6644076788943</v>
      </c>
      <c r="H93" s="12">
        <f t="shared" si="7"/>
        <v>19114393.903238349</v>
      </c>
      <c r="I93" s="10">
        <f t="shared" si="6"/>
        <v>0.83649204914418229</v>
      </c>
      <c r="J93" s="12">
        <f t="shared" si="5"/>
        <v>-1224.5875930598304</v>
      </c>
      <c r="K93" s="10">
        <f t="shared" si="4"/>
        <v>4.6999999999999931E-2</v>
      </c>
      <c r="L93" s="10">
        <f t="shared" si="12"/>
        <v>0.3271093699698796</v>
      </c>
      <c r="M93" s="10">
        <f t="shared" si="13"/>
        <v>0.38070028110526294</v>
      </c>
      <c r="N93" s="10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5" x14ac:dyDescent="0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5" x14ac:dyDescent="0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5" x14ac:dyDescent="0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5" x14ac:dyDescent="0.25"/>
  <sheetData>
    <row r="1" spans="1:2" ht="35.25" customHeight="1" x14ac:dyDescent="0.25">
      <c r="A1" t="s">
        <v>3</v>
      </c>
      <c r="B1" t="s">
        <v>64</v>
      </c>
    </row>
    <row r="2" spans="1:2" x14ac:dyDescent="0.25">
      <c r="A2">
        <v>1999</v>
      </c>
      <c r="B2">
        <v>5.5089249999999996</v>
      </c>
    </row>
    <row r="3" spans="1:2" x14ac:dyDescent="0.25">
      <c r="A3">
        <v>2000</v>
      </c>
      <c r="B3">
        <v>5.6993739999999997</v>
      </c>
    </row>
    <row r="4" spans="1:2" x14ac:dyDescent="0.25">
      <c r="A4">
        <v>2001</v>
      </c>
      <c r="B4">
        <v>5.4858669999999998</v>
      </c>
    </row>
    <row r="5" spans="1:2" x14ac:dyDescent="0.25">
      <c r="A5">
        <v>2002</v>
      </c>
      <c r="B5">
        <v>5.6428630000000002</v>
      </c>
    </row>
    <row r="6" spans="1:2" x14ac:dyDescent="0.25">
      <c r="A6">
        <v>2003</v>
      </c>
      <c r="B6">
        <v>5.6727990000000004</v>
      </c>
    </row>
    <row r="7" spans="1:2" x14ac:dyDescent="0.25">
      <c r="A7">
        <v>2004</v>
      </c>
      <c r="B7">
        <v>5.7385590000000004</v>
      </c>
    </row>
    <row r="8" spans="1:2" x14ac:dyDescent="0.25">
      <c r="A8">
        <v>2005</v>
      </c>
      <c r="B8">
        <v>5.955756</v>
      </c>
    </row>
    <row r="9" spans="1:2" x14ac:dyDescent="0.25">
      <c r="A9">
        <v>2006</v>
      </c>
      <c r="B9">
        <v>5.8993219999999997</v>
      </c>
    </row>
    <row r="10" spans="1:2" x14ac:dyDescent="0.25">
      <c r="A10">
        <v>2007</v>
      </c>
      <c r="B10">
        <v>5.8391510000000002</v>
      </c>
    </row>
    <row r="11" spans="1:2" x14ac:dyDescent="0.25">
      <c r="A11">
        <v>2008</v>
      </c>
      <c r="B11">
        <v>5.9086129999999999</v>
      </c>
    </row>
    <row r="12" spans="1:2" x14ac:dyDescent="0.25">
      <c r="A12">
        <v>2009</v>
      </c>
      <c r="B12">
        <v>6.3324420000000003</v>
      </c>
    </row>
    <row r="13" spans="1:2" x14ac:dyDescent="0.25">
      <c r="A13">
        <v>2010</v>
      </c>
      <c r="B13">
        <v>6.335623</v>
      </c>
    </row>
    <row r="14" spans="1:2" x14ac:dyDescent="0.25">
      <c r="A14">
        <v>2011</v>
      </c>
      <c r="B14">
        <v>6.3005100000000001</v>
      </c>
    </row>
    <row r="15" spans="1:2" x14ac:dyDescent="0.25">
      <c r="A15">
        <v>2012</v>
      </c>
      <c r="B15">
        <v>6.5884470000000004</v>
      </c>
    </row>
    <row r="16" spans="1:2" x14ac:dyDescent="0.25">
      <c r="A16">
        <v>2013</v>
      </c>
      <c r="B16">
        <v>6.5151440000000003</v>
      </c>
    </row>
    <row r="17" spans="1:2" x14ac:dyDescent="0.25">
      <c r="A17">
        <v>2014</v>
      </c>
      <c r="B17">
        <v>6.5683069999999999</v>
      </c>
    </row>
    <row r="18" spans="1:2" x14ac:dyDescent="0.25">
      <c r="A18">
        <v>2015</v>
      </c>
      <c r="B18">
        <v>6.7168169999999998</v>
      </c>
    </row>
    <row r="19" spans="1:2" x14ac:dyDescent="0.25">
      <c r="A19">
        <v>2016</v>
      </c>
      <c r="B19">
        <v>6.828322</v>
      </c>
    </row>
    <row r="20" spans="1:2" x14ac:dyDescent="0.25">
      <c r="A20">
        <v>2017</v>
      </c>
      <c r="B20">
        <v>6.8818489999999999</v>
      </c>
    </row>
    <row r="21" spans="1:2" x14ac:dyDescent="0.25">
      <c r="A21">
        <v>2018</v>
      </c>
      <c r="B21">
        <v>6.9627030000000003</v>
      </c>
    </row>
    <row r="22" spans="1:2" x14ac:dyDescent="0.25">
      <c r="A22">
        <v>2019</v>
      </c>
      <c r="B22">
        <v>6.9447910000000004</v>
      </c>
    </row>
    <row r="23" spans="1:2" x14ac:dyDescent="0.25">
      <c r="A23">
        <v>2020</v>
      </c>
      <c r="B23">
        <v>7.4859960000000001</v>
      </c>
    </row>
    <row r="24" spans="1:2" x14ac:dyDescent="0.25">
      <c r="A24">
        <v>2021</v>
      </c>
      <c r="B24">
        <v>7.3427639999999998</v>
      </c>
    </row>
    <row r="25" spans="1:2" x14ac:dyDescent="0.25">
      <c r="A25">
        <v>2022</v>
      </c>
      <c r="B25">
        <v>7.30192</v>
      </c>
    </row>
    <row r="26" spans="1:2" x14ac:dyDescent="0.25">
      <c r="A26">
        <v>2023</v>
      </c>
      <c r="B26">
        <v>6.9725630000000001</v>
      </c>
    </row>
    <row r="27" spans="1:2" x14ac:dyDescent="0.2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5" x14ac:dyDescent="0.25"/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2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2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25">
      <c r="A5" t="s">
        <v>0</v>
      </c>
      <c r="B5">
        <v>2002</v>
      </c>
      <c r="C5">
        <v>3.509242</v>
      </c>
      <c r="E5">
        <v>0.57907500000000001</v>
      </c>
    </row>
    <row r="6" spans="1:5" x14ac:dyDescent="0.2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2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2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2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2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2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2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2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2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2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2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2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2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2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25">
      <c r="A20" t="s">
        <v>0</v>
      </c>
      <c r="B20">
        <v>2017</v>
      </c>
      <c r="C20">
        <v>4.346908</v>
      </c>
      <c r="E20">
        <v>0.5763644</v>
      </c>
    </row>
    <row r="21" spans="1:5" x14ac:dyDescent="0.2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2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2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2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2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2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2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2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2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2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2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2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2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2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2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2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2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2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2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25">
      <c r="A40" t="s">
        <v>44</v>
      </c>
      <c r="B40">
        <v>2013</v>
      </c>
      <c r="C40">
        <v>3.000813</v>
      </c>
      <c r="E40">
        <v>0.425568</v>
      </c>
    </row>
    <row r="41" spans="1:5" x14ac:dyDescent="0.2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2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25">
      <c r="A43" t="s">
        <v>44</v>
      </c>
      <c r="B43">
        <v>2016</v>
      </c>
      <c r="C43">
        <v>3.134347</v>
      </c>
      <c r="E43">
        <v>0.4093368</v>
      </c>
    </row>
    <row r="44" spans="1:5" x14ac:dyDescent="0.25">
      <c r="A44" t="s">
        <v>44</v>
      </c>
      <c r="B44">
        <v>2017</v>
      </c>
      <c r="C44">
        <v>3.195036</v>
      </c>
      <c r="E44">
        <v>0.4236356</v>
      </c>
    </row>
    <row r="45" spans="1:5" x14ac:dyDescent="0.2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2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2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2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2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2005</v>
      </c>
      <c r="B2">
        <v>5.9479949999999997</v>
      </c>
      <c r="C2" t="s">
        <v>151</v>
      </c>
    </row>
    <row r="3" spans="1:3" x14ac:dyDescent="0.25">
      <c r="A3">
        <v>2006</v>
      </c>
      <c r="B3">
        <v>5.9986620000000004</v>
      </c>
      <c r="C3" t="s">
        <v>151</v>
      </c>
    </row>
    <row r="4" spans="1:3" x14ac:dyDescent="0.25">
      <c r="A4">
        <v>2007</v>
      </c>
      <c r="B4">
        <v>6.0512490000000003</v>
      </c>
      <c r="C4" t="s">
        <v>151</v>
      </c>
    </row>
    <row r="5" spans="1:3" x14ac:dyDescent="0.25">
      <c r="A5">
        <v>2008</v>
      </c>
      <c r="B5">
        <v>6.0835650000000001</v>
      </c>
      <c r="C5" t="s">
        <v>151</v>
      </c>
    </row>
    <row r="6" spans="1:3" x14ac:dyDescent="0.25">
      <c r="A6">
        <v>2009</v>
      </c>
      <c r="B6">
        <v>6.1146890000000003</v>
      </c>
      <c r="C6" t="s">
        <v>151</v>
      </c>
    </row>
    <row r="7" spans="1:3" x14ac:dyDescent="0.25">
      <c r="A7">
        <v>2010</v>
      </c>
      <c r="B7">
        <v>6.1748919999999998</v>
      </c>
      <c r="C7" t="s">
        <v>151</v>
      </c>
    </row>
    <row r="8" spans="1:3" x14ac:dyDescent="0.25">
      <c r="A8">
        <v>2011</v>
      </c>
      <c r="B8">
        <v>6.2386020000000002</v>
      </c>
      <c r="C8" t="s">
        <v>151</v>
      </c>
    </row>
    <row r="9" spans="1:3" x14ac:dyDescent="0.25">
      <c r="A9">
        <v>2012</v>
      </c>
      <c r="B9">
        <v>6.2857459999999996</v>
      </c>
      <c r="C9" t="s">
        <v>151</v>
      </c>
    </row>
    <row r="10" spans="1:3" x14ac:dyDescent="0.25">
      <c r="A10">
        <v>2013</v>
      </c>
      <c r="B10">
        <v>6.3311500000000001</v>
      </c>
      <c r="C10" t="s">
        <v>151</v>
      </c>
    </row>
    <row r="11" spans="1:3" x14ac:dyDescent="0.25">
      <c r="A11">
        <v>2014</v>
      </c>
      <c r="B11">
        <v>6.3866579999999997</v>
      </c>
      <c r="C11" t="s">
        <v>151</v>
      </c>
    </row>
    <row r="12" spans="1:3" x14ac:dyDescent="0.25">
      <c r="A12">
        <v>2015</v>
      </c>
      <c r="B12">
        <v>6.4385630000000003</v>
      </c>
      <c r="C12" t="s">
        <v>151</v>
      </c>
    </row>
    <row r="13" spans="1:3" x14ac:dyDescent="0.25">
      <c r="A13">
        <v>2016</v>
      </c>
      <c r="B13">
        <v>6.4918719999999999</v>
      </c>
      <c r="C13" t="s">
        <v>151</v>
      </c>
    </row>
    <row r="14" spans="1:3" x14ac:dyDescent="0.25">
      <c r="A14">
        <v>2017</v>
      </c>
      <c r="B14">
        <v>6.5461049999999998</v>
      </c>
      <c r="C14" t="s">
        <v>151</v>
      </c>
    </row>
    <row r="15" spans="1:3" x14ac:dyDescent="0.25">
      <c r="A15">
        <v>2018</v>
      </c>
      <c r="B15">
        <v>6.6032450000000003</v>
      </c>
      <c r="C15" t="s">
        <v>151</v>
      </c>
    </row>
    <row r="16" spans="1:3" x14ac:dyDescent="0.25">
      <c r="A16">
        <v>2019</v>
      </c>
      <c r="B16">
        <v>6.6707470000000004</v>
      </c>
      <c r="C16" t="s">
        <v>151</v>
      </c>
    </row>
    <row r="17" spans="1:3" x14ac:dyDescent="0.25">
      <c r="A17">
        <v>2020</v>
      </c>
      <c r="B17">
        <v>6.7751060000000001</v>
      </c>
      <c r="C17" t="s">
        <v>151</v>
      </c>
    </row>
    <row r="18" spans="1:3" x14ac:dyDescent="0.25">
      <c r="A18">
        <v>2021</v>
      </c>
      <c r="B18">
        <v>6.9070200000000002</v>
      </c>
      <c r="C18" t="s">
        <v>151</v>
      </c>
    </row>
    <row r="19" spans="1:3" x14ac:dyDescent="0.25">
      <c r="A19">
        <v>2022</v>
      </c>
      <c r="B19">
        <v>6.985697</v>
      </c>
      <c r="C19" t="s">
        <v>151</v>
      </c>
    </row>
    <row r="20" spans="1:3" x14ac:dyDescent="0.25">
      <c r="A20">
        <v>2023</v>
      </c>
      <c r="B20">
        <v>7.0082069999999996</v>
      </c>
      <c r="C20" t="s">
        <v>151</v>
      </c>
    </row>
    <row r="21" spans="1:3" x14ac:dyDescent="0.25">
      <c r="A21">
        <v>2024</v>
      </c>
      <c r="B21">
        <v>7.069496</v>
      </c>
      <c r="C21" t="s">
        <v>151</v>
      </c>
    </row>
    <row r="22" spans="1:3" x14ac:dyDescent="0.25">
      <c r="A22">
        <v>2005</v>
      </c>
      <c r="B22">
        <v>5.955756</v>
      </c>
      <c r="C22" t="s">
        <v>72</v>
      </c>
    </row>
    <row r="23" spans="1:3" x14ac:dyDescent="0.25">
      <c r="A23">
        <v>2006</v>
      </c>
      <c r="B23">
        <v>5.8993219999999997</v>
      </c>
      <c r="C23" t="s">
        <v>72</v>
      </c>
    </row>
    <row r="24" spans="1:3" x14ac:dyDescent="0.25">
      <c r="A24">
        <v>2007</v>
      </c>
      <c r="B24">
        <v>5.8391510000000002</v>
      </c>
      <c r="C24" t="s">
        <v>72</v>
      </c>
    </row>
    <row r="25" spans="1:3" x14ac:dyDescent="0.25">
      <c r="A25">
        <v>2008</v>
      </c>
      <c r="B25">
        <v>5.9086129999999999</v>
      </c>
      <c r="C25" t="s">
        <v>72</v>
      </c>
    </row>
    <row r="26" spans="1:3" x14ac:dyDescent="0.25">
      <c r="A26">
        <v>2009</v>
      </c>
      <c r="B26">
        <v>6.3324420000000003</v>
      </c>
      <c r="C26" t="s">
        <v>72</v>
      </c>
    </row>
    <row r="27" spans="1:3" x14ac:dyDescent="0.25">
      <c r="A27">
        <v>2010</v>
      </c>
      <c r="B27">
        <v>6.335623</v>
      </c>
      <c r="C27" t="s">
        <v>72</v>
      </c>
    </row>
    <row r="28" spans="1:3" x14ac:dyDescent="0.25">
      <c r="A28">
        <v>2011</v>
      </c>
      <c r="B28">
        <v>6.3005100000000001</v>
      </c>
      <c r="C28" t="s">
        <v>72</v>
      </c>
    </row>
    <row r="29" spans="1:3" x14ac:dyDescent="0.25">
      <c r="A29">
        <v>2012</v>
      </c>
      <c r="B29">
        <v>6.5884470000000004</v>
      </c>
      <c r="C29" t="s">
        <v>72</v>
      </c>
    </row>
    <row r="30" spans="1:3" x14ac:dyDescent="0.25">
      <c r="A30">
        <v>2013</v>
      </c>
      <c r="B30">
        <v>6.5151440000000003</v>
      </c>
      <c r="C30" t="s">
        <v>72</v>
      </c>
    </row>
    <row r="31" spans="1:3" x14ac:dyDescent="0.25">
      <c r="A31">
        <v>2014</v>
      </c>
      <c r="B31">
        <v>6.5683069999999999</v>
      </c>
      <c r="C31" t="s">
        <v>72</v>
      </c>
    </row>
    <row r="32" spans="1:3" x14ac:dyDescent="0.25">
      <c r="A32">
        <v>2015</v>
      </c>
      <c r="B32">
        <v>6.7168169999999998</v>
      </c>
      <c r="C32" t="s">
        <v>72</v>
      </c>
    </row>
    <row r="33" spans="1:3" x14ac:dyDescent="0.25">
      <c r="A33">
        <v>2016</v>
      </c>
      <c r="B33">
        <v>6.828322</v>
      </c>
      <c r="C33" t="s">
        <v>72</v>
      </c>
    </row>
    <row r="34" spans="1:3" x14ac:dyDescent="0.25">
      <c r="A34">
        <v>2017</v>
      </c>
      <c r="B34">
        <v>6.8818489999999999</v>
      </c>
      <c r="C34" t="s">
        <v>72</v>
      </c>
    </row>
    <row r="35" spans="1:3" x14ac:dyDescent="0.25">
      <c r="A35">
        <v>2018</v>
      </c>
      <c r="B35">
        <v>6.9627030000000003</v>
      </c>
      <c r="C35" t="s">
        <v>72</v>
      </c>
    </row>
    <row r="36" spans="1:3" x14ac:dyDescent="0.25">
      <c r="A36">
        <v>2019</v>
      </c>
      <c r="B36">
        <v>6.9447910000000004</v>
      </c>
      <c r="C36" t="s">
        <v>72</v>
      </c>
    </row>
    <row r="37" spans="1:3" x14ac:dyDescent="0.25">
      <c r="A37">
        <v>2020</v>
      </c>
      <c r="B37">
        <v>7.4859960000000001</v>
      </c>
      <c r="C37" t="s">
        <v>72</v>
      </c>
    </row>
    <row r="38" spans="1:3" x14ac:dyDescent="0.25">
      <c r="A38">
        <v>2021</v>
      </c>
      <c r="B38">
        <v>7.3427639999999998</v>
      </c>
      <c r="C38" t="s">
        <v>72</v>
      </c>
    </row>
    <row r="39" spans="1:3" x14ac:dyDescent="0.25">
      <c r="A39">
        <v>2022</v>
      </c>
      <c r="B39">
        <v>7.30192</v>
      </c>
      <c r="C39" t="s">
        <v>72</v>
      </c>
    </row>
    <row r="40" spans="1:3" x14ac:dyDescent="0.25">
      <c r="A40">
        <v>2023</v>
      </c>
      <c r="B40">
        <v>6.9725630000000001</v>
      </c>
      <c r="C40" t="s">
        <v>72</v>
      </c>
    </row>
    <row r="41" spans="1:3" x14ac:dyDescent="0.2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5" x14ac:dyDescent="0.25"/>
  <sheetData>
    <row r="1" spans="1:3" x14ac:dyDescent="0.25">
      <c r="A1" t="s">
        <v>3</v>
      </c>
      <c r="B1" t="s">
        <v>152</v>
      </c>
      <c r="C1" t="s">
        <v>153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0.96081499999999997</v>
      </c>
      <c r="C3">
        <v>0.9688061</v>
      </c>
    </row>
    <row r="4" spans="1:3" x14ac:dyDescent="0.25">
      <c r="A4">
        <v>2001</v>
      </c>
      <c r="B4">
        <v>0.98761540000000003</v>
      </c>
      <c r="C4">
        <v>1.0072920000000001</v>
      </c>
    </row>
    <row r="5" spans="1:3" x14ac:dyDescent="0.25">
      <c r="A5">
        <v>2002</v>
      </c>
      <c r="B5">
        <v>0.99203540000000001</v>
      </c>
      <c r="C5">
        <v>1.0271357000000001</v>
      </c>
    </row>
    <row r="6" spans="1:3" x14ac:dyDescent="0.25">
      <c r="A6">
        <v>2003</v>
      </c>
      <c r="B6">
        <v>0.99602329999999994</v>
      </c>
      <c r="C6">
        <v>1.0346373</v>
      </c>
    </row>
    <row r="7" spans="1:3" x14ac:dyDescent="0.25">
      <c r="A7">
        <v>2004</v>
      </c>
      <c r="B7">
        <v>1.0456584</v>
      </c>
      <c r="C7">
        <v>1.0046596000000001</v>
      </c>
    </row>
    <row r="8" spans="1:3" x14ac:dyDescent="0.25">
      <c r="A8">
        <v>2005</v>
      </c>
      <c r="B8">
        <v>1.0377649</v>
      </c>
      <c r="C8">
        <v>1.0344814</v>
      </c>
    </row>
    <row r="9" spans="1:3" x14ac:dyDescent="0.25">
      <c r="A9">
        <v>2006</v>
      </c>
      <c r="B9">
        <v>1.0285975999999999</v>
      </c>
      <c r="C9">
        <v>1.0172851999999999</v>
      </c>
    </row>
    <row r="10" spans="1:3" x14ac:dyDescent="0.25">
      <c r="A10">
        <v>2007</v>
      </c>
      <c r="B10">
        <v>1.0430691999999999</v>
      </c>
      <c r="C10">
        <v>0.99731860000000006</v>
      </c>
    </row>
    <row r="11" spans="1:3" x14ac:dyDescent="0.25">
      <c r="A11">
        <v>2008</v>
      </c>
      <c r="B11">
        <v>1.0744102</v>
      </c>
      <c r="C11">
        <v>1.0353441999999999</v>
      </c>
    </row>
    <row r="12" spans="1:3" x14ac:dyDescent="0.25">
      <c r="A12">
        <v>2009</v>
      </c>
      <c r="B12">
        <v>1.1235657999999999</v>
      </c>
      <c r="C12">
        <v>1.1109456</v>
      </c>
    </row>
    <row r="13" spans="1:3" x14ac:dyDescent="0.25">
      <c r="A13">
        <v>2010</v>
      </c>
      <c r="B13">
        <v>1.1174297</v>
      </c>
      <c r="C13">
        <v>1.0962045</v>
      </c>
    </row>
    <row r="14" spans="1:3" x14ac:dyDescent="0.25">
      <c r="A14">
        <v>2011</v>
      </c>
      <c r="B14">
        <v>1.1752571000000001</v>
      </c>
      <c r="C14">
        <v>1.0741571999999999</v>
      </c>
    </row>
    <row r="15" spans="1:3" x14ac:dyDescent="0.25">
      <c r="A15">
        <v>2012</v>
      </c>
      <c r="B15">
        <v>1.1641523</v>
      </c>
      <c r="C15">
        <v>1.0773918</v>
      </c>
    </row>
    <row r="16" spans="1:3" x14ac:dyDescent="0.25">
      <c r="A16">
        <v>2013</v>
      </c>
      <c r="B16">
        <v>1.1543002</v>
      </c>
      <c r="C16">
        <v>1.0715574999999999</v>
      </c>
    </row>
    <row r="17" spans="1:3" x14ac:dyDescent="0.25">
      <c r="A17">
        <v>2014</v>
      </c>
      <c r="B17">
        <v>1.1740653999999999</v>
      </c>
      <c r="C17">
        <v>1.0735125999999999</v>
      </c>
    </row>
    <row r="18" spans="1:3" x14ac:dyDescent="0.25">
      <c r="A18">
        <v>2015</v>
      </c>
      <c r="B18">
        <v>1.2237556000000001</v>
      </c>
      <c r="C18">
        <v>1.0829039</v>
      </c>
    </row>
    <row r="19" spans="1:3" x14ac:dyDescent="0.25">
      <c r="A19">
        <v>2016</v>
      </c>
      <c r="B19">
        <v>1.2534729</v>
      </c>
      <c r="C19">
        <v>1.0905286999999999</v>
      </c>
    </row>
    <row r="20" spans="1:3" x14ac:dyDescent="0.25">
      <c r="A20">
        <v>2017</v>
      </c>
      <c r="B20">
        <v>1.2346163000000001</v>
      </c>
      <c r="C20">
        <v>1.0614066</v>
      </c>
    </row>
    <row r="21" spans="1:3" x14ac:dyDescent="0.25">
      <c r="A21">
        <v>2018</v>
      </c>
      <c r="B21">
        <v>1.2205043</v>
      </c>
      <c r="C21">
        <v>1.072211</v>
      </c>
    </row>
    <row r="22" spans="1:3" x14ac:dyDescent="0.25">
      <c r="A22">
        <v>2019</v>
      </c>
      <c r="B22">
        <v>1.2875517999999999</v>
      </c>
      <c r="C22">
        <v>1.0880019999999999</v>
      </c>
    </row>
    <row r="23" spans="1:3" x14ac:dyDescent="0.25">
      <c r="A23">
        <v>2020</v>
      </c>
      <c r="B23">
        <v>1.3407515000000001</v>
      </c>
      <c r="C23">
        <v>1.2464980000000001</v>
      </c>
    </row>
    <row r="24" spans="1:3" x14ac:dyDescent="0.25">
      <c r="A24">
        <v>2021</v>
      </c>
      <c r="B24">
        <v>1.3335592999999999</v>
      </c>
      <c r="C24">
        <v>1.2326395000000001</v>
      </c>
    </row>
    <row r="25" spans="1:3" x14ac:dyDescent="0.2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7.3927969999999998</v>
      </c>
      <c r="C2" t="s">
        <v>76</v>
      </c>
    </row>
    <row r="3" spans="1:3" x14ac:dyDescent="0.25">
      <c r="A3">
        <v>2023</v>
      </c>
      <c r="B3">
        <v>7.4707619999999997</v>
      </c>
      <c r="C3" t="s">
        <v>76</v>
      </c>
    </row>
    <row r="4" spans="1:3" x14ac:dyDescent="0.25">
      <c r="A4">
        <v>2024</v>
      </c>
      <c r="B4">
        <v>7.5592930000000003</v>
      </c>
      <c r="C4" t="s">
        <v>76</v>
      </c>
    </row>
    <row r="5" spans="1:3" x14ac:dyDescent="0.25">
      <c r="A5">
        <v>2025</v>
      </c>
      <c r="B5">
        <v>7.6499189999999997</v>
      </c>
      <c r="C5" t="s">
        <v>76</v>
      </c>
    </row>
    <row r="6" spans="1:3" x14ac:dyDescent="0.25">
      <c r="A6">
        <v>2026</v>
      </c>
      <c r="B6">
        <v>7.7602130000000002</v>
      </c>
      <c r="C6" t="s">
        <v>76</v>
      </c>
    </row>
    <row r="7" spans="1:3" x14ac:dyDescent="0.25">
      <c r="A7">
        <v>2027</v>
      </c>
      <c r="B7">
        <v>7.8614579999999998</v>
      </c>
      <c r="C7" t="s">
        <v>76</v>
      </c>
    </row>
    <row r="8" spans="1:3" x14ac:dyDescent="0.25">
      <c r="A8">
        <v>2028</v>
      </c>
      <c r="B8">
        <v>7.9572890000000003</v>
      </c>
      <c r="C8" t="s">
        <v>76</v>
      </c>
    </row>
    <row r="9" spans="1:3" x14ac:dyDescent="0.25">
      <c r="A9">
        <v>2029</v>
      </c>
      <c r="B9">
        <v>8.0519449999999999</v>
      </c>
      <c r="C9" t="s">
        <v>76</v>
      </c>
    </row>
    <row r="10" spans="1:3" x14ac:dyDescent="0.25">
      <c r="A10">
        <v>2030</v>
      </c>
      <c r="B10">
        <v>8.1461159999999992</v>
      </c>
      <c r="C10" t="s">
        <v>76</v>
      </c>
    </row>
    <row r="11" spans="1:3" x14ac:dyDescent="0.25">
      <c r="A11">
        <v>2031</v>
      </c>
      <c r="B11">
        <v>8.2402200000000008</v>
      </c>
      <c r="C11" t="s">
        <v>76</v>
      </c>
    </row>
    <row r="12" spans="1:3" x14ac:dyDescent="0.25">
      <c r="A12">
        <v>2032</v>
      </c>
      <c r="B12">
        <v>8.3301979999999993</v>
      </c>
      <c r="C12" t="s">
        <v>76</v>
      </c>
    </row>
    <row r="13" spans="1:3" x14ac:dyDescent="0.25">
      <c r="A13">
        <v>2033</v>
      </c>
      <c r="B13">
        <v>8.4137280000000008</v>
      </c>
      <c r="C13" t="s">
        <v>76</v>
      </c>
    </row>
    <row r="14" spans="1:3" x14ac:dyDescent="0.25">
      <c r="A14">
        <v>2034</v>
      </c>
      <c r="B14">
        <v>8.4938699999999994</v>
      </c>
      <c r="C14" t="s">
        <v>76</v>
      </c>
    </row>
    <row r="15" spans="1:3" x14ac:dyDescent="0.25">
      <c r="A15">
        <v>2035</v>
      </c>
      <c r="B15">
        <v>8.5747199999999992</v>
      </c>
      <c r="C15" t="s">
        <v>76</v>
      </c>
    </row>
    <row r="16" spans="1:3" x14ac:dyDescent="0.25">
      <c r="A16">
        <v>2036</v>
      </c>
      <c r="B16">
        <v>8.6511510000000005</v>
      </c>
      <c r="C16" t="s">
        <v>76</v>
      </c>
    </row>
    <row r="17" spans="1:3" x14ac:dyDescent="0.25">
      <c r="A17">
        <v>2037</v>
      </c>
      <c r="B17">
        <v>8.7229770000000002</v>
      </c>
      <c r="C17" t="s">
        <v>76</v>
      </c>
    </row>
    <row r="18" spans="1:3" x14ac:dyDescent="0.25">
      <c r="A18">
        <v>2038</v>
      </c>
      <c r="B18">
        <v>8.7916480000000004</v>
      </c>
      <c r="C18" t="s">
        <v>76</v>
      </c>
    </row>
    <row r="19" spans="1:3" x14ac:dyDescent="0.25">
      <c r="A19">
        <v>2039</v>
      </c>
      <c r="B19">
        <v>8.8534970000000008</v>
      </c>
      <c r="C19" t="s">
        <v>76</v>
      </c>
    </row>
    <row r="20" spans="1:3" x14ac:dyDescent="0.25">
      <c r="A20">
        <v>2040</v>
      </c>
      <c r="B20">
        <v>8.9166889999999999</v>
      </c>
      <c r="C20" t="s">
        <v>76</v>
      </c>
    </row>
    <row r="21" spans="1:3" x14ac:dyDescent="0.25">
      <c r="A21">
        <v>2041</v>
      </c>
      <c r="B21">
        <v>8.9748730000000005</v>
      </c>
      <c r="C21" t="s">
        <v>76</v>
      </c>
    </row>
    <row r="22" spans="1:3" x14ac:dyDescent="0.25">
      <c r="A22">
        <v>2042</v>
      </c>
      <c r="B22">
        <v>9.0285069999999994</v>
      </c>
      <c r="C22" t="s">
        <v>76</v>
      </c>
    </row>
    <row r="23" spans="1:3" x14ac:dyDescent="0.25">
      <c r="A23">
        <v>2043</v>
      </c>
      <c r="B23">
        <v>9.0786359999999995</v>
      </c>
      <c r="C23" t="s">
        <v>76</v>
      </c>
    </row>
    <row r="24" spans="1:3" x14ac:dyDescent="0.25">
      <c r="A24">
        <v>2044</v>
      </c>
      <c r="B24">
        <v>9.1209919999999993</v>
      </c>
      <c r="C24" t="s">
        <v>76</v>
      </c>
    </row>
    <row r="25" spans="1:3" x14ac:dyDescent="0.25">
      <c r="A25">
        <v>2045</v>
      </c>
      <c r="B25">
        <v>9.1645719999999997</v>
      </c>
      <c r="C25" t="s">
        <v>76</v>
      </c>
    </row>
    <row r="26" spans="1:3" x14ac:dyDescent="0.25">
      <c r="A26">
        <v>2046</v>
      </c>
      <c r="B26">
        <v>9.2032559999999997</v>
      </c>
      <c r="C26" t="s">
        <v>76</v>
      </c>
    </row>
    <row r="27" spans="1:3" x14ac:dyDescent="0.25">
      <c r="A27">
        <v>2047</v>
      </c>
      <c r="B27">
        <v>9.2398659999999992</v>
      </c>
      <c r="C27" t="s">
        <v>76</v>
      </c>
    </row>
    <row r="28" spans="1:3" x14ac:dyDescent="0.25">
      <c r="A28">
        <v>2048</v>
      </c>
      <c r="B28">
        <v>9.2775470000000002</v>
      </c>
      <c r="C28" t="s">
        <v>76</v>
      </c>
    </row>
    <row r="29" spans="1:3" x14ac:dyDescent="0.25">
      <c r="A29">
        <v>2049</v>
      </c>
      <c r="B29">
        <v>9.3134490000000003</v>
      </c>
      <c r="C29" t="s">
        <v>76</v>
      </c>
    </row>
    <row r="30" spans="1:3" x14ac:dyDescent="0.25">
      <c r="A30">
        <v>2050</v>
      </c>
      <c r="B30">
        <v>9.3576160000000002</v>
      </c>
      <c r="C30" t="s">
        <v>76</v>
      </c>
    </row>
    <row r="31" spans="1:3" x14ac:dyDescent="0.25">
      <c r="A31">
        <v>2051</v>
      </c>
      <c r="B31">
        <v>9.3973720000000007</v>
      </c>
      <c r="C31" t="s">
        <v>76</v>
      </c>
    </row>
    <row r="32" spans="1:3" x14ac:dyDescent="0.25">
      <c r="A32">
        <v>2052</v>
      </c>
      <c r="B32">
        <v>9.4313420000000008</v>
      </c>
      <c r="C32" t="s">
        <v>76</v>
      </c>
    </row>
    <row r="33" spans="1:3" x14ac:dyDescent="0.25">
      <c r="A33">
        <v>2053</v>
      </c>
      <c r="B33">
        <v>9.4634769999999993</v>
      </c>
      <c r="C33" t="s">
        <v>76</v>
      </c>
    </row>
    <row r="34" spans="1:3" x14ac:dyDescent="0.25">
      <c r="A34">
        <v>2054</v>
      </c>
      <c r="B34">
        <v>9.4942259999999994</v>
      </c>
      <c r="C34" t="s">
        <v>76</v>
      </c>
    </row>
    <row r="35" spans="1:3" x14ac:dyDescent="0.25">
      <c r="A35">
        <v>2055</v>
      </c>
      <c r="B35">
        <v>9.5289289999999998</v>
      </c>
      <c r="C35" t="s">
        <v>76</v>
      </c>
    </row>
    <row r="36" spans="1:3" x14ac:dyDescent="0.25">
      <c r="A36">
        <v>2056</v>
      </c>
      <c r="B36">
        <v>9.5619750000000003</v>
      </c>
      <c r="C36" t="s">
        <v>76</v>
      </c>
    </row>
    <row r="37" spans="1:3" x14ac:dyDescent="0.25">
      <c r="A37">
        <v>2057</v>
      </c>
      <c r="B37">
        <v>9.5962990000000001</v>
      </c>
      <c r="C37" t="s">
        <v>76</v>
      </c>
    </row>
    <row r="38" spans="1:3" x14ac:dyDescent="0.25">
      <c r="A38">
        <v>2058</v>
      </c>
      <c r="B38">
        <v>9.6339089999999992</v>
      </c>
      <c r="C38" t="s">
        <v>76</v>
      </c>
    </row>
    <row r="39" spans="1:3" x14ac:dyDescent="0.25">
      <c r="A39">
        <v>2059</v>
      </c>
      <c r="B39">
        <v>9.6752439999999993</v>
      </c>
      <c r="C39" t="s">
        <v>76</v>
      </c>
    </row>
    <row r="40" spans="1:3" x14ac:dyDescent="0.25">
      <c r="A40">
        <v>2060</v>
      </c>
      <c r="B40">
        <v>9.7236860000000007</v>
      </c>
      <c r="C40" t="s">
        <v>76</v>
      </c>
    </row>
    <row r="41" spans="1:3" x14ac:dyDescent="0.25">
      <c r="A41">
        <v>2061</v>
      </c>
      <c r="B41">
        <v>9.7740270000000002</v>
      </c>
      <c r="C41" t="s">
        <v>76</v>
      </c>
    </row>
    <row r="42" spans="1:3" x14ac:dyDescent="0.25">
      <c r="A42">
        <v>2062</v>
      </c>
      <c r="B42">
        <v>9.8294339999999991</v>
      </c>
      <c r="C42" t="s">
        <v>76</v>
      </c>
    </row>
    <row r="43" spans="1:3" x14ac:dyDescent="0.25">
      <c r="A43">
        <v>1999</v>
      </c>
      <c r="B43">
        <v>5.5089249999999996</v>
      </c>
      <c r="C43" t="s">
        <v>72</v>
      </c>
    </row>
    <row r="44" spans="1:3" x14ac:dyDescent="0.25">
      <c r="A44">
        <v>2000</v>
      </c>
      <c r="B44">
        <v>5.6993739999999997</v>
      </c>
      <c r="C44" t="s">
        <v>72</v>
      </c>
    </row>
    <row r="45" spans="1:3" x14ac:dyDescent="0.25">
      <c r="A45">
        <v>2001</v>
      </c>
      <c r="B45">
        <v>5.4858669999999998</v>
      </c>
      <c r="C45" t="s">
        <v>72</v>
      </c>
    </row>
    <row r="46" spans="1:3" x14ac:dyDescent="0.25">
      <c r="A46">
        <v>2002</v>
      </c>
      <c r="B46">
        <v>5.6428630000000002</v>
      </c>
      <c r="C46" t="s">
        <v>72</v>
      </c>
    </row>
    <row r="47" spans="1:3" x14ac:dyDescent="0.25">
      <c r="A47">
        <v>2003</v>
      </c>
      <c r="B47">
        <v>5.6727990000000004</v>
      </c>
      <c r="C47" t="s">
        <v>72</v>
      </c>
    </row>
    <row r="48" spans="1:3" x14ac:dyDescent="0.25">
      <c r="A48">
        <v>2004</v>
      </c>
      <c r="B48">
        <v>5.7385590000000004</v>
      </c>
      <c r="C48" t="s">
        <v>72</v>
      </c>
    </row>
    <row r="49" spans="1:3" x14ac:dyDescent="0.25">
      <c r="A49">
        <v>2005</v>
      </c>
      <c r="B49">
        <v>5.955756</v>
      </c>
      <c r="C49" t="s">
        <v>72</v>
      </c>
    </row>
    <row r="50" spans="1:3" x14ac:dyDescent="0.25">
      <c r="A50">
        <v>2006</v>
      </c>
      <c r="B50">
        <v>5.8993219999999997</v>
      </c>
      <c r="C50" t="s">
        <v>72</v>
      </c>
    </row>
    <row r="51" spans="1:3" x14ac:dyDescent="0.25">
      <c r="A51">
        <v>2007</v>
      </c>
      <c r="B51">
        <v>5.8391510000000002</v>
      </c>
      <c r="C51" t="s">
        <v>72</v>
      </c>
    </row>
    <row r="52" spans="1:3" x14ac:dyDescent="0.25">
      <c r="A52">
        <v>2008</v>
      </c>
      <c r="B52">
        <v>5.9086129999999999</v>
      </c>
      <c r="C52" t="s">
        <v>72</v>
      </c>
    </row>
    <row r="53" spans="1:3" x14ac:dyDescent="0.25">
      <c r="A53">
        <v>2009</v>
      </c>
      <c r="B53">
        <v>6.3324420000000003</v>
      </c>
      <c r="C53" t="s">
        <v>72</v>
      </c>
    </row>
    <row r="54" spans="1:3" x14ac:dyDescent="0.25">
      <c r="A54">
        <v>2010</v>
      </c>
      <c r="B54">
        <v>6.335623</v>
      </c>
      <c r="C54" t="s">
        <v>72</v>
      </c>
    </row>
    <row r="55" spans="1:3" x14ac:dyDescent="0.25">
      <c r="A55">
        <v>2011</v>
      </c>
      <c r="B55">
        <v>6.3005100000000001</v>
      </c>
      <c r="C55" t="s">
        <v>72</v>
      </c>
    </row>
    <row r="56" spans="1:3" x14ac:dyDescent="0.25">
      <c r="A56">
        <v>2012</v>
      </c>
      <c r="B56">
        <v>6.5884470000000004</v>
      </c>
      <c r="C56" t="s">
        <v>72</v>
      </c>
    </row>
    <row r="57" spans="1:3" x14ac:dyDescent="0.25">
      <c r="A57">
        <v>2013</v>
      </c>
      <c r="B57">
        <v>6.5151440000000003</v>
      </c>
      <c r="C57" t="s">
        <v>72</v>
      </c>
    </row>
    <row r="58" spans="1:3" x14ac:dyDescent="0.25">
      <c r="A58">
        <v>2014</v>
      </c>
      <c r="B58">
        <v>6.5683069999999999</v>
      </c>
      <c r="C58" t="s">
        <v>72</v>
      </c>
    </row>
    <row r="59" spans="1:3" x14ac:dyDescent="0.25">
      <c r="A59">
        <v>2015</v>
      </c>
      <c r="B59">
        <v>6.7168169999999998</v>
      </c>
      <c r="C59" t="s">
        <v>72</v>
      </c>
    </row>
    <row r="60" spans="1:3" x14ac:dyDescent="0.25">
      <c r="A60">
        <v>2016</v>
      </c>
      <c r="B60">
        <v>6.828322</v>
      </c>
      <c r="C60" t="s">
        <v>72</v>
      </c>
    </row>
    <row r="61" spans="1:3" x14ac:dyDescent="0.25">
      <c r="A61">
        <v>2017</v>
      </c>
      <c r="B61">
        <v>6.8818489999999999</v>
      </c>
      <c r="C61" t="s">
        <v>72</v>
      </c>
    </row>
    <row r="62" spans="1:3" x14ac:dyDescent="0.25">
      <c r="A62">
        <v>2018</v>
      </c>
      <c r="B62">
        <v>6.9627030000000003</v>
      </c>
      <c r="C62" t="s">
        <v>72</v>
      </c>
    </row>
    <row r="63" spans="1:3" x14ac:dyDescent="0.25">
      <c r="A63">
        <v>2019</v>
      </c>
      <c r="B63">
        <v>6.9447910000000004</v>
      </c>
      <c r="C63" t="s">
        <v>72</v>
      </c>
    </row>
    <row r="64" spans="1:3" x14ac:dyDescent="0.25">
      <c r="A64">
        <v>2020</v>
      </c>
      <c r="B64">
        <v>7.4859960000000001</v>
      </c>
      <c r="C64" t="s">
        <v>72</v>
      </c>
    </row>
    <row r="65" spans="1:3" x14ac:dyDescent="0.2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5" x14ac:dyDescent="0.25"/>
  <cols>
    <col min="1" max="1" width="11.140625" customWidth="1"/>
  </cols>
  <sheetData>
    <row r="1" spans="1:2" x14ac:dyDescent="0.25">
      <c r="A1" t="s">
        <v>3</v>
      </c>
      <c r="B1" t="s">
        <v>182</v>
      </c>
    </row>
    <row r="2" spans="1:2" x14ac:dyDescent="0.25">
      <c r="A2">
        <v>1999</v>
      </c>
      <c r="B2">
        <v>9.9195916252470777</v>
      </c>
    </row>
    <row r="3" spans="1:2" x14ac:dyDescent="0.25">
      <c r="A3">
        <v>2000</v>
      </c>
      <c r="B3">
        <v>9.425041556490207</v>
      </c>
    </row>
    <row r="4" spans="1:2" x14ac:dyDescent="0.25">
      <c r="A4">
        <v>2001</v>
      </c>
      <c r="B4">
        <v>10.492493366621511</v>
      </c>
    </row>
    <row r="5" spans="1:2" x14ac:dyDescent="0.25">
      <c r="A5">
        <v>2002</v>
      </c>
      <c r="B5">
        <v>10.140947745821897</v>
      </c>
    </row>
    <row r="6" spans="1:2" x14ac:dyDescent="0.25">
      <c r="A6">
        <v>2003</v>
      </c>
      <c r="B6">
        <v>9.9254354333586896</v>
      </c>
    </row>
    <row r="7" spans="1:2" x14ac:dyDescent="0.25">
      <c r="A7">
        <v>2004</v>
      </c>
      <c r="B7">
        <v>10.163112096136903</v>
      </c>
    </row>
    <row r="8" spans="1:2" x14ac:dyDescent="0.25">
      <c r="A8">
        <v>2005</v>
      </c>
      <c r="B8">
        <v>9.8528560747821459</v>
      </c>
    </row>
    <row r="9" spans="1:2" x14ac:dyDescent="0.25">
      <c r="A9">
        <v>2006</v>
      </c>
      <c r="B9">
        <v>9.6147255889802299</v>
      </c>
    </row>
    <row r="10" spans="1:2" x14ac:dyDescent="0.25">
      <c r="A10">
        <v>2007</v>
      </c>
      <c r="B10">
        <v>9.396948067049502</v>
      </c>
    </row>
    <row r="11" spans="1:2" x14ac:dyDescent="0.25">
      <c r="A11">
        <v>2008</v>
      </c>
      <c r="B11">
        <v>9.1367143456485813</v>
      </c>
    </row>
    <row r="12" spans="1:2" x14ac:dyDescent="0.25">
      <c r="A12">
        <v>2009</v>
      </c>
      <c r="B12">
        <v>11.305502317203713</v>
      </c>
    </row>
    <row r="13" spans="1:2" x14ac:dyDescent="0.25">
      <c r="A13">
        <v>2010</v>
      </c>
      <c r="B13">
        <v>9.4205430738555762</v>
      </c>
    </row>
    <row r="14" spans="1:2" x14ac:dyDescent="0.25">
      <c r="A14">
        <v>2011</v>
      </c>
      <c r="B14">
        <v>9.2146572581195088</v>
      </c>
    </row>
    <row r="15" spans="1:2" x14ac:dyDescent="0.25">
      <c r="A15">
        <v>2012</v>
      </c>
      <c r="B15">
        <v>9.5662987413541938</v>
      </c>
    </row>
    <row r="16" spans="1:2" x14ac:dyDescent="0.25">
      <c r="A16">
        <v>2013</v>
      </c>
      <c r="B16">
        <v>9.698185508609761</v>
      </c>
    </row>
    <row r="17" spans="1:2" x14ac:dyDescent="0.25">
      <c r="A17">
        <v>2014</v>
      </c>
      <c r="B17">
        <v>9.9782100800987035</v>
      </c>
    </row>
    <row r="18" spans="1:2" x14ac:dyDescent="0.25">
      <c r="A18">
        <v>2015</v>
      </c>
      <c r="B18">
        <v>10.365229925140653</v>
      </c>
    </row>
    <row r="19" spans="1:2" x14ac:dyDescent="0.25">
      <c r="A19">
        <v>2016</v>
      </c>
      <c r="B19">
        <v>10.335451625605479</v>
      </c>
    </row>
    <row r="20" spans="1:2" x14ac:dyDescent="0.25">
      <c r="A20">
        <v>2017</v>
      </c>
      <c r="B20">
        <v>9.8227329413860698</v>
      </c>
    </row>
    <row r="21" spans="1:2" x14ac:dyDescent="0.25">
      <c r="A21">
        <v>2018</v>
      </c>
      <c r="B21">
        <v>9.5050808387349175</v>
      </c>
    </row>
    <row r="22" spans="1:2" x14ac:dyDescent="0.25">
      <c r="A22">
        <v>2019</v>
      </c>
      <c r="B22">
        <v>9.4909029393275723</v>
      </c>
    </row>
    <row r="23" spans="1:2" x14ac:dyDescent="0.25">
      <c r="A23">
        <v>2020</v>
      </c>
      <c r="B23">
        <v>11.547639547020921</v>
      </c>
    </row>
    <row r="24" spans="1:2" x14ac:dyDescent="0.25">
      <c r="A24">
        <v>2021</v>
      </c>
      <c r="B24">
        <v>11.004611045591105</v>
      </c>
    </row>
    <row r="25" spans="1:2" x14ac:dyDescent="0.25">
      <c r="A25">
        <v>2022</v>
      </c>
      <c r="B25">
        <v>9.9006172017513308</v>
      </c>
    </row>
    <row r="26" spans="1:2" x14ac:dyDescent="0.25">
      <c r="A26">
        <v>2023</v>
      </c>
      <c r="B26">
        <v>9.5673490029343995</v>
      </c>
    </row>
    <row r="27" spans="1:2" x14ac:dyDescent="0.2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5" x14ac:dyDescent="0.25"/>
  <sheetData>
    <row r="1" spans="1:42" x14ac:dyDescent="0.2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2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2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2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2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2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2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2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2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2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2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2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2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2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2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2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2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2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2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2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2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2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2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2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5" x14ac:dyDescent="0.25"/>
  <sheetData>
    <row r="1" spans="1:6" x14ac:dyDescent="0.2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2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2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2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2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2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2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2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2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2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2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2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2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2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2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2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2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2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2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2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2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2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2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2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2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2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2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5" x14ac:dyDescent="0.25"/>
  <sheetData>
    <row r="1" spans="1:25" x14ac:dyDescent="0.2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>
        <v>2002</v>
      </c>
      <c r="B4">
        <v>0.96338496699999998</v>
      </c>
      <c r="C4">
        <v>1.0683776389999999</v>
      </c>
    </row>
    <row r="5" spans="1:25" x14ac:dyDescent="0.25">
      <c r="A5">
        <v>2003</v>
      </c>
      <c r="B5">
        <v>0.94652073599999997</v>
      </c>
      <c r="C5">
        <v>1.064457693</v>
      </c>
    </row>
    <row r="6" spans="1:25" x14ac:dyDescent="0.25">
      <c r="A6">
        <v>2004</v>
      </c>
      <c r="B6">
        <v>1.037200839</v>
      </c>
      <c r="C6">
        <v>1.0954229559999999</v>
      </c>
    </row>
    <row r="7" spans="1:25" x14ac:dyDescent="0.25">
      <c r="A7">
        <v>2005</v>
      </c>
      <c r="B7">
        <v>0.94428536500000004</v>
      </c>
      <c r="C7">
        <v>1.09018433</v>
      </c>
    </row>
    <row r="8" spans="1:25" x14ac:dyDescent="0.25">
      <c r="A8">
        <v>2006</v>
      </c>
      <c r="B8">
        <v>0.91871979400000003</v>
      </c>
      <c r="C8">
        <v>1.0669802820000001</v>
      </c>
    </row>
    <row r="9" spans="1:25" x14ac:dyDescent="0.25">
      <c r="A9">
        <v>2007</v>
      </c>
      <c r="B9">
        <v>0.89879124099999996</v>
      </c>
      <c r="C9">
        <v>1.0576320690000001</v>
      </c>
    </row>
    <row r="10" spans="1:25" x14ac:dyDescent="0.25">
      <c r="A10">
        <v>2008</v>
      </c>
      <c r="B10">
        <v>0.88743561299999996</v>
      </c>
      <c r="C10">
        <v>1.0505070329999999</v>
      </c>
    </row>
    <row r="11" spans="1:25" x14ac:dyDescent="0.25">
      <c r="A11">
        <v>2009</v>
      </c>
      <c r="B11">
        <v>0.93840327499999998</v>
      </c>
      <c r="C11">
        <v>1.336205927</v>
      </c>
    </row>
    <row r="12" spans="1:25" x14ac:dyDescent="0.25">
      <c r="A12">
        <v>2010</v>
      </c>
      <c r="B12">
        <v>0.93608254400000002</v>
      </c>
      <c r="C12">
        <v>1.0838232910000001</v>
      </c>
    </row>
    <row r="13" spans="1:25" x14ac:dyDescent="0.25">
      <c r="A13">
        <v>2011</v>
      </c>
      <c r="B13">
        <v>0.96307673500000002</v>
      </c>
      <c r="C13">
        <v>1.089229735</v>
      </c>
    </row>
    <row r="14" spans="1:25" x14ac:dyDescent="0.25">
      <c r="A14">
        <v>2012</v>
      </c>
      <c r="B14">
        <v>1.0180966979999999</v>
      </c>
      <c r="C14">
        <v>1.1101791679999999</v>
      </c>
    </row>
    <row r="15" spans="1:25" x14ac:dyDescent="0.25">
      <c r="A15">
        <v>2013</v>
      </c>
      <c r="B15">
        <v>0.98583702100000004</v>
      </c>
      <c r="C15">
        <v>1.114595658</v>
      </c>
    </row>
    <row r="16" spans="1:25" x14ac:dyDescent="0.25">
      <c r="A16">
        <v>2014</v>
      </c>
      <c r="B16">
        <v>0.99035262199999996</v>
      </c>
      <c r="C16">
        <v>1.147913381</v>
      </c>
    </row>
    <row r="17" spans="1:3" x14ac:dyDescent="0.25">
      <c r="A17">
        <v>2015</v>
      </c>
      <c r="B17">
        <v>1.0420144870000001</v>
      </c>
      <c r="C17">
        <v>1.2141784229999999</v>
      </c>
    </row>
    <row r="18" spans="1:3" x14ac:dyDescent="0.25">
      <c r="A18">
        <v>2016</v>
      </c>
      <c r="B18">
        <v>1.0836238069999999</v>
      </c>
      <c r="C18">
        <v>1.222826365</v>
      </c>
    </row>
    <row r="19" spans="1:3" x14ac:dyDescent="0.25">
      <c r="A19">
        <v>2017</v>
      </c>
      <c r="B19">
        <v>1.130312714</v>
      </c>
      <c r="C19">
        <v>1.149365191</v>
      </c>
    </row>
    <row r="20" spans="1:3" x14ac:dyDescent="0.25">
      <c r="A20">
        <v>2018</v>
      </c>
      <c r="B20">
        <v>1.185812511</v>
      </c>
      <c r="C20">
        <v>1.1171193340000001</v>
      </c>
    </row>
    <row r="21" spans="1:3" x14ac:dyDescent="0.25">
      <c r="A21">
        <v>2019</v>
      </c>
      <c r="B21">
        <v>1.2024772669999999</v>
      </c>
      <c r="C21">
        <v>1.0977681290000001</v>
      </c>
    </row>
    <row r="22" spans="1:3" x14ac:dyDescent="0.25">
      <c r="A22">
        <v>2020</v>
      </c>
      <c r="B22">
        <v>1.3691993010000001</v>
      </c>
      <c r="C22">
        <v>1.2507106880000001</v>
      </c>
    </row>
    <row r="23" spans="1:3" x14ac:dyDescent="0.25">
      <c r="A23">
        <v>2021</v>
      </c>
      <c r="B23">
        <v>1.232471753</v>
      </c>
      <c r="C23">
        <v>1.1452513550000001</v>
      </c>
    </row>
    <row r="24" spans="1:3" x14ac:dyDescent="0.25">
      <c r="A24">
        <v>2022</v>
      </c>
      <c r="B24">
        <v>1.122508641</v>
      </c>
      <c r="C24">
        <v>0.96955143700000002</v>
      </c>
    </row>
    <row r="25" spans="1:3" x14ac:dyDescent="0.2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5" x14ac:dyDescent="0.25"/>
  <sheetData>
    <row r="1" spans="1:4" x14ac:dyDescent="0.25">
      <c r="A1" t="s">
        <v>3</v>
      </c>
      <c r="B1" t="s">
        <v>55</v>
      </c>
      <c r="C1" t="s">
        <v>56</v>
      </c>
      <c r="D1" t="s">
        <v>20</v>
      </c>
    </row>
    <row r="2" spans="1:4" x14ac:dyDescent="0.2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2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2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2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2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2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2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2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2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2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2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2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2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2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2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2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2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2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2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2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2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2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2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2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2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2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5" x14ac:dyDescent="0.25"/>
  <sheetData>
    <row r="1" spans="1:3" x14ac:dyDescent="0.25">
      <c r="A1" t="s">
        <v>51</v>
      </c>
      <c r="B1" t="s">
        <v>52</v>
      </c>
      <c r="C1" t="s">
        <v>53</v>
      </c>
    </row>
    <row r="2" spans="1:3" x14ac:dyDescent="0.25">
      <c r="A2" t="s">
        <v>54</v>
      </c>
      <c r="B2" t="s">
        <v>55</v>
      </c>
      <c r="C2">
        <v>1.491780594663684</v>
      </c>
    </row>
    <row r="3" spans="1:3" x14ac:dyDescent="0.25">
      <c r="A3" t="s">
        <v>54</v>
      </c>
      <c r="B3" t="s">
        <v>56</v>
      </c>
      <c r="C3">
        <v>-0.38394545677378611</v>
      </c>
    </row>
    <row r="4" spans="1:3" x14ac:dyDescent="0.25">
      <c r="A4" t="s">
        <v>54</v>
      </c>
      <c r="B4" t="s">
        <v>20</v>
      </c>
      <c r="C4">
        <v>-0.12946901681740558</v>
      </c>
    </row>
    <row r="5" spans="1:3" x14ac:dyDescent="0.25">
      <c r="A5" t="s">
        <v>57</v>
      </c>
      <c r="B5" t="s">
        <v>55</v>
      </c>
      <c r="C5">
        <v>0.57386807147948193</v>
      </c>
    </row>
    <row r="6" spans="1:3" x14ac:dyDescent="0.25">
      <c r="A6" t="s">
        <v>57</v>
      </c>
      <c r="B6" t="s">
        <v>56</v>
      </c>
      <c r="C6">
        <v>-1.0609170771408007</v>
      </c>
    </row>
    <row r="7" spans="1:3" x14ac:dyDescent="0.25">
      <c r="A7" t="s">
        <v>57</v>
      </c>
      <c r="B7" t="s">
        <v>20</v>
      </c>
      <c r="C7">
        <v>0.33694549989274108</v>
      </c>
    </row>
    <row r="8" spans="1:3" x14ac:dyDescent="0.25">
      <c r="A8" t="s">
        <v>58</v>
      </c>
      <c r="B8" t="s">
        <v>55</v>
      </c>
      <c r="C8">
        <v>0.2909965244607704</v>
      </c>
    </row>
    <row r="9" spans="1:3" x14ac:dyDescent="0.25">
      <c r="A9" t="s">
        <v>58</v>
      </c>
      <c r="B9" t="s">
        <v>56</v>
      </c>
      <c r="C9">
        <v>-0.8000219451678714</v>
      </c>
    </row>
    <row r="10" spans="1:3" x14ac:dyDescent="0.25">
      <c r="A10" t="s">
        <v>58</v>
      </c>
      <c r="B10" t="s">
        <v>20</v>
      </c>
      <c r="C10">
        <v>0.14199124059394833</v>
      </c>
    </row>
    <row r="11" spans="1:3" x14ac:dyDescent="0.25">
      <c r="A11" t="s">
        <v>305</v>
      </c>
      <c r="B11" t="s">
        <v>55</v>
      </c>
      <c r="C11">
        <v>-4.8885810407685373E-3</v>
      </c>
    </row>
    <row r="12" spans="1:3" x14ac:dyDescent="0.25">
      <c r="A12" t="s">
        <v>305</v>
      </c>
      <c r="B12" t="s">
        <v>56</v>
      </c>
      <c r="C12">
        <v>-0.16624396020955412</v>
      </c>
    </row>
    <row r="13" spans="1:3" x14ac:dyDescent="0.25">
      <c r="A13" t="s">
        <v>305</v>
      </c>
      <c r="B13" t="s">
        <v>20</v>
      </c>
      <c r="C13">
        <v>-9.0226970553236325E-3</v>
      </c>
    </row>
    <row r="14" spans="1:3" x14ac:dyDescent="0.25">
      <c r="A14" t="s">
        <v>20</v>
      </c>
      <c r="B14" t="s">
        <v>55</v>
      </c>
      <c r="C14">
        <v>7.1928138143494968E-3</v>
      </c>
    </row>
    <row r="15" spans="1:3" x14ac:dyDescent="0.25">
      <c r="A15" t="s">
        <v>20</v>
      </c>
      <c r="B15" t="s">
        <v>56</v>
      </c>
      <c r="C15">
        <v>-0.11882359903098259</v>
      </c>
    </row>
    <row r="16" spans="1:3" x14ac:dyDescent="0.2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51</v>
      </c>
      <c r="B1" t="s">
        <v>60</v>
      </c>
    </row>
    <row r="2" spans="1:2" x14ac:dyDescent="0.25">
      <c r="A2" t="s">
        <v>61</v>
      </c>
      <c r="B2">
        <v>0.9</v>
      </c>
    </row>
    <row r="3" spans="1:2" x14ac:dyDescent="0.25">
      <c r="A3" t="s">
        <v>62</v>
      </c>
      <c r="B3">
        <v>1.35</v>
      </c>
    </row>
    <row r="4" spans="1:2" x14ac:dyDescent="0.25">
      <c r="A4" t="s">
        <v>306</v>
      </c>
      <c r="B4">
        <v>0.25</v>
      </c>
    </row>
    <row r="5" spans="1:2" x14ac:dyDescent="0.25">
      <c r="A5" t="s">
        <v>63</v>
      </c>
      <c r="B5">
        <v>-0.15</v>
      </c>
    </row>
    <row r="6" spans="1:2" x14ac:dyDescent="0.25">
      <c r="A6" t="s">
        <v>58</v>
      </c>
      <c r="B6">
        <v>-0.45</v>
      </c>
    </row>
    <row r="7" spans="1:2" x14ac:dyDescent="0.25">
      <c r="A7" t="s">
        <v>307</v>
      </c>
      <c r="B7">
        <v>-0.25</v>
      </c>
    </row>
    <row r="8" spans="1:2" x14ac:dyDescent="0.2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5" x14ac:dyDescent="0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5" x14ac:dyDescent="0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5" x14ac:dyDescent="0.25"/>
  <sheetData>
    <row r="1" spans="1:2" ht="13.5" customHeight="1" x14ac:dyDescent="0.25">
      <c r="A1" t="s">
        <v>14</v>
      </c>
      <c r="B1" t="s">
        <v>64</v>
      </c>
    </row>
    <row r="2" spans="1:2" x14ac:dyDescent="0.25">
      <c r="A2">
        <v>1999</v>
      </c>
      <c r="B2">
        <v>5.08392</v>
      </c>
    </row>
    <row r="3" spans="1:2" x14ac:dyDescent="0.25">
      <c r="A3">
        <v>2000</v>
      </c>
      <c r="B3">
        <v>5.0002040000000001</v>
      </c>
    </row>
    <row r="4" spans="1:2" x14ac:dyDescent="0.25">
      <c r="A4">
        <v>2001</v>
      </c>
      <c r="B4">
        <v>5.1452150000000003</v>
      </c>
    </row>
    <row r="5" spans="1:2" x14ac:dyDescent="0.25">
      <c r="A5">
        <v>2002</v>
      </c>
      <c r="B5">
        <v>5.1924099999999997</v>
      </c>
    </row>
    <row r="6" spans="1:2" x14ac:dyDescent="0.25">
      <c r="A6">
        <v>2003</v>
      </c>
      <c r="B6">
        <v>5.1972969999999998</v>
      </c>
    </row>
    <row r="7" spans="1:2" x14ac:dyDescent="0.25">
      <c r="A7">
        <v>2004</v>
      </c>
      <c r="B7">
        <v>5.1499459999999999</v>
      </c>
    </row>
    <row r="8" spans="1:2" x14ac:dyDescent="0.25">
      <c r="A8">
        <v>2005</v>
      </c>
      <c r="B8">
        <v>5.1703809999999999</v>
      </c>
    </row>
    <row r="9" spans="1:2" x14ac:dyDescent="0.25">
      <c r="A9">
        <v>2006</v>
      </c>
      <c r="B9">
        <v>5.0542819999999997</v>
      </c>
    </row>
    <row r="10" spans="1:2" x14ac:dyDescent="0.25">
      <c r="A10">
        <v>2007</v>
      </c>
      <c r="B10">
        <v>4.8391070000000003</v>
      </c>
    </row>
    <row r="11" spans="1:2" x14ac:dyDescent="0.25">
      <c r="A11">
        <v>2008</v>
      </c>
      <c r="B11">
        <v>4.7409280000000003</v>
      </c>
    </row>
    <row r="12" spans="1:2" x14ac:dyDescent="0.25">
      <c r="A12">
        <v>2009</v>
      </c>
      <c r="B12">
        <v>5.2277250000000004</v>
      </c>
    </row>
    <row r="13" spans="1:2" x14ac:dyDescent="0.25">
      <c r="A13">
        <v>2010</v>
      </c>
      <c r="B13">
        <v>5.5853900000000003</v>
      </c>
    </row>
    <row r="14" spans="1:2" x14ac:dyDescent="0.25">
      <c r="A14">
        <v>2011</v>
      </c>
      <c r="B14">
        <v>5.4850620000000001</v>
      </c>
    </row>
    <row r="15" spans="1:2" x14ac:dyDescent="0.25">
      <c r="A15">
        <v>2012</v>
      </c>
      <c r="B15">
        <v>5.3394300000000001</v>
      </c>
    </row>
    <row r="16" spans="1:2" x14ac:dyDescent="0.25">
      <c r="A16">
        <v>2013</v>
      </c>
      <c r="B16">
        <v>5.3332709999999999</v>
      </c>
    </row>
    <row r="17" spans="1:2" x14ac:dyDescent="0.25">
      <c r="A17">
        <v>2014</v>
      </c>
      <c r="B17">
        <v>5.315372</v>
      </c>
    </row>
    <row r="18" spans="1:2" x14ac:dyDescent="0.25">
      <c r="A18">
        <v>2015</v>
      </c>
      <c r="B18">
        <v>5.3990369999999999</v>
      </c>
    </row>
    <row r="19" spans="1:2" x14ac:dyDescent="0.25">
      <c r="A19">
        <v>2016</v>
      </c>
      <c r="B19">
        <v>5.3722089999999998</v>
      </c>
    </row>
    <row r="20" spans="1:2" x14ac:dyDescent="0.25">
      <c r="A20">
        <v>2017</v>
      </c>
      <c r="B20">
        <v>5.2933459999999997</v>
      </c>
    </row>
    <row r="21" spans="1:2" x14ac:dyDescent="0.25">
      <c r="A21">
        <v>2018</v>
      </c>
      <c r="B21">
        <v>5.2548009999999996</v>
      </c>
    </row>
    <row r="22" spans="1:2" x14ac:dyDescent="0.25">
      <c r="A22">
        <v>2019</v>
      </c>
      <c r="B22">
        <v>5.2701789999999997</v>
      </c>
    </row>
    <row r="23" spans="1:2" x14ac:dyDescent="0.25">
      <c r="A23">
        <v>2020</v>
      </c>
      <c r="B23">
        <v>5.7698410000000004</v>
      </c>
    </row>
    <row r="24" spans="1:2" x14ac:dyDescent="0.25">
      <c r="A24">
        <v>2021</v>
      </c>
      <c r="B24">
        <v>5.2755200000000002</v>
      </c>
    </row>
    <row r="25" spans="1:2" x14ac:dyDescent="0.25">
      <c r="A25">
        <v>2022</v>
      </c>
      <c r="B25">
        <v>4.9855700000000001</v>
      </c>
    </row>
    <row r="26" spans="1:2" x14ac:dyDescent="0.25">
      <c r="A26">
        <v>2023</v>
      </c>
      <c r="B26">
        <v>4.9795470000000002</v>
      </c>
    </row>
    <row r="27" spans="1:2" x14ac:dyDescent="0.25">
      <c r="A27">
        <v>2024</v>
      </c>
      <c r="B27">
        <v>5.125985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5" x14ac:dyDescent="0.25"/>
  <cols>
    <col min="1" max="1" width="17.85546875" customWidth="1"/>
    <col min="2" max="2" width="13" customWidth="1"/>
    <col min="3" max="3" width="13.7109375" customWidth="1"/>
  </cols>
  <sheetData>
    <row r="1" spans="1:5" ht="15" customHeight="1" x14ac:dyDescent="0.2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25">
      <c r="A2" t="s">
        <v>0</v>
      </c>
      <c r="B2">
        <v>1999</v>
      </c>
      <c r="C2">
        <v>3.7549380000000001</v>
      </c>
      <c r="E2">
        <v>0.6823804</v>
      </c>
    </row>
    <row r="3" spans="1:5" x14ac:dyDescent="0.2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2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2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2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2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25">
      <c r="A8" t="s">
        <v>0</v>
      </c>
      <c r="B8">
        <v>2005</v>
      </c>
      <c r="C8">
        <v>3.738451</v>
      </c>
      <c r="E8">
        <v>0.67110250000000005</v>
      </c>
    </row>
    <row r="9" spans="1:5" x14ac:dyDescent="0.2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2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2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2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2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25">
      <c r="A14" t="s">
        <v>0</v>
      </c>
      <c r="B14">
        <v>2011</v>
      </c>
      <c r="C14">
        <v>3.17144</v>
      </c>
      <c r="E14">
        <v>0.53986460000000003</v>
      </c>
    </row>
    <row r="15" spans="1:5" x14ac:dyDescent="0.2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2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2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2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2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2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2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2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2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2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2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2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2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2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2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2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2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2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2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2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2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2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2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2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2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2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25">
      <c r="A41" t="s">
        <v>44</v>
      </c>
      <c r="B41">
        <v>2014</v>
      </c>
      <c r="C41">
        <v>2.762219</v>
      </c>
      <c r="E41">
        <v>0.4763791</v>
      </c>
    </row>
    <row r="42" spans="1:5" x14ac:dyDescent="0.2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2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2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2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2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2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2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2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1999</v>
      </c>
      <c r="B2">
        <v>5.08392</v>
      </c>
      <c r="C2" t="s">
        <v>71</v>
      </c>
    </row>
    <row r="3" spans="1:3" x14ac:dyDescent="0.25">
      <c r="A3">
        <v>2000</v>
      </c>
      <c r="B3">
        <v>5.0432350000000001</v>
      </c>
      <c r="C3" t="s">
        <v>71</v>
      </c>
    </row>
    <row r="4" spans="1:3" x14ac:dyDescent="0.25">
      <c r="A4">
        <v>2001</v>
      </c>
      <c r="B4">
        <v>5.0167729999999997</v>
      </c>
      <c r="C4" t="s">
        <v>71</v>
      </c>
    </row>
    <row r="5" spans="1:3" x14ac:dyDescent="0.25">
      <c r="A5">
        <v>2002</v>
      </c>
      <c r="B5">
        <v>4.9951860000000003</v>
      </c>
      <c r="C5" t="s">
        <v>71</v>
      </c>
    </row>
    <row r="6" spans="1:3" x14ac:dyDescent="0.25">
      <c r="A6">
        <v>2003</v>
      </c>
      <c r="B6">
        <v>4.9818809999999996</v>
      </c>
      <c r="C6" t="s">
        <v>71</v>
      </c>
    </row>
    <row r="7" spans="1:3" x14ac:dyDescent="0.25">
      <c r="A7">
        <v>2004</v>
      </c>
      <c r="B7">
        <v>4.967231</v>
      </c>
      <c r="C7" t="s">
        <v>71</v>
      </c>
    </row>
    <row r="8" spans="1:3" x14ac:dyDescent="0.25">
      <c r="A8">
        <v>2005</v>
      </c>
      <c r="B8">
        <v>4.9513059999999998</v>
      </c>
      <c r="C8" t="s">
        <v>71</v>
      </c>
    </row>
    <row r="9" spans="1:3" x14ac:dyDescent="0.25">
      <c r="A9">
        <v>2006</v>
      </c>
      <c r="B9">
        <v>4.9330780000000001</v>
      </c>
      <c r="C9" t="s">
        <v>71</v>
      </c>
    </row>
    <row r="10" spans="1:3" x14ac:dyDescent="0.25">
      <c r="A10">
        <v>2007</v>
      </c>
      <c r="B10">
        <v>4.9066000000000001</v>
      </c>
      <c r="C10" t="s">
        <v>71</v>
      </c>
    </row>
    <row r="11" spans="1:3" x14ac:dyDescent="0.25">
      <c r="A11">
        <v>2008</v>
      </c>
      <c r="B11">
        <v>4.8868109999999998</v>
      </c>
      <c r="C11" t="s">
        <v>71</v>
      </c>
    </row>
    <row r="12" spans="1:3" x14ac:dyDescent="0.25">
      <c r="A12">
        <v>2009</v>
      </c>
      <c r="B12">
        <v>4.866498</v>
      </c>
      <c r="C12" t="s">
        <v>71</v>
      </c>
    </row>
    <row r="13" spans="1:3" x14ac:dyDescent="0.25">
      <c r="A13">
        <v>2010</v>
      </c>
      <c r="B13">
        <v>4.8309629999999997</v>
      </c>
      <c r="C13" t="s">
        <v>71</v>
      </c>
    </row>
    <row r="14" spans="1:3" x14ac:dyDescent="0.25">
      <c r="A14">
        <v>2011</v>
      </c>
      <c r="B14">
        <v>4.7902370000000003</v>
      </c>
      <c r="C14" t="s">
        <v>71</v>
      </c>
    </row>
    <row r="15" spans="1:3" x14ac:dyDescent="0.25">
      <c r="A15">
        <v>2012</v>
      </c>
      <c r="B15">
        <v>4.7587640000000002</v>
      </c>
      <c r="C15" t="s">
        <v>71</v>
      </c>
    </row>
    <row r="16" spans="1:3" x14ac:dyDescent="0.25">
      <c r="A16">
        <v>2013</v>
      </c>
      <c r="B16">
        <v>4.7347289999999997</v>
      </c>
      <c r="C16" t="s">
        <v>71</v>
      </c>
    </row>
    <row r="17" spans="1:3" x14ac:dyDescent="0.25">
      <c r="A17">
        <v>2014</v>
      </c>
      <c r="B17">
        <v>4.7195119999999999</v>
      </c>
      <c r="C17" t="s">
        <v>71</v>
      </c>
    </row>
    <row r="18" spans="1:3" x14ac:dyDescent="0.25">
      <c r="A18">
        <v>2015</v>
      </c>
      <c r="B18">
        <v>4.7039499999999999</v>
      </c>
      <c r="C18" t="s">
        <v>71</v>
      </c>
    </row>
    <row r="19" spans="1:3" x14ac:dyDescent="0.25">
      <c r="A19">
        <v>2016</v>
      </c>
      <c r="B19">
        <v>4.6864299999999997</v>
      </c>
      <c r="C19" t="s">
        <v>71</v>
      </c>
    </row>
    <row r="20" spans="1:3" x14ac:dyDescent="0.25">
      <c r="A20">
        <v>2017</v>
      </c>
      <c r="B20">
        <v>4.673762</v>
      </c>
      <c r="C20" t="s">
        <v>71</v>
      </c>
    </row>
    <row r="21" spans="1:3" x14ac:dyDescent="0.25">
      <c r="A21">
        <v>2018</v>
      </c>
      <c r="B21">
        <v>4.6623020000000004</v>
      </c>
      <c r="C21" t="s">
        <v>71</v>
      </c>
    </row>
    <row r="22" spans="1:3" x14ac:dyDescent="0.25">
      <c r="A22">
        <v>2019</v>
      </c>
      <c r="B22">
        <v>4.6448119999999999</v>
      </c>
      <c r="C22" t="s">
        <v>71</v>
      </c>
    </row>
    <row r="23" spans="1:3" x14ac:dyDescent="0.25">
      <c r="A23">
        <v>2020</v>
      </c>
      <c r="B23">
        <v>4.5901579999999997</v>
      </c>
      <c r="C23" t="s">
        <v>71</v>
      </c>
    </row>
    <row r="24" spans="1:3" x14ac:dyDescent="0.25">
      <c r="A24">
        <v>2021</v>
      </c>
      <c r="B24">
        <v>4.5170320000000004</v>
      </c>
      <c r="C24" t="s">
        <v>71</v>
      </c>
    </row>
    <row r="25" spans="1:3" x14ac:dyDescent="0.25">
      <c r="A25">
        <v>2022</v>
      </c>
      <c r="B25">
        <v>4.5075370000000001</v>
      </c>
      <c r="C25" t="s">
        <v>71</v>
      </c>
    </row>
    <row r="26" spans="1:3" x14ac:dyDescent="0.25">
      <c r="A26">
        <v>2023</v>
      </c>
      <c r="B26">
        <v>4.5282739999999997</v>
      </c>
      <c r="C26" t="s">
        <v>71</v>
      </c>
    </row>
    <row r="27" spans="1:3" x14ac:dyDescent="0.25">
      <c r="A27">
        <v>2024</v>
      </c>
      <c r="B27">
        <v>4.5228109999999999</v>
      </c>
      <c r="C27" t="s">
        <v>71</v>
      </c>
    </row>
    <row r="28" spans="1:3" x14ac:dyDescent="0.25">
      <c r="A28">
        <v>1999</v>
      </c>
      <c r="B28">
        <v>5.08392</v>
      </c>
      <c r="C28" t="s">
        <v>72</v>
      </c>
    </row>
    <row r="29" spans="1:3" x14ac:dyDescent="0.25">
      <c r="A29">
        <v>2000</v>
      </c>
      <c r="B29">
        <v>5.0002040000000001</v>
      </c>
      <c r="C29" t="s">
        <v>72</v>
      </c>
    </row>
    <row r="30" spans="1:3" x14ac:dyDescent="0.25">
      <c r="A30">
        <v>2001</v>
      </c>
      <c r="B30">
        <v>5.1452150000000003</v>
      </c>
      <c r="C30" t="s">
        <v>72</v>
      </c>
    </row>
    <row r="31" spans="1:3" x14ac:dyDescent="0.25">
      <c r="A31">
        <v>2002</v>
      </c>
      <c r="B31">
        <v>5.1924099999999997</v>
      </c>
      <c r="C31" t="s">
        <v>72</v>
      </c>
    </row>
    <row r="32" spans="1:3" x14ac:dyDescent="0.25">
      <c r="A32">
        <v>2003</v>
      </c>
      <c r="B32">
        <v>5.1972969999999998</v>
      </c>
      <c r="C32" t="s">
        <v>72</v>
      </c>
    </row>
    <row r="33" spans="1:3" x14ac:dyDescent="0.25">
      <c r="A33">
        <v>2004</v>
      </c>
      <c r="B33">
        <v>5.1499459999999999</v>
      </c>
      <c r="C33" t="s">
        <v>72</v>
      </c>
    </row>
    <row r="34" spans="1:3" x14ac:dyDescent="0.25">
      <c r="A34">
        <v>2005</v>
      </c>
      <c r="B34">
        <v>5.1703809999999999</v>
      </c>
      <c r="C34" t="s">
        <v>72</v>
      </c>
    </row>
    <row r="35" spans="1:3" x14ac:dyDescent="0.25">
      <c r="A35">
        <v>2006</v>
      </c>
      <c r="B35">
        <v>5.0542819999999997</v>
      </c>
      <c r="C35" t="s">
        <v>72</v>
      </c>
    </row>
    <row r="36" spans="1:3" x14ac:dyDescent="0.25">
      <c r="A36">
        <v>2007</v>
      </c>
      <c r="B36">
        <v>4.8391070000000003</v>
      </c>
      <c r="C36" t="s">
        <v>72</v>
      </c>
    </row>
    <row r="37" spans="1:3" x14ac:dyDescent="0.25">
      <c r="A37">
        <v>2008</v>
      </c>
      <c r="B37">
        <v>4.7409280000000003</v>
      </c>
      <c r="C37" t="s">
        <v>72</v>
      </c>
    </row>
    <row r="38" spans="1:3" x14ac:dyDescent="0.25">
      <c r="A38">
        <v>2009</v>
      </c>
      <c r="B38">
        <v>5.2277250000000004</v>
      </c>
      <c r="C38" t="s">
        <v>72</v>
      </c>
    </row>
    <row r="39" spans="1:3" x14ac:dyDescent="0.25">
      <c r="A39">
        <v>2010</v>
      </c>
      <c r="B39">
        <v>5.5853900000000003</v>
      </c>
      <c r="C39" t="s">
        <v>72</v>
      </c>
    </row>
    <row r="40" spans="1:3" x14ac:dyDescent="0.25">
      <c r="A40">
        <v>2011</v>
      </c>
      <c r="B40">
        <v>5.4850620000000001</v>
      </c>
      <c r="C40" t="s">
        <v>72</v>
      </c>
    </row>
    <row r="41" spans="1:3" x14ac:dyDescent="0.25">
      <c r="A41">
        <v>2012</v>
      </c>
      <c r="B41">
        <v>5.3394300000000001</v>
      </c>
      <c r="C41" t="s">
        <v>72</v>
      </c>
    </row>
    <row r="42" spans="1:3" x14ac:dyDescent="0.25">
      <c r="A42">
        <v>2013</v>
      </c>
      <c r="B42">
        <v>5.3332709999999999</v>
      </c>
      <c r="C42" t="s">
        <v>72</v>
      </c>
    </row>
    <row r="43" spans="1:3" x14ac:dyDescent="0.25">
      <c r="A43">
        <v>2014</v>
      </c>
      <c r="B43">
        <v>5.315372</v>
      </c>
      <c r="C43" t="s">
        <v>72</v>
      </c>
    </row>
    <row r="44" spans="1:3" x14ac:dyDescent="0.25">
      <c r="A44">
        <v>2015</v>
      </c>
      <c r="B44">
        <v>5.3990369999999999</v>
      </c>
      <c r="C44" t="s">
        <v>72</v>
      </c>
    </row>
    <row r="45" spans="1:3" x14ac:dyDescent="0.25">
      <c r="A45">
        <v>2016</v>
      </c>
      <c r="B45">
        <v>5.3722089999999998</v>
      </c>
      <c r="C45" t="s">
        <v>72</v>
      </c>
    </row>
    <row r="46" spans="1:3" x14ac:dyDescent="0.25">
      <c r="A46">
        <v>2017</v>
      </c>
      <c r="B46">
        <v>5.2933459999999997</v>
      </c>
      <c r="C46" t="s">
        <v>72</v>
      </c>
    </row>
    <row r="47" spans="1:3" x14ac:dyDescent="0.25">
      <c r="A47">
        <v>2018</v>
      </c>
      <c r="B47">
        <v>5.2548009999999996</v>
      </c>
      <c r="C47" t="s">
        <v>72</v>
      </c>
    </row>
    <row r="48" spans="1:3" x14ac:dyDescent="0.25">
      <c r="A48">
        <v>2019</v>
      </c>
      <c r="B48">
        <v>5.2701789999999997</v>
      </c>
      <c r="C48" t="s">
        <v>72</v>
      </c>
    </row>
    <row r="49" spans="1:3" x14ac:dyDescent="0.25">
      <c r="A49">
        <v>2020</v>
      </c>
      <c r="B49">
        <v>5.7698410000000004</v>
      </c>
      <c r="C49" t="s">
        <v>72</v>
      </c>
    </row>
    <row r="50" spans="1:3" x14ac:dyDescent="0.25">
      <c r="A50">
        <v>2021</v>
      </c>
      <c r="B50">
        <v>5.2755200000000002</v>
      </c>
      <c r="C50" t="s">
        <v>72</v>
      </c>
    </row>
    <row r="51" spans="1:3" x14ac:dyDescent="0.25">
      <c r="A51">
        <v>2022</v>
      </c>
      <c r="B51">
        <v>4.9855700000000001</v>
      </c>
      <c r="C51" t="s">
        <v>72</v>
      </c>
    </row>
    <row r="52" spans="1:3" x14ac:dyDescent="0.25">
      <c r="A52">
        <v>2023</v>
      </c>
      <c r="B52">
        <v>4.9795470000000002</v>
      </c>
      <c r="C52" t="s">
        <v>72</v>
      </c>
    </row>
    <row r="53" spans="1:3" x14ac:dyDescent="0.2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5" x14ac:dyDescent="0.25"/>
  <sheetData>
    <row r="1" spans="1:3" x14ac:dyDescent="0.25">
      <c r="A1" t="s">
        <v>73</v>
      </c>
      <c r="B1" t="s">
        <v>74</v>
      </c>
      <c r="C1" t="s">
        <v>75</v>
      </c>
    </row>
    <row r="2" spans="1:3" x14ac:dyDescent="0.25">
      <c r="A2">
        <v>1999</v>
      </c>
      <c r="B2">
        <v>1</v>
      </c>
      <c r="C2">
        <v>1</v>
      </c>
    </row>
    <row r="3" spans="1:3" x14ac:dyDescent="0.25">
      <c r="A3">
        <v>2000</v>
      </c>
      <c r="B3">
        <v>1.0220866</v>
      </c>
      <c r="C3">
        <v>0.9769255</v>
      </c>
    </row>
    <row r="4" spans="1:3" x14ac:dyDescent="0.25">
      <c r="A4">
        <v>2001</v>
      </c>
      <c r="B4">
        <v>1.0376456999999999</v>
      </c>
      <c r="C4">
        <v>0.99942750000000002</v>
      </c>
    </row>
    <row r="5" spans="1:3" x14ac:dyDescent="0.25">
      <c r="A5">
        <v>2002</v>
      </c>
      <c r="B5">
        <v>1.0271839</v>
      </c>
      <c r="C5">
        <v>1.0375540000000001</v>
      </c>
    </row>
    <row r="6" spans="1:3" x14ac:dyDescent="0.25">
      <c r="A6">
        <v>2003</v>
      </c>
      <c r="B6">
        <v>1.0164407</v>
      </c>
      <c r="C6">
        <v>1.0467379999999999</v>
      </c>
    </row>
    <row r="7" spans="1:3" x14ac:dyDescent="0.25">
      <c r="A7">
        <v>2004</v>
      </c>
      <c r="B7">
        <v>1.0363608</v>
      </c>
      <c r="C7">
        <v>1.0305829</v>
      </c>
    </row>
    <row r="8" spans="1:3" x14ac:dyDescent="0.25">
      <c r="A8">
        <v>2005</v>
      </c>
      <c r="B8">
        <v>1.0123405000000001</v>
      </c>
      <c r="C8">
        <v>1.0250083999999999</v>
      </c>
    </row>
    <row r="9" spans="1:3" x14ac:dyDescent="0.25">
      <c r="A9">
        <v>2006</v>
      </c>
      <c r="B9">
        <v>0.97470650000000003</v>
      </c>
      <c r="C9">
        <v>0.99465380000000003</v>
      </c>
    </row>
    <row r="10" spans="1:3" x14ac:dyDescent="0.25">
      <c r="A10">
        <v>2007</v>
      </c>
      <c r="B10">
        <v>0.96822580000000003</v>
      </c>
      <c r="C10">
        <v>0.96822580000000003</v>
      </c>
    </row>
    <row r="11" spans="1:3" x14ac:dyDescent="0.25">
      <c r="A11">
        <v>2008</v>
      </c>
      <c r="B11">
        <v>1.0190398000000001</v>
      </c>
      <c r="C11">
        <v>0.99270020000000003</v>
      </c>
    </row>
    <row r="12" spans="1:3" x14ac:dyDescent="0.25">
      <c r="A12">
        <v>2009</v>
      </c>
      <c r="B12">
        <v>1.2071949</v>
      </c>
      <c r="C12">
        <v>1.0526438</v>
      </c>
    </row>
    <row r="13" spans="1:3" x14ac:dyDescent="0.25">
      <c r="A13">
        <v>2010</v>
      </c>
      <c r="B13">
        <v>1.1674226999999999</v>
      </c>
      <c r="C13">
        <v>1.0288303000000001</v>
      </c>
    </row>
    <row r="14" spans="1:3" x14ac:dyDescent="0.25">
      <c r="A14">
        <v>2011</v>
      </c>
      <c r="B14">
        <v>1.0675675</v>
      </c>
      <c r="C14">
        <v>1.0037167</v>
      </c>
    </row>
    <row r="15" spans="1:3" x14ac:dyDescent="0.25">
      <c r="A15">
        <v>2012</v>
      </c>
      <c r="B15">
        <v>1.0738668</v>
      </c>
      <c r="C15">
        <v>0.99377230000000005</v>
      </c>
    </row>
    <row r="16" spans="1:3" x14ac:dyDescent="0.25">
      <c r="A16">
        <v>2013</v>
      </c>
      <c r="B16">
        <v>1.0479784000000001</v>
      </c>
      <c r="C16">
        <v>0.98065729999999995</v>
      </c>
    </row>
    <row r="17" spans="1:3" x14ac:dyDescent="0.25">
      <c r="A17">
        <v>2014</v>
      </c>
      <c r="B17">
        <v>1.0537296</v>
      </c>
      <c r="C17">
        <v>0.98076600000000003</v>
      </c>
    </row>
    <row r="18" spans="1:3" x14ac:dyDescent="0.25">
      <c r="A18">
        <v>2015</v>
      </c>
      <c r="B18">
        <v>1.0640783</v>
      </c>
      <c r="C18">
        <v>0.97128210000000004</v>
      </c>
    </row>
    <row r="19" spans="1:3" x14ac:dyDescent="0.25">
      <c r="A19">
        <v>2016</v>
      </c>
      <c r="B19">
        <v>1.0435844000000001</v>
      </c>
      <c r="C19">
        <v>0.95532899999999998</v>
      </c>
    </row>
    <row r="20" spans="1:3" x14ac:dyDescent="0.25">
      <c r="A20">
        <v>2017</v>
      </c>
      <c r="B20">
        <v>1.0624461000000001</v>
      </c>
      <c r="C20">
        <v>0.95955420000000002</v>
      </c>
    </row>
    <row r="21" spans="1:3" x14ac:dyDescent="0.25">
      <c r="A21">
        <v>2018</v>
      </c>
      <c r="B21">
        <v>1.0752531000000001</v>
      </c>
      <c r="C21">
        <v>0.96043599999999996</v>
      </c>
    </row>
    <row r="22" spans="1:3" x14ac:dyDescent="0.25">
      <c r="A22">
        <v>2019</v>
      </c>
      <c r="B22">
        <v>1.1546417</v>
      </c>
      <c r="C22">
        <v>0.96050199999999997</v>
      </c>
    </row>
    <row r="23" spans="1:3" x14ac:dyDescent="0.25">
      <c r="A23">
        <v>2020</v>
      </c>
      <c r="B23">
        <v>1.1032557999999999</v>
      </c>
      <c r="C23">
        <v>1.0369553</v>
      </c>
    </row>
    <row r="24" spans="1:3" x14ac:dyDescent="0.25">
      <c r="A24">
        <v>2021</v>
      </c>
      <c r="B24">
        <v>1.0445122</v>
      </c>
      <c r="C24">
        <v>0.98176319999999995</v>
      </c>
    </row>
    <row r="25" spans="1:3" x14ac:dyDescent="0.2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5" x14ac:dyDescent="0.25"/>
  <sheetData>
    <row r="1" spans="1:3" x14ac:dyDescent="0.25">
      <c r="A1" t="s">
        <v>5</v>
      </c>
      <c r="B1" t="s">
        <v>69</v>
      </c>
      <c r="C1" t="s">
        <v>70</v>
      </c>
    </row>
    <row r="2" spans="1:3" x14ac:dyDescent="0.25">
      <c r="A2">
        <v>2022</v>
      </c>
      <c r="B2">
        <v>4.9855700000000001</v>
      </c>
      <c r="C2" t="s">
        <v>76</v>
      </c>
    </row>
    <row r="3" spans="1:3" x14ac:dyDescent="0.25">
      <c r="A3">
        <v>2023</v>
      </c>
      <c r="B3">
        <v>4.9741910000000003</v>
      </c>
      <c r="C3" t="s">
        <v>76</v>
      </c>
    </row>
    <row r="4" spans="1:3" x14ac:dyDescent="0.25">
      <c r="A4">
        <v>2024</v>
      </c>
      <c r="B4">
        <v>4.9596999999999998</v>
      </c>
      <c r="C4" t="s">
        <v>76</v>
      </c>
    </row>
    <row r="5" spans="1:3" x14ac:dyDescent="0.25">
      <c r="A5">
        <v>2025</v>
      </c>
      <c r="B5">
        <v>4.9445100000000002</v>
      </c>
      <c r="C5" t="s">
        <v>76</v>
      </c>
    </row>
    <row r="6" spans="1:3" x14ac:dyDescent="0.25">
      <c r="A6">
        <v>2026</v>
      </c>
      <c r="B6">
        <v>4.9296499999999996</v>
      </c>
      <c r="C6" t="s">
        <v>76</v>
      </c>
    </row>
    <row r="7" spans="1:3" x14ac:dyDescent="0.25">
      <c r="A7">
        <v>2027</v>
      </c>
      <c r="B7">
        <v>4.919988</v>
      </c>
      <c r="C7" t="s">
        <v>76</v>
      </c>
    </row>
    <row r="8" spans="1:3" x14ac:dyDescent="0.25">
      <c r="A8">
        <v>2028</v>
      </c>
      <c r="B8">
        <v>4.9092909999999996</v>
      </c>
      <c r="C8" t="s">
        <v>76</v>
      </c>
    </row>
    <row r="9" spans="1:3" x14ac:dyDescent="0.25">
      <c r="A9">
        <v>2029</v>
      </c>
      <c r="B9">
        <v>4.8955989999999998</v>
      </c>
      <c r="C9" t="s">
        <v>76</v>
      </c>
    </row>
    <row r="10" spans="1:3" x14ac:dyDescent="0.25">
      <c r="A10">
        <v>2030</v>
      </c>
      <c r="B10">
        <v>4.8775700000000004</v>
      </c>
      <c r="C10" t="s">
        <v>76</v>
      </c>
    </row>
    <row r="11" spans="1:3" x14ac:dyDescent="0.25">
      <c r="A11">
        <v>2031</v>
      </c>
      <c r="B11">
        <v>4.8529359999999997</v>
      </c>
      <c r="C11" t="s">
        <v>76</v>
      </c>
    </row>
    <row r="12" spans="1:3" x14ac:dyDescent="0.25">
      <c r="A12">
        <v>2032</v>
      </c>
      <c r="B12">
        <v>4.8205939999999998</v>
      </c>
      <c r="C12" t="s">
        <v>76</v>
      </c>
    </row>
    <row r="13" spans="1:3" x14ac:dyDescent="0.25">
      <c r="A13">
        <v>2033</v>
      </c>
      <c r="B13">
        <v>4.7871540000000001</v>
      </c>
      <c r="C13" t="s">
        <v>76</v>
      </c>
    </row>
    <row r="14" spans="1:3" x14ac:dyDescent="0.25">
      <c r="A14">
        <v>2034</v>
      </c>
      <c r="B14">
        <v>4.7547860000000002</v>
      </c>
      <c r="C14" t="s">
        <v>76</v>
      </c>
    </row>
    <row r="15" spans="1:3" x14ac:dyDescent="0.25">
      <c r="A15">
        <v>2035</v>
      </c>
      <c r="B15">
        <v>4.721781</v>
      </c>
      <c r="C15" t="s">
        <v>76</v>
      </c>
    </row>
    <row r="16" spans="1:3" x14ac:dyDescent="0.25">
      <c r="A16">
        <v>2036</v>
      </c>
      <c r="B16">
        <v>4.6926500000000004</v>
      </c>
      <c r="C16" t="s">
        <v>76</v>
      </c>
    </row>
    <row r="17" spans="1:3" x14ac:dyDescent="0.25">
      <c r="A17">
        <v>2037</v>
      </c>
      <c r="B17">
        <v>4.6640280000000001</v>
      </c>
      <c r="C17" t="s">
        <v>76</v>
      </c>
    </row>
    <row r="18" spans="1:3" x14ac:dyDescent="0.25">
      <c r="A18">
        <v>2038</v>
      </c>
      <c r="B18">
        <v>4.6366610000000001</v>
      </c>
      <c r="C18" t="s">
        <v>76</v>
      </c>
    </row>
    <row r="19" spans="1:3" x14ac:dyDescent="0.25">
      <c r="A19">
        <v>2039</v>
      </c>
      <c r="B19">
        <v>4.6128030000000004</v>
      </c>
      <c r="C19" t="s">
        <v>76</v>
      </c>
    </row>
    <row r="20" spans="1:3" x14ac:dyDescent="0.25">
      <c r="A20">
        <v>2040</v>
      </c>
      <c r="B20">
        <v>4.5924769999999997</v>
      </c>
      <c r="C20" t="s">
        <v>76</v>
      </c>
    </row>
    <row r="21" spans="1:3" x14ac:dyDescent="0.25">
      <c r="A21">
        <v>2041</v>
      </c>
      <c r="B21">
        <v>4.5722329999999998</v>
      </c>
      <c r="C21" t="s">
        <v>76</v>
      </c>
    </row>
    <row r="22" spans="1:3" x14ac:dyDescent="0.25">
      <c r="A22">
        <v>2042</v>
      </c>
      <c r="B22">
        <v>4.5582789999999997</v>
      </c>
      <c r="C22" t="s">
        <v>76</v>
      </c>
    </row>
    <row r="23" spans="1:3" x14ac:dyDescent="0.25">
      <c r="A23">
        <v>2043</v>
      </c>
      <c r="B23">
        <v>4.5485410000000002</v>
      </c>
      <c r="C23" t="s">
        <v>76</v>
      </c>
    </row>
    <row r="24" spans="1:3" x14ac:dyDescent="0.25">
      <c r="A24">
        <v>2044</v>
      </c>
      <c r="B24">
        <v>4.5407529999999996</v>
      </c>
      <c r="C24" t="s">
        <v>76</v>
      </c>
    </row>
    <row r="25" spans="1:3" x14ac:dyDescent="0.25">
      <c r="A25">
        <v>2045</v>
      </c>
      <c r="B25">
        <v>4.5365289999999998</v>
      </c>
      <c r="C25" t="s">
        <v>76</v>
      </c>
    </row>
    <row r="26" spans="1:3" x14ac:dyDescent="0.25">
      <c r="A26">
        <v>2046</v>
      </c>
      <c r="B26">
        <v>4.5312159999999997</v>
      </c>
      <c r="C26" t="s">
        <v>76</v>
      </c>
    </row>
    <row r="27" spans="1:3" x14ac:dyDescent="0.25">
      <c r="A27">
        <v>2047</v>
      </c>
      <c r="B27">
        <v>4.5232789999999996</v>
      </c>
      <c r="C27" t="s">
        <v>76</v>
      </c>
    </row>
    <row r="28" spans="1:3" x14ac:dyDescent="0.25">
      <c r="A28">
        <v>2048</v>
      </c>
      <c r="B28">
        <v>4.516057</v>
      </c>
      <c r="C28" t="s">
        <v>76</v>
      </c>
    </row>
    <row r="29" spans="1:3" x14ac:dyDescent="0.25">
      <c r="A29">
        <v>2049</v>
      </c>
      <c r="B29">
        <v>4.5081959999999999</v>
      </c>
      <c r="C29" t="s">
        <v>76</v>
      </c>
    </row>
    <row r="30" spans="1:3" x14ac:dyDescent="0.25">
      <c r="A30">
        <v>2050</v>
      </c>
      <c r="B30">
        <v>4.4999710000000004</v>
      </c>
      <c r="C30" t="s">
        <v>76</v>
      </c>
    </row>
    <row r="31" spans="1:3" x14ac:dyDescent="0.25">
      <c r="A31">
        <v>2051</v>
      </c>
      <c r="B31">
        <v>4.4916980000000004</v>
      </c>
      <c r="C31" t="s">
        <v>76</v>
      </c>
    </row>
    <row r="32" spans="1:3" x14ac:dyDescent="0.25">
      <c r="A32">
        <v>2052</v>
      </c>
      <c r="B32">
        <v>4.483409</v>
      </c>
      <c r="C32" t="s">
        <v>76</v>
      </c>
    </row>
    <row r="33" spans="1:3" x14ac:dyDescent="0.25">
      <c r="A33">
        <v>2053</v>
      </c>
      <c r="B33">
        <v>4.4748409999999996</v>
      </c>
      <c r="C33" t="s">
        <v>76</v>
      </c>
    </row>
    <row r="34" spans="1:3" x14ac:dyDescent="0.25">
      <c r="A34">
        <v>2054</v>
      </c>
      <c r="B34">
        <v>4.4662090000000001</v>
      </c>
      <c r="C34" t="s">
        <v>76</v>
      </c>
    </row>
    <row r="35" spans="1:3" x14ac:dyDescent="0.25">
      <c r="A35">
        <v>2055</v>
      </c>
      <c r="B35">
        <v>4.4573960000000001</v>
      </c>
      <c r="C35" t="s">
        <v>76</v>
      </c>
    </row>
    <row r="36" spans="1:3" x14ac:dyDescent="0.25">
      <c r="A36">
        <v>2056</v>
      </c>
      <c r="B36">
        <v>4.4485479999999997</v>
      </c>
      <c r="C36" t="s">
        <v>76</v>
      </c>
    </row>
    <row r="37" spans="1:3" x14ac:dyDescent="0.25">
      <c r="A37">
        <v>2057</v>
      </c>
      <c r="B37">
        <v>4.4393010000000004</v>
      </c>
      <c r="C37" t="s">
        <v>76</v>
      </c>
    </row>
    <row r="38" spans="1:3" x14ac:dyDescent="0.25">
      <c r="A38">
        <v>2058</v>
      </c>
      <c r="B38">
        <v>4.429386</v>
      </c>
      <c r="C38" t="s">
        <v>76</v>
      </c>
    </row>
    <row r="39" spans="1:3" x14ac:dyDescent="0.25">
      <c r="A39">
        <v>2059</v>
      </c>
      <c r="B39">
        <v>4.4189670000000003</v>
      </c>
      <c r="C39" t="s">
        <v>76</v>
      </c>
    </row>
    <row r="40" spans="1:3" x14ac:dyDescent="0.25">
      <c r="A40">
        <v>2060</v>
      </c>
      <c r="B40">
        <v>4.4079870000000003</v>
      </c>
      <c r="C40" t="s">
        <v>76</v>
      </c>
    </row>
    <row r="41" spans="1:3" x14ac:dyDescent="0.25">
      <c r="A41">
        <v>2061</v>
      </c>
      <c r="B41">
        <v>4.3963729999999996</v>
      </c>
      <c r="C41" t="s">
        <v>76</v>
      </c>
    </row>
    <row r="42" spans="1:3" x14ac:dyDescent="0.25">
      <c r="A42">
        <v>2062</v>
      </c>
      <c r="B42">
        <v>4.3841979999999996</v>
      </c>
      <c r="C42" t="s">
        <v>76</v>
      </c>
    </row>
    <row r="43" spans="1:3" x14ac:dyDescent="0.25">
      <c r="A43">
        <v>1999</v>
      </c>
      <c r="B43">
        <v>5.08392</v>
      </c>
      <c r="C43" t="s">
        <v>72</v>
      </c>
    </row>
    <row r="44" spans="1:3" x14ac:dyDescent="0.25">
      <c r="A44">
        <v>2000</v>
      </c>
      <c r="B44">
        <v>5.0002040000000001</v>
      </c>
      <c r="C44" t="s">
        <v>72</v>
      </c>
    </row>
    <row r="45" spans="1:3" x14ac:dyDescent="0.25">
      <c r="A45">
        <v>2001</v>
      </c>
      <c r="B45">
        <v>5.1452150000000003</v>
      </c>
      <c r="C45" t="s">
        <v>72</v>
      </c>
    </row>
    <row r="46" spans="1:3" x14ac:dyDescent="0.25">
      <c r="A46">
        <v>2002</v>
      </c>
      <c r="B46">
        <v>5.1924099999999997</v>
      </c>
      <c r="C46" t="s">
        <v>72</v>
      </c>
    </row>
    <row r="47" spans="1:3" x14ac:dyDescent="0.25">
      <c r="A47">
        <v>2003</v>
      </c>
      <c r="B47">
        <v>5.1972969999999998</v>
      </c>
      <c r="C47" t="s">
        <v>72</v>
      </c>
    </row>
    <row r="48" spans="1:3" x14ac:dyDescent="0.25">
      <c r="A48">
        <v>2004</v>
      </c>
      <c r="B48">
        <v>5.1499459999999999</v>
      </c>
      <c r="C48" t="s">
        <v>72</v>
      </c>
    </row>
    <row r="49" spans="1:3" x14ac:dyDescent="0.25">
      <c r="A49">
        <v>2005</v>
      </c>
      <c r="B49">
        <v>5.1703809999999999</v>
      </c>
      <c r="C49" t="s">
        <v>72</v>
      </c>
    </row>
    <row r="50" spans="1:3" x14ac:dyDescent="0.25">
      <c r="A50">
        <v>2006</v>
      </c>
      <c r="B50">
        <v>5.0542819999999997</v>
      </c>
      <c r="C50" t="s">
        <v>72</v>
      </c>
    </row>
    <row r="51" spans="1:3" x14ac:dyDescent="0.25">
      <c r="A51">
        <v>2007</v>
      </c>
      <c r="B51">
        <v>4.8391070000000003</v>
      </c>
      <c r="C51" t="s">
        <v>72</v>
      </c>
    </row>
    <row r="52" spans="1:3" x14ac:dyDescent="0.25">
      <c r="A52">
        <v>2008</v>
      </c>
      <c r="B52">
        <v>4.7409280000000003</v>
      </c>
      <c r="C52" t="s">
        <v>72</v>
      </c>
    </row>
    <row r="53" spans="1:3" x14ac:dyDescent="0.25">
      <c r="A53">
        <v>2009</v>
      </c>
      <c r="B53">
        <v>5.2277250000000004</v>
      </c>
      <c r="C53" t="s">
        <v>72</v>
      </c>
    </row>
    <row r="54" spans="1:3" x14ac:dyDescent="0.25">
      <c r="A54">
        <v>2010</v>
      </c>
      <c r="B54">
        <v>5.5853900000000003</v>
      </c>
      <c r="C54" t="s">
        <v>72</v>
      </c>
    </row>
    <row r="55" spans="1:3" x14ac:dyDescent="0.25">
      <c r="A55">
        <v>2011</v>
      </c>
      <c r="B55">
        <v>5.4850620000000001</v>
      </c>
      <c r="C55" t="s">
        <v>72</v>
      </c>
    </row>
    <row r="56" spans="1:3" x14ac:dyDescent="0.25">
      <c r="A56">
        <v>2012</v>
      </c>
      <c r="B56">
        <v>5.3394300000000001</v>
      </c>
      <c r="C56" t="s">
        <v>72</v>
      </c>
    </row>
    <row r="57" spans="1:3" x14ac:dyDescent="0.25">
      <c r="A57">
        <v>2013</v>
      </c>
      <c r="B57">
        <v>5.3332709999999999</v>
      </c>
      <c r="C57" t="s">
        <v>72</v>
      </c>
    </row>
    <row r="58" spans="1:3" x14ac:dyDescent="0.25">
      <c r="A58">
        <v>2014</v>
      </c>
      <c r="B58">
        <v>5.315372</v>
      </c>
      <c r="C58" t="s">
        <v>72</v>
      </c>
    </row>
    <row r="59" spans="1:3" x14ac:dyDescent="0.25">
      <c r="A59">
        <v>2015</v>
      </c>
      <c r="B59">
        <v>5.3990369999999999</v>
      </c>
      <c r="C59" t="s">
        <v>72</v>
      </c>
    </row>
    <row r="60" spans="1:3" x14ac:dyDescent="0.25">
      <c r="A60">
        <v>2016</v>
      </c>
      <c r="B60">
        <v>5.3722089999999998</v>
      </c>
      <c r="C60" t="s">
        <v>72</v>
      </c>
    </row>
    <row r="61" spans="1:3" x14ac:dyDescent="0.25">
      <c r="A61">
        <v>2017</v>
      </c>
      <c r="B61">
        <v>5.2933459999999997</v>
      </c>
      <c r="C61" t="s">
        <v>72</v>
      </c>
    </row>
    <row r="62" spans="1:3" x14ac:dyDescent="0.25">
      <c r="A62">
        <v>2018</v>
      </c>
      <c r="B62">
        <v>5.2548009999999996</v>
      </c>
      <c r="C62" t="s">
        <v>72</v>
      </c>
    </row>
    <row r="63" spans="1:3" x14ac:dyDescent="0.25">
      <c r="A63">
        <v>2019</v>
      </c>
      <c r="B63">
        <v>5.2701789999999997</v>
      </c>
      <c r="C63" t="s">
        <v>72</v>
      </c>
    </row>
    <row r="64" spans="1:3" x14ac:dyDescent="0.25">
      <c r="A64">
        <v>2020</v>
      </c>
      <c r="B64">
        <v>5.7698410000000004</v>
      </c>
      <c r="C64" t="s">
        <v>72</v>
      </c>
    </row>
    <row r="65" spans="1:3" x14ac:dyDescent="0.25">
      <c r="A65">
        <v>2021</v>
      </c>
      <c r="B65">
        <v>5.2755200000000002</v>
      </c>
      <c r="C65" t="s">
        <v>72</v>
      </c>
    </row>
    <row r="66" spans="1:3" x14ac:dyDescent="0.2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5" x14ac:dyDescent="0.25"/>
  <sheetData>
    <row r="1" spans="1:5" x14ac:dyDescent="0.2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2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2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2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2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2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2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2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2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2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2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2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2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2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2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2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2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2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2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2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2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2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2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2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2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2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2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2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2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2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2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2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2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2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2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2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2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2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2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2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2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2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2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5" x14ac:dyDescent="0.25"/>
  <sheetData>
    <row r="1" spans="1:6" x14ac:dyDescent="0.2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2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2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2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2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2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2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2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2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2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2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2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2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2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2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2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2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2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2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2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2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2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2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2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2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2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2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2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2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2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2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2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2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2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2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2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2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2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2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2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2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2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2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2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2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2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2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2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2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2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2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2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2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2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2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2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2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2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2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2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2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2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2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2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2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2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2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2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2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2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2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2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2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2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2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2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2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2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2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2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2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2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2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2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2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2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2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2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2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2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2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2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2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2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2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2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2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2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2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2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2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2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2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2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2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2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2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2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2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2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2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2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2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2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2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2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2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2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2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2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2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2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2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2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2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2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2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2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2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2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2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2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2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2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2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2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2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2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2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2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2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2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2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2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2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2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2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2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2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2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2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2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2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2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2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2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2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2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2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2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2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2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2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2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2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2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2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2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2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2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2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2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2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2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2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2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2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2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2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2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2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2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2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2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2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2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2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2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2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2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2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2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2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2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2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2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2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2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2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2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2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2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2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2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2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2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2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2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2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2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2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2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2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2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2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2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5" x14ac:dyDescent="0.25"/>
  <sheetData>
    <row r="1" spans="1:6" x14ac:dyDescent="0.2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2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2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2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2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2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2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2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2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2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2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2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2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2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2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2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2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2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2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2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2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2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2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2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2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2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2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2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2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2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2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2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2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2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2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2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2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2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2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2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2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2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2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2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2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2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2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2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2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2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2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2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2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2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2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2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2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2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2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2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2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2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2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2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2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2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2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2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2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2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2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2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2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2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2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2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2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2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2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2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2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2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2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2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2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2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2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2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2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2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2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2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2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2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2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2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2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2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2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2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2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2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2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2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2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2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2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2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2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2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2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2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2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2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2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2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2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2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2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2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2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2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2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2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2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5" x14ac:dyDescent="0.25"/>
  <cols>
    <col min="1" max="1" width="22.5703125" customWidth="1"/>
  </cols>
  <sheetData>
    <row r="1" spans="1:7" x14ac:dyDescent="0.25">
      <c r="A1" s="8" t="s">
        <v>292</v>
      </c>
      <c r="F1" s="8" t="s">
        <v>293</v>
      </c>
    </row>
    <row r="2" spans="1:7" x14ac:dyDescent="0.25">
      <c r="A2" t="s">
        <v>301</v>
      </c>
      <c r="F2" s="9">
        <v>45971</v>
      </c>
    </row>
    <row r="3" spans="1:7" x14ac:dyDescent="0.25">
      <c r="A3" t="s">
        <v>302</v>
      </c>
      <c r="F3" s="9">
        <v>45978</v>
      </c>
      <c r="G3" t="s">
        <v>294</v>
      </c>
    </row>
    <row r="4" spans="1:7" x14ac:dyDescent="0.25">
      <c r="A4" t="s">
        <v>303</v>
      </c>
      <c r="F4" s="9">
        <v>45985</v>
      </c>
    </row>
    <row r="5" spans="1:7" x14ac:dyDescent="0.25">
      <c r="A5" t="s">
        <v>304</v>
      </c>
      <c r="F5" s="9" t="s">
        <v>295</v>
      </c>
    </row>
    <row r="7" spans="1:7" x14ac:dyDescent="0.25">
      <c r="A7" s="8" t="s">
        <v>282</v>
      </c>
    </row>
    <row r="8" spans="1:7" x14ac:dyDescent="0.25">
      <c r="A8" t="s">
        <v>286</v>
      </c>
      <c r="F8" s="9">
        <v>45999</v>
      </c>
    </row>
    <row r="9" spans="1:7" x14ac:dyDescent="0.25">
      <c r="A9" t="s">
        <v>287</v>
      </c>
      <c r="F9" t="s">
        <v>295</v>
      </c>
    </row>
    <row r="10" spans="1:7" x14ac:dyDescent="0.25">
      <c r="A10" t="s">
        <v>288</v>
      </c>
      <c r="F10" t="s">
        <v>296</v>
      </c>
      <c r="G10" t="s">
        <v>300</v>
      </c>
    </row>
    <row r="11" spans="1:7" x14ac:dyDescent="0.25">
      <c r="A11" t="s">
        <v>289</v>
      </c>
      <c r="F11" t="s">
        <v>296</v>
      </c>
      <c r="G11" t="s">
        <v>298</v>
      </c>
    </row>
    <row r="13" spans="1:7" x14ac:dyDescent="0.25">
      <c r="A13" s="8" t="s">
        <v>283</v>
      </c>
    </row>
    <row r="14" spans="1:7" x14ac:dyDescent="0.25">
      <c r="A14" t="s">
        <v>290</v>
      </c>
      <c r="F14" s="9">
        <v>45999</v>
      </c>
    </row>
    <row r="15" spans="1:7" x14ac:dyDescent="0.25">
      <c r="A15" t="s">
        <v>291</v>
      </c>
      <c r="F15" t="s">
        <v>295</v>
      </c>
    </row>
    <row r="17" spans="1:6" x14ac:dyDescent="0.25">
      <c r="A17" t="s">
        <v>284</v>
      </c>
      <c r="F17" t="s">
        <v>297</v>
      </c>
    </row>
    <row r="18" spans="1:6" x14ac:dyDescent="0.2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Slide deck</vt:lpstr>
      <vt:lpstr>2 Spend rev (Feb version)</vt:lpstr>
      <vt:lpstr>3 Interest_plot (Feb version)</vt:lpstr>
      <vt:lpstr>Interest_plot</vt:lpstr>
      <vt:lpstr>Short Report</vt:lpstr>
      <vt:lpstr>SFigure_1</vt:lpstr>
      <vt:lpstr>Long Report</vt:lpstr>
      <vt:lpstr>Figure_1</vt:lpstr>
      <vt:lpstr>Figure_2</vt:lpstr>
      <vt:lpstr>Figure_2 (Feb version)</vt:lpstr>
      <vt:lpstr>Figure_3</vt:lpstr>
      <vt:lpstr>Figure_3 (Feb version)</vt:lpstr>
      <vt:lpstr>Figure_4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</vt:lpstr>
      <vt:lpstr>Figure_26 (debt)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 Nolan</cp:lastModifiedBy>
  <dcterms:created xsi:type="dcterms:W3CDTF">2025-10-18T23:40:15Z</dcterms:created>
  <dcterms:modified xsi:type="dcterms:W3CDTF">2026-01-19T03:22:05Z</dcterms:modified>
</cp:coreProperties>
</file>