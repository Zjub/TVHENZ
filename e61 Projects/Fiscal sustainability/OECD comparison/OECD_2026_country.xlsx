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OEM\Documents\GitHub\TVHENZ\e61 Projects\Fiscal sustainability\OECD comparison\"/>
    </mc:Choice>
  </mc:AlternateContent>
  <xr:revisionPtr revIDLastSave="0" documentId="13_ncr:1_{95032923-2276-4EF9-AF25-E6F14180AF65}" xr6:coauthVersionLast="47" xr6:coauthVersionMax="47" xr10:uidLastSave="{00000000-0000-0000-0000-000000000000}"/>
  <bookViews>
    <workbookView xWindow="18440" yWindow="220" windowWidth="20160" windowHeight="19730" activeTab="2" xr2:uid="{C65B4DB3-D353-41EA-ADCE-4BBD2C60598D}"/>
  </bookViews>
  <sheets>
    <sheet name="fig1-14" sheetId="1" r:id="rId1"/>
    <sheet name="OECD_proj" sheetId="3" r:id="rId2"/>
    <sheet name="PBO" sheetId="4" r:id="rId3"/>
    <sheet name="About this file" sheetId="2" r:id="rId4"/>
  </sheets>
  <definedNames>
    <definedName name="_Ref209109087" localSheetId="0">'fig1-14'!$A$1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_xlnm.Print_Area" localSheetId="0">'fig1-14'!$A$1:$J$26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3" l="1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C2" i="3"/>
  <c r="B2" i="3"/>
  <c r="A2" i="3"/>
</calcChain>
</file>

<file path=xl/sharedStrings.xml><?xml version="1.0" encoding="utf-8"?>
<sst xmlns="http://schemas.openxmlformats.org/spreadsheetml/2006/main" count="89" uniqueCount="87">
  <si>
    <t>NLD</t>
  </si>
  <si>
    <t>Netherlands</t>
  </si>
  <si>
    <t>LVA</t>
  </si>
  <si>
    <t>Latvia</t>
  </si>
  <si>
    <t>HUN</t>
  </si>
  <si>
    <t>Hungary</t>
  </si>
  <si>
    <t>IRL</t>
  </si>
  <si>
    <t>Ireland</t>
  </si>
  <si>
    <t>PRT</t>
  </si>
  <si>
    <t>Portugal</t>
  </si>
  <si>
    <t>EST</t>
  </si>
  <si>
    <t>Estonia</t>
  </si>
  <si>
    <t>GRC</t>
  </si>
  <si>
    <t>Greece</t>
  </si>
  <si>
    <t>ISR</t>
  </si>
  <si>
    <t>Israel</t>
  </si>
  <si>
    <t>LTU</t>
  </si>
  <si>
    <t>Lithuania</t>
  </si>
  <si>
    <t>DEU</t>
  </si>
  <si>
    <t>Germany</t>
  </si>
  <si>
    <t>GBR</t>
  </si>
  <si>
    <t>United Kingdom</t>
  </si>
  <si>
    <t>DNK</t>
  </si>
  <si>
    <t>Denmark</t>
  </si>
  <si>
    <t>AUS</t>
  </si>
  <si>
    <t>Australia</t>
  </si>
  <si>
    <t>SWE</t>
  </si>
  <si>
    <t>Sweden</t>
  </si>
  <si>
    <t>ESP</t>
  </si>
  <si>
    <t>Spain</t>
  </si>
  <si>
    <t>CAN</t>
  </si>
  <si>
    <t>Canada</t>
  </si>
  <si>
    <t>CHE</t>
  </si>
  <si>
    <t>Switzerland</t>
  </si>
  <si>
    <t>ISL</t>
  </si>
  <si>
    <t>Iceland</t>
  </si>
  <si>
    <t>FIN</t>
  </si>
  <si>
    <t>Finland</t>
  </si>
  <si>
    <t>USA</t>
  </si>
  <si>
    <t>United States</t>
  </si>
  <si>
    <t>BEL</t>
  </si>
  <si>
    <t>Belgium</t>
  </si>
  <si>
    <t>JPN</t>
  </si>
  <si>
    <t>Japan</t>
  </si>
  <si>
    <t>ITA</t>
  </si>
  <si>
    <t>Italy</t>
  </si>
  <si>
    <t>AUT</t>
  </si>
  <si>
    <t>Austria</t>
  </si>
  <si>
    <t>NZL</t>
  </si>
  <si>
    <t>New Zealand</t>
  </si>
  <si>
    <t>CZE</t>
  </si>
  <si>
    <t>Czech Republic</t>
  </si>
  <si>
    <t>FRA</t>
  </si>
  <si>
    <t>France</t>
  </si>
  <si>
    <t>POL</t>
  </si>
  <si>
    <t>Poland</t>
  </si>
  <si>
    <t>LUX</t>
  </si>
  <si>
    <t>Luxembourg</t>
  </si>
  <si>
    <t>SVN</t>
  </si>
  <si>
    <t>Slovenia</t>
  </si>
  <si>
    <t>SVK</t>
  </si>
  <si>
    <t>Slovak Republic</t>
  </si>
  <si>
    <t>KOR</t>
  </si>
  <si>
    <t>Korea</t>
  </si>
  <si>
    <t>A. Long-term spending pressures under unchanged policies and a stable debt ratio</t>
  </si>
  <si>
    <t>Health and long-term care expenditure</t>
  </si>
  <si>
    <t>Pension expenditure</t>
  </si>
  <si>
    <t>Other primary expenditure</t>
  </si>
  <si>
    <t>Net interest payments</t>
  </si>
  <si>
    <t>Other factors</t>
  </si>
  <si>
    <t>Total</t>
  </si>
  <si>
    <t>B. Gross public debt</t>
  </si>
  <si>
    <t>Current tax and spending structure with future ageing and health costs</t>
  </si>
  <si>
    <t>Path with fiscal adjustment</t>
  </si>
  <si>
    <t xml:space="preserve">Figure 1.14. Without fiscal adjustment, public debt would rise rapidly in coming decades </t>
  </si>
  <si>
    <t>Source: OECD Long-term Model, OECD calculations.</t>
  </si>
  <si>
    <t>This Excel file contains the data for the following figure or table:</t>
  </si>
  <si>
    <t/>
  </si>
  <si>
    <t>OECD Economic Surveys: Australia 2026 - © OECD 2026</t>
  </si>
  <si>
    <t>Key policy insights - Figure 1.14. Without fiscal adjustment, public debt would rise rapidly in coming decades</t>
  </si>
  <si>
    <t>Version 1 - Last updated: 21-Jan-2026</t>
  </si>
  <si>
    <t>Disclaimer: http://oe.cd/disclaimer</t>
  </si>
  <si>
    <t>Permanent location of this file: https://stat.link/gdxr47</t>
  </si>
  <si>
    <t>OECD_proj</t>
  </si>
  <si>
    <t>OECD_adj_proj</t>
  </si>
  <si>
    <t>year</t>
  </si>
  <si>
    <t>PBO_proj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</si>
</sst>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 Narrow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12"/>
      <color rgb="FF0070C0"/>
      <name val="Calibri"/>
      <family val="2"/>
    </font>
    <font>
      <b/>
      <sz val="11"/>
      <name val="Arial"/>
    </font>
    <font>
      <sz val="10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2" fillId="0" borderId="0" xfId="1"/>
    <xf numFmtId="0" fontId="3" fillId="0" borderId="0" xfId="1" applyFont="1"/>
    <xf numFmtId="0" fontId="4" fillId="0" borderId="7" xfId="0" applyFont="1" applyBorder="1" applyAlignment="1">
      <alignment horizontal="centerContinuous" vertical="center" wrapText="1"/>
    </xf>
    <xf numFmtId="0" fontId="4" fillId="0" borderId="8" xfId="0" applyFont="1" applyBorder="1" applyAlignment="1">
      <alignment horizontal="centerContinuous" vertical="center" wrapText="1"/>
    </xf>
    <xf numFmtId="0" fontId="4" fillId="0" borderId="9" xfId="0" applyFont="1" applyBorder="1" applyAlignment="1">
      <alignment horizontal="centerContinuous" vertical="center" wrapText="1"/>
    </xf>
    <xf numFmtId="0" fontId="1" fillId="0" borderId="0" xfId="0" applyFont="1" applyAlignment="1">
      <alignment horizontal="centerContinuous" vertical="center" wrapText="1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64" fontId="5" fillId="2" borderId="8" xfId="0" applyNumberFormat="1" applyFont="1" applyFill="1" applyBorder="1" applyAlignment="1">
      <alignment horizontal="left" vertical="center"/>
    </xf>
    <xf numFmtId="164" fontId="5" fillId="2" borderId="9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3" xfId="0" applyNumberFormat="1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165" fontId="5" fillId="2" borderId="8" xfId="0" applyNumberFormat="1" applyFont="1" applyFill="1" applyBorder="1" applyAlignment="1">
      <alignment horizontal="left" vertical="center"/>
    </xf>
    <xf numFmtId="165" fontId="5" fillId="2" borderId="9" xfId="0" applyNumberFormat="1" applyFont="1" applyFill="1" applyBorder="1" applyAlignment="1">
      <alignment horizontal="left" vertical="center"/>
    </xf>
    <xf numFmtId="165" fontId="5" fillId="0" borderId="2" xfId="0" applyNumberFormat="1" applyFont="1" applyBorder="1" applyAlignment="1">
      <alignment horizontal="left" vertical="center"/>
    </xf>
    <xf numFmtId="165" fontId="5" fillId="0" borderId="3" xfId="0" applyNumberFormat="1" applyFont="1" applyBorder="1" applyAlignment="1">
      <alignment horizontal="left" vertical="center"/>
    </xf>
    <xf numFmtId="165" fontId="5" fillId="2" borderId="2" xfId="0" applyNumberFormat="1" applyFont="1" applyFill="1" applyBorder="1" applyAlignment="1">
      <alignment horizontal="left" vertical="center"/>
    </xf>
    <xf numFmtId="165" fontId="5" fillId="2" borderId="3" xfId="0" applyNumberFormat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165" fontId="5" fillId="2" borderId="5" xfId="0" applyNumberFormat="1" applyFont="1" applyFill="1" applyBorder="1" applyAlignment="1">
      <alignment horizontal="left" vertical="center"/>
    </xf>
    <xf numFmtId="165" fontId="5" fillId="2" borderId="6" xfId="0" applyNumberFormat="1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166" fontId="0" fillId="3" borderId="0" xfId="0" applyNumberFormat="1" applyFill="1" applyAlignment="1">
      <alignment horizontal="right" vertical="top"/>
    </xf>
  </cellXfs>
  <cellStyles count="2">
    <cellStyle name="Normal" xfId="0" builtinId="0"/>
    <cellStyle name="Normal 2" xfId="1" xr:uid="{17CBAB58-6556-4CD8-B82A-CFF312C52B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900" b="1" i="0">
                <a:solidFill>
                  <a:srgbClr val="000000"/>
                </a:solidFill>
                <a:latin typeface="Arial Narrow" panose="020B0606020202030204" pitchFamily="34" charset="0"/>
              </a:rPr>
              <a:t>A. L</a:t>
            </a:r>
            <a:r>
              <a:rPr lang="en-US" sz="900" b="1" i="0" u="none" strike="noStrike" baseline="0">
                <a:effectLst/>
              </a:rPr>
              <a:t>ong-term spending pressures</a:t>
            </a:r>
            <a:r>
              <a:rPr lang="en-US" sz="900" b="1" i="0">
                <a:solidFill>
                  <a:srgbClr val="000000"/>
                </a:solidFill>
                <a:latin typeface="Arial Narrow" panose="020B0606020202030204" pitchFamily="34" charset="0"/>
              </a:rPr>
              <a:t> under unchanged policies and a stable debt ratio</a:t>
            </a:r>
          </a:p>
        </c:rich>
      </c:tx>
      <c:layout>
        <c:manualLayout>
          <c:xMode val="edge"/>
          <c:yMode val="edge"/>
          <c:x val="0.20972624093926556"/>
          <c:y val="4.94233038129556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651644761888E-2"/>
          <c:y val="0.20063537563816339"/>
          <c:w val="0.95199028201767311"/>
          <c:h val="0.698568533310043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'fig1-14'!$C$31</c:f>
              <c:strCache>
                <c:ptCount val="1"/>
                <c:pt idx="0">
                  <c:v>Health and long-term care expenditure</c:v>
                </c:pt>
              </c:strCache>
            </c:strRef>
          </c:tx>
          <c:spPr>
            <a:solidFill>
              <a:srgbClr val="037BC1"/>
            </a:solidFill>
            <a:ln w="6350" cmpd="sng">
              <a:solidFill>
                <a:srgbClr val="000000"/>
              </a:solidFill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037BC1"/>
              </a:solidFill>
              <a:ln w="6350" cmpd="sng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2F-4949-AD32-4C59D9CC2CC2}"/>
              </c:ext>
            </c:extLst>
          </c:dPt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'fig1-14'!$C$32:$C$63</c:f>
              <c:numCache>
                <c:formatCode>0.000</c:formatCode>
                <c:ptCount val="32"/>
                <c:pt idx="0">
                  <c:v>0.74062699413156097</c:v>
                </c:pt>
                <c:pt idx="1">
                  <c:v>1.4983707902196399</c:v>
                </c:pt>
                <c:pt idx="2">
                  <c:v>1.66160892967923</c:v>
                </c:pt>
                <c:pt idx="3">
                  <c:v>1.67343193047457</c:v>
                </c:pt>
                <c:pt idx="4">
                  <c:v>2.44829820341476</c:v>
                </c:pt>
                <c:pt idx="5">
                  <c:v>1.8687966310337001</c:v>
                </c:pt>
                <c:pt idx="6">
                  <c:v>1.8224935728375999</c:v>
                </c:pt>
                <c:pt idx="7">
                  <c:v>1.4730733621782399</c:v>
                </c:pt>
                <c:pt idx="8">
                  <c:v>1.8396539764117801</c:v>
                </c:pt>
                <c:pt idx="9">
                  <c:v>2.1344435209488499</c:v>
                </c:pt>
                <c:pt idx="10">
                  <c:v>2.7608863553578602</c:v>
                </c:pt>
                <c:pt idx="11">
                  <c:v>2.1727977864085899</c:v>
                </c:pt>
                <c:pt idx="12">
                  <c:v>1.9841320652266301</c:v>
                </c:pt>
                <c:pt idx="13">
                  <c:v>2.3256447759365102</c:v>
                </c:pt>
                <c:pt idx="14">
                  <c:v>2.5112985204884999</c:v>
                </c:pt>
                <c:pt idx="15">
                  <c:v>2.4802452394145198</c:v>
                </c:pt>
                <c:pt idx="16">
                  <c:v>1.0459033038119601</c:v>
                </c:pt>
                <c:pt idx="17">
                  <c:v>2.7659133020750302</c:v>
                </c:pt>
                <c:pt idx="18">
                  <c:v>1.8448214024251099</c:v>
                </c:pt>
                <c:pt idx="19">
                  <c:v>2.7694398279814401</c:v>
                </c:pt>
                <c:pt idx="20">
                  <c:v>1.90652501926089</c:v>
                </c:pt>
                <c:pt idx="21">
                  <c:v>2.1160213241451702</c:v>
                </c:pt>
                <c:pt idx="22">
                  <c:v>1.92531701683363</c:v>
                </c:pt>
                <c:pt idx="23">
                  <c:v>2.98738945231969</c:v>
                </c:pt>
                <c:pt idx="24">
                  <c:v>2.8668166423201602</c:v>
                </c:pt>
                <c:pt idx="25">
                  <c:v>2.81780436581447</c:v>
                </c:pt>
                <c:pt idx="26">
                  <c:v>2.3529011611247701</c:v>
                </c:pt>
                <c:pt idx="27">
                  <c:v>2.14734203372279</c:v>
                </c:pt>
                <c:pt idx="28">
                  <c:v>2.0582061652168702</c:v>
                </c:pt>
                <c:pt idx="29">
                  <c:v>2.5543748305262302</c:v>
                </c:pt>
                <c:pt idx="30">
                  <c:v>2.8107807791157202</c:v>
                </c:pt>
                <c:pt idx="31">
                  <c:v>4.2845011386869301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F-4949-AD32-4C59D9CC2CC2}"/>
            </c:ext>
          </c:extLst>
        </c:ser>
        <c:ser>
          <c:idx val="1"/>
          <c:order val="1"/>
          <c:tx>
            <c:strRef>
              <c:f>'fig1-14'!$D$31</c:f>
              <c:strCache>
                <c:ptCount val="1"/>
                <c:pt idx="0">
                  <c:v>Pension expenditure</c:v>
                </c:pt>
              </c:strCache>
            </c:strRef>
          </c:tx>
          <c:spPr>
            <a:solidFill>
              <a:srgbClr val="DA2128"/>
            </a:solidFill>
            <a:ln w="6350" cmpd="sng">
              <a:solidFill>
                <a:srgbClr val="000000"/>
              </a:solidFill>
            </a:ln>
            <a:effectLst/>
          </c:spPr>
          <c:invertIfNegative val="0"/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'fig1-14'!$D$32:$D$63</c:f>
              <c:numCache>
                <c:formatCode>0.000</c:formatCode>
                <c:ptCount val="32"/>
                <c:pt idx="0">
                  <c:v>0.19766243192489399</c:v>
                </c:pt>
                <c:pt idx="1">
                  <c:v>1.3919573517905801</c:v>
                </c:pt>
                <c:pt idx="2">
                  <c:v>1.29245362416521</c:v>
                </c:pt>
                <c:pt idx="3">
                  <c:v>1.3084201988050299</c:v>
                </c:pt>
                <c:pt idx="4">
                  <c:v>-0.92347056738107103</c:v>
                </c:pt>
                <c:pt idx="5">
                  <c:v>1.19721886742913</c:v>
                </c:pt>
                <c:pt idx="6">
                  <c:v>-3.90984</c:v>
                </c:pt>
                <c:pt idx="7">
                  <c:v>1.75124560435171</c:v>
                </c:pt>
                <c:pt idx="8">
                  <c:v>2.1626409759870802</c:v>
                </c:pt>
                <c:pt idx="9">
                  <c:v>1.76462389857672</c:v>
                </c:pt>
                <c:pt idx="10">
                  <c:v>1.6251628010676</c:v>
                </c:pt>
                <c:pt idx="11">
                  <c:v>2.4167679556893802</c:v>
                </c:pt>
                <c:pt idx="12">
                  <c:v>1.8462336236708901</c:v>
                </c:pt>
                <c:pt idx="13">
                  <c:v>2.68978176721052</c:v>
                </c:pt>
                <c:pt idx="14">
                  <c:v>0.91489587446333998</c:v>
                </c:pt>
                <c:pt idx="15">
                  <c:v>1.97899736799126</c:v>
                </c:pt>
                <c:pt idx="16">
                  <c:v>3.4253251594190202</c:v>
                </c:pt>
                <c:pt idx="17">
                  <c:v>2.5991239755213602</c:v>
                </c:pt>
                <c:pt idx="18">
                  <c:v>3.6466717675865099</c:v>
                </c:pt>
                <c:pt idx="19">
                  <c:v>3.3710150846921998</c:v>
                </c:pt>
                <c:pt idx="20">
                  <c:v>2.3073972275377401</c:v>
                </c:pt>
                <c:pt idx="21">
                  <c:v>1.7165913985513399</c:v>
                </c:pt>
                <c:pt idx="22">
                  <c:v>3.83708626256267</c:v>
                </c:pt>
                <c:pt idx="23">
                  <c:v>4.3849405681767797</c:v>
                </c:pt>
                <c:pt idx="24">
                  <c:v>2.6480317815887102</c:v>
                </c:pt>
                <c:pt idx="25">
                  <c:v>3.2727656988995801</c:v>
                </c:pt>
                <c:pt idx="26">
                  <c:v>4.1816268884414001</c:v>
                </c:pt>
                <c:pt idx="27">
                  <c:v>6.6996173926774096</c:v>
                </c:pt>
                <c:pt idx="28">
                  <c:v>6.5106371516589299</c:v>
                </c:pt>
                <c:pt idx="29">
                  <c:v>4.4439576167705797</c:v>
                </c:pt>
                <c:pt idx="30">
                  <c:v>4.8315432472241602</c:v>
                </c:pt>
                <c:pt idx="31">
                  <c:v>6.52007237592988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2F-4949-AD32-4C59D9CC2CC2}"/>
            </c:ext>
          </c:extLst>
        </c:ser>
        <c:ser>
          <c:idx val="2"/>
          <c:order val="2"/>
          <c:tx>
            <c:strRef>
              <c:f>'fig1-14'!$E$31</c:f>
              <c:strCache>
                <c:ptCount val="1"/>
                <c:pt idx="0">
                  <c:v>Other primary expenditure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 w="6350" cmpd="sng">
              <a:solidFill>
                <a:srgbClr val="000000"/>
              </a:solidFill>
            </a:ln>
            <a:effectLst/>
          </c:spPr>
          <c:invertIfNegative val="0"/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'fig1-14'!$E$32:$E$63</c:f>
              <c:numCache>
                <c:formatCode>0.000</c:formatCode>
                <c:ptCount val="32"/>
                <c:pt idx="0">
                  <c:v>-1.382175956217</c:v>
                </c:pt>
                <c:pt idx="1">
                  <c:v>0.26386612651828001</c:v>
                </c:pt>
                <c:pt idx="2">
                  <c:v>0.22513327056649499</c:v>
                </c:pt>
                <c:pt idx="3">
                  <c:v>-0.263279991230152</c:v>
                </c:pt>
                <c:pt idx="4">
                  <c:v>1.15719014413346</c:v>
                </c:pt>
                <c:pt idx="5">
                  <c:v>-0.32586990859966702</c:v>
                </c:pt>
                <c:pt idx="6">
                  <c:v>2.2508039974140002</c:v>
                </c:pt>
                <c:pt idx="7">
                  <c:v>-0.62143965151625402</c:v>
                </c:pt>
                <c:pt idx="8">
                  <c:v>0.87631152203045504</c:v>
                </c:pt>
                <c:pt idx="9">
                  <c:v>0.53797622562710501</c:v>
                </c:pt>
                <c:pt idx="10">
                  <c:v>0.219170180575503</c:v>
                </c:pt>
                <c:pt idx="11">
                  <c:v>1.5368546358659401</c:v>
                </c:pt>
                <c:pt idx="12">
                  <c:v>0.52967205009058904</c:v>
                </c:pt>
                <c:pt idx="13">
                  <c:v>0.648180621838786</c:v>
                </c:pt>
                <c:pt idx="14">
                  <c:v>0.98159985612245704</c:v>
                </c:pt>
                <c:pt idx="15">
                  <c:v>1.4221342661323799</c:v>
                </c:pt>
                <c:pt idx="16">
                  <c:v>2.1954560752645</c:v>
                </c:pt>
                <c:pt idx="17">
                  <c:v>1.7721833229272099</c:v>
                </c:pt>
                <c:pt idx="18">
                  <c:v>1.7965435379019601</c:v>
                </c:pt>
                <c:pt idx="19">
                  <c:v>0.80199926788826403</c:v>
                </c:pt>
                <c:pt idx="20">
                  <c:v>0.13975231721916201</c:v>
                </c:pt>
                <c:pt idx="21">
                  <c:v>0.33825110526747798</c:v>
                </c:pt>
                <c:pt idx="22">
                  <c:v>0.43134107107923397</c:v>
                </c:pt>
                <c:pt idx="23">
                  <c:v>1.4629571144163001</c:v>
                </c:pt>
                <c:pt idx="24">
                  <c:v>1.8221797742555099E-2</c:v>
                </c:pt>
                <c:pt idx="25">
                  <c:v>2.14863811343962</c:v>
                </c:pt>
                <c:pt idx="26">
                  <c:v>1.5693255352189099</c:v>
                </c:pt>
                <c:pt idx="27">
                  <c:v>2.7817095372718801</c:v>
                </c:pt>
                <c:pt idx="28">
                  <c:v>4.20791570281171</c:v>
                </c:pt>
                <c:pt idx="29">
                  <c:v>3.2190829808838002</c:v>
                </c:pt>
                <c:pt idx="30">
                  <c:v>2.8891010414623302</c:v>
                </c:pt>
                <c:pt idx="31">
                  <c:v>5.9909710574094603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2F-4949-AD32-4C59D9CC2CC2}"/>
            </c:ext>
          </c:extLst>
        </c:ser>
        <c:ser>
          <c:idx val="3"/>
          <c:order val="3"/>
          <c:tx>
            <c:strRef>
              <c:f>'fig1-14'!$F$31</c:f>
              <c:strCache>
                <c:ptCount val="1"/>
                <c:pt idx="0">
                  <c:v>Net interest payments</c:v>
                </c:pt>
              </c:strCache>
            </c:strRef>
          </c:tx>
          <c:spPr>
            <a:solidFill>
              <a:srgbClr val="8CC841"/>
            </a:solidFill>
            <a:ln w="6350" cmpd="sng">
              <a:solidFill>
                <a:srgbClr val="000000"/>
              </a:solidFill>
            </a:ln>
            <a:effectLst/>
          </c:spPr>
          <c:invertIfNegative val="0"/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'fig1-14'!$F$32:$F$63</c:f>
              <c:numCache>
                <c:formatCode>0.000</c:formatCode>
                <c:ptCount val="32"/>
                <c:pt idx="0">
                  <c:v>0.49646562736739303</c:v>
                </c:pt>
                <c:pt idx="1">
                  <c:v>0.44216613085779799</c:v>
                </c:pt>
                <c:pt idx="2">
                  <c:v>-1.4441883362460299</c:v>
                </c:pt>
                <c:pt idx="3">
                  <c:v>0.15895833762312001</c:v>
                </c:pt>
                <c:pt idx="4">
                  <c:v>0.64023759704375205</c:v>
                </c:pt>
                <c:pt idx="5">
                  <c:v>-0.159459850162152</c:v>
                </c:pt>
                <c:pt idx="6">
                  <c:v>2.8934109314752701</c:v>
                </c:pt>
                <c:pt idx="7">
                  <c:v>0.39654416963265599</c:v>
                </c:pt>
                <c:pt idx="8">
                  <c:v>0.44021400747905398</c:v>
                </c:pt>
                <c:pt idx="9">
                  <c:v>0.46813210365962798</c:v>
                </c:pt>
                <c:pt idx="10">
                  <c:v>0.37528375426191601</c:v>
                </c:pt>
                <c:pt idx="11">
                  <c:v>-0.53986906561870296</c:v>
                </c:pt>
                <c:pt idx="12">
                  <c:v>0.24837072838694199</c:v>
                </c:pt>
                <c:pt idx="13">
                  <c:v>-1.1496181056636099</c:v>
                </c:pt>
                <c:pt idx="14">
                  <c:v>0.89978196149059697</c:v>
                </c:pt>
                <c:pt idx="15">
                  <c:v>-0.23703746363756101</c:v>
                </c:pt>
                <c:pt idx="16">
                  <c:v>-0.75252863685114602</c:v>
                </c:pt>
                <c:pt idx="17">
                  <c:v>7.1870542162561099E-2</c:v>
                </c:pt>
                <c:pt idx="18">
                  <c:v>-1.2549437319129599</c:v>
                </c:pt>
                <c:pt idx="19">
                  <c:v>-0.50142894791935999</c:v>
                </c:pt>
                <c:pt idx="20">
                  <c:v>1.4863395687385399</c:v>
                </c:pt>
                <c:pt idx="21">
                  <c:v>4.1463295979440797</c:v>
                </c:pt>
                <c:pt idx="22">
                  <c:v>1.1275021509633101</c:v>
                </c:pt>
                <c:pt idx="23">
                  <c:v>0.87552340188660305</c:v>
                </c:pt>
                <c:pt idx="24">
                  <c:v>0.51793466089505502</c:v>
                </c:pt>
                <c:pt idx="25">
                  <c:v>7.2602163285406798E-3</c:v>
                </c:pt>
                <c:pt idx="26">
                  <c:v>1.6194910566445999</c:v>
                </c:pt>
                <c:pt idx="27">
                  <c:v>0.40487567773577599</c:v>
                </c:pt>
                <c:pt idx="28">
                  <c:v>-1.3703873110739699</c:v>
                </c:pt>
                <c:pt idx="29">
                  <c:v>0.23938286118767499</c:v>
                </c:pt>
                <c:pt idx="30">
                  <c:v>0.80806956636886096</c:v>
                </c:pt>
                <c:pt idx="31">
                  <c:v>-0.118678032945383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2F-4949-AD32-4C59D9CC2CC2}"/>
            </c:ext>
          </c:extLst>
        </c:ser>
        <c:ser>
          <c:idx val="4"/>
          <c:order val="4"/>
          <c:tx>
            <c:strRef>
              <c:f>'fig1-14'!$G$31</c:f>
              <c:strCache>
                <c:ptCount val="1"/>
                <c:pt idx="0">
                  <c:v>Other factors</c:v>
                </c:pt>
              </c:strCache>
            </c:strRef>
          </c:tx>
          <c:spPr>
            <a:solidFill>
              <a:srgbClr val="A154A1"/>
            </a:solidFill>
            <a:ln w="6350" cmpd="sng">
              <a:solidFill>
                <a:srgbClr val="000000"/>
              </a:solidFill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8CC841"/>
              </a:solidFill>
              <a:ln w="6350" cmpd="sng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2F-4949-AD32-4C59D9CC2CC2}"/>
              </c:ext>
            </c:extLst>
          </c:dPt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'fig1-14'!$G$32:$G$63</c:f>
              <c:numCache>
                <c:formatCode>0.000</c:formatCode>
                <c:ptCount val="32"/>
                <c:pt idx="0">
                  <c:v>-0.70520414624458705</c:v>
                </c:pt>
                <c:pt idx="1">
                  <c:v>-2.8710464829040898</c:v>
                </c:pt>
                <c:pt idx="2">
                  <c:v>-5.4906841157242398E-2</c:v>
                </c:pt>
                <c:pt idx="3">
                  <c:v>-0.93538700116337503</c:v>
                </c:pt>
                <c:pt idx="4">
                  <c:v>-0.81631293104165903</c:v>
                </c:pt>
                <c:pt idx="5">
                  <c:v>0.17351302108764899</c:v>
                </c:pt>
                <c:pt idx="6">
                  <c:v>0.10818989139223401</c:v>
                </c:pt>
                <c:pt idx="7">
                  <c:v>0.423761429084137</c:v>
                </c:pt>
                <c:pt idx="8">
                  <c:v>-1.69517156241459</c:v>
                </c:pt>
                <c:pt idx="9">
                  <c:v>-1.11128291012594</c:v>
                </c:pt>
                <c:pt idx="10">
                  <c:v>4.50724187654412E-2</c:v>
                </c:pt>
                <c:pt idx="11">
                  <c:v>-0.16613078214444199</c:v>
                </c:pt>
                <c:pt idx="12">
                  <c:v>1.0373582077210599</c:v>
                </c:pt>
                <c:pt idx="13">
                  <c:v>1.3068614145177599</c:v>
                </c:pt>
                <c:pt idx="14">
                  <c:v>0.76684941771395498</c:v>
                </c:pt>
                <c:pt idx="15">
                  <c:v>0.43633574282864102</c:v>
                </c:pt>
                <c:pt idx="16">
                  <c:v>0.662974466801316</c:v>
                </c:pt>
                <c:pt idx="17">
                  <c:v>0.66671004619454399</c:v>
                </c:pt>
                <c:pt idx="18">
                  <c:v>2.0109269221395998</c:v>
                </c:pt>
                <c:pt idx="19">
                  <c:v>1.79313534639602</c:v>
                </c:pt>
                <c:pt idx="20">
                  <c:v>2.39778281016206</c:v>
                </c:pt>
                <c:pt idx="21">
                  <c:v>-2.1825068245668398E-2</c:v>
                </c:pt>
                <c:pt idx="22">
                  <c:v>1.14604393773505</c:v>
                </c:pt>
                <c:pt idx="23">
                  <c:v>-0.72050024851304395</c:v>
                </c:pt>
                <c:pt idx="24">
                  <c:v>3.1650155873132002</c:v>
                </c:pt>
                <c:pt idx="25">
                  <c:v>2.55667988626158</c:v>
                </c:pt>
                <c:pt idx="26">
                  <c:v>1.11022797476465</c:v>
                </c:pt>
                <c:pt idx="27">
                  <c:v>0.91676322061050997</c:v>
                </c:pt>
                <c:pt idx="28">
                  <c:v>2.9692215195042602</c:v>
                </c:pt>
                <c:pt idx="29">
                  <c:v>4.1133114821656598</c:v>
                </c:pt>
                <c:pt idx="30">
                  <c:v>3.9163406986835598</c:v>
                </c:pt>
                <c:pt idx="31">
                  <c:v>-0.36337457659504102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2F-4949-AD32-4C59D9CC2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1069888"/>
        <c:axId val="251067008"/>
      </c:barChart>
      <c:lineChart>
        <c:grouping val="standard"/>
        <c:varyColors val="0"/>
        <c:ser>
          <c:idx val="5"/>
          <c:order val="5"/>
          <c:tx>
            <c:strRef>
              <c:f>'fig1-14'!$H$31</c:f>
              <c:strCache>
                <c:ptCount val="1"/>
                <c:pt idx="0">
                  <c:v>Total</c:v>
                </c:pt>
              </c:strCache>
            </c:strRef>
          </c:tx>
          <c:spPr>
            <a:ln w="6350" cap="rnd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6350" cap="rnd">
                  <a:solidFill>
                    <a:sysClr val="windowText" lastClr="000000"/>
                  </a:solidFill>
                  <a:prstDash val="solid"/>
                  <a:round/>
                </a14:hiddenLine>
              </a:ext>
            </a:extLst>
          </c:spPr>
          <c:marker>
            <c:symbol val="triangle"/>
            <c:size val="5"/>
            <c:spPr>
              <a:solidFill>
                <a:srgbClr val="FFFFFF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'fig1-14'!$H$32:$H$63</c:f>
              <c:numCache>
                <c:formatCode>0.000</c:formatCode>
                <c:ptCount val="32"/>
                <c:pt idx="0">
                  <c:v>-0.65262504903775198</c:v>
                </c:pt>
                <c:pt idx="1">
                  <c:v>0.725313916482207</c:v>
                </c:pt>
                <c:pt idx="2">
                  <c:v>1.68010064700766</c:v>
                </c:pt>
                <c:pt idx="3">
                  <c:v>1.9421434745092001</c:v>
                </c:pt>
                <c:pt idx="4">
                  <c:v>2.5059424461692599</c:v>
                </c:pt>
                <c:pt idx="5">
                  <c:v>2.75419876078867</c:v>
                </c:pt>
                <c:pt idx="6">
                  <c:v>3.1650583931191099</c:v>
                </c:pt>
                <c:pt idx="7">
                  <c:v>3.4231849137304899</c:v>
                </c:pt>
                <c:pt idx="8">
                  <c:v>3.62364891949378</c:v>
                </c:pt>
                <c:pt idx="9">
                  <c:v>3.79389283868636</c:v>
                </c:pt>
                <c:pt idx="10">
                  <c:v>5.0255755100283199</c:v>
                </c:pt>
                <c:pt idx="11">
                  <c:v>5.4204205302007598</c:v>
                </c:pt>
                <c:pt idx="12">
                  <c:v>5.6457666750961204</c:v>
                </c:pt>
                <c:pt idx="13">
                  <c:v>5.8208504738399602</c:v>
                </c:pt>
                <c:pt idx="14">
                  <c:v>6.0744256302788502</c:v>
                </c:pt>
                <c:pt idx="15">
                  <c:v>6.08067515272925</c:v>
                </c:pt>
                <c:pt idx="16">
                  <c:v>6.5771303684456504</c:v>
                </c:pt>
                <c:pt idx="17">
                  <c:v>7.87580118888072</c:v>
                </c:pt>
                <c:pt idx="18">
                  <c:v>8.0440198981402293</c:v>
                </c:pt>
                <c:pt idx="19">
                  <c:v>8.2341605790385692</c:v>
                </c:pt>
                <c:pt idx="20">
                  <c:v>8.2377969429184095</c:v>
                </c:pt>
                <c:pt idx="21">
                  <c:v>8.2953683576624098</c:v>
                </c:pt>
                <c:pt idx="22">
                  <c:v>8.4672904391739099</c:v>
                </c:pt>
                <c:pt idx="23">
                  <c:v>8.9903102882863308</c:v>
                </c:pt>
                <c:pt idx="24">
                  <c:v>9.2160204698596893</c:v>
                </c:pt>
                <c:pt idx="25">
                  <c:v>10.8031482807438</c:v>
                </c:pt>
                <c:pt idx="26">
                  <c:v>10.833572616194299</c:v>
                </c:pt>
                <c:pt idx="27">
                  <c:v>12.950307862018301</c:v>
                </c:pt>
                <c:pt idx="28">
                  <c:v>14.3755932281178</c:v>
                </c:pt>
                <c:pt idx="29">
                  <c:v>14.5701097715339</c:v>
                </c:pt>
                <c:pt idx="30">
                  <c:v>15.2558353328546</c:v>
                </c:pt>
                <c:pt idx="31">
                  <c:v>16.313491962485799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2F-4949-AD32-4C59D9CC2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069888"/>
        <c:axId val="251067008"/>
      </c:lineChart>
      <c:catAx>
        <c:axId val="25106988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1067008"/>
        <c:crosses val="autoZero"/>
        <c:auto val="1"/>
        <c:lblAlgn val="ctr"/>
        <c:lblOffset val="0"/>
        <c:tickLblSkip val="1"/>
        <c:noMultiLvlLbl val="0"/>
      </c:catAx>
      <c:valAx>
        <c:axId val="2510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1069888"/>
        <c:crosses val="autoZero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2.4838212216020908E-2"/>
          <c:y val="0.199385366865488"/>
          <c:w val="0.52585634464895259"/>
          <c:h val="0.28865654752813491"/>
        </c:manualLayout>
      </c:layout>
      <c:overlay val="1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B. Gross public debt</a:t>
            </a:r>
          </a:p>
        </c:rich>
      </c:tx>
      <c:layout>
        <c:manualLayout>
          <c:xMode val="edge"/>
          <c:yMode val="edge"/>
          <c:x val="0.4104597763347763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040295808894152E-2"/>
          <c:y val="0.13873888888888888"/>
          <c:w val="0.94291838134430728"/>
          <c:h val="0.7603833333333333"/>
        </c:manualLayout>
      </c:layout>
      <c:lineChart>
        <c:grouping val="standard"/>
        <c:varyColors val="0"/>
        <c:ser>
          <c:idx val="3"/>
          <c:order val="0"/>
          <c:tx>
            <c:strRef>
              <c:f>'fig1-14'!$L$31</c:f>
              <c:strCache>
                <c:ptCount val="1"/>
                <c:pt idx="0">
                  <c:v>Current tax and spending structure with future ageing and health costs</c:v>
                </c:pt>
              </c:strCache>
            </c:strRef>
          </c:tx>
          <c:spPr>
            <a:ln w="28575" cap="rnd">
              <a:solidFill>
                <a:srgbClr val="DA2128"/>
              </a:solidFill>
              <a:round/>
            </a:ln>
            <a:effectLst/>
          </c:spPr>
          <c:marker>
            <c:symbol val="none"/>
          </c:marker>
          <c:cat>
            <c:numRef>
              <c:f>'fig1-14'!$J$32:$J$60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'fig1-14'!$L$32:$L$60</c:f>
              <c:numCache>
                <c:formatCode>0.0</c:formatCode>
                <c:ptCount val="29"/>
                <c:pt idx="0">
                  <c:v>55.047571498170001</c:v>
                </c:pt>
                <c:pt idx="1">
                  <c:v>55.708872189166797</c:v>
                </c:pt>
                <c:pt idx="2">
                  <c:v>57.0834838047451</c:v>
                </c:pt>
                <c:pt idx="3">
                  <c:v>59.940059045133701</c:v>
                </c:pt>
                <c:pt idx="4">
                  <c:v>62.501110119388599</c:v>
                </c:pt>
                <c:pt idx="5">
                  <c:v>62.967841933521498</c:v>
                </c:pt>
                <c:pt idx="6">
                  <c:v>63.623129394546211</c:v>
                </c:pt>
                <c:pt idx="7">
                  <c:v>64.390121639248022</c:v>
                </c:pt>
                <c:pt idx="8">
                  <c:v>65.286786234942312</c:v>
                </c:pt>
                <c:pt idx="9">
                  <c:v>66.32151271145004</c:v>
                </c:pt>
                <c:pt idx="10">
                  <c:v>67.500605220705637</c:v>
                </c:pt>
                <c:pt idx="11">
                  <c:v>68.824765121369296</c:v>
                </c:pt>
                <c:pt idx="12">
                  <c:v>70.297209784495067</c:v>
                </c:pt>
                <c:pt idx="13">
                  <c:v>71.92128271136977</c:v>
                </c:pt>
                <c:pt idx="14">
                  <c:v>73.707979512818923</c:v>
                </c:pt>
                <c:pt idx="15">
                  <c:v>75.664004700414296</c:v>
                </c:pt>
                <c:pt idx="16">
                  <c:v>77.774325315705738</c:v>
                </c:pt>
                <c:pt idx="17">
                  <c:v>80.021554002937862</c:v>
                </c:pt>
                <c:pt idx="18">
                  <c:v>82.394441840738551</c:v>
                </c:pt>
                <c:pt idx="19">
                  <c:v>84.882752082773408</c:v>
                </c:pt>
                <c:pt idx="20">
                  <c:v>87.479551554735835</c:v>
                </c:pt>
                <c:pt idx="21">
                  <c:v>90.181793487171831</c:v>
                </c:pt>
                <c:pt idx="22">
                  <c:v>92.994763115249796</c:v>
                </c:pt>
                <c:pt idx="23">
                  <c:v>95.929964001802389</c:v>
                </c:pt>
                <c:pt idx="24">
                  <c:v>99.007382642493297</c:v>
                </c:pt>
                <c:pt idx="25">
                  <c:v>102.25149179625704</c:v>
                </c:pt>
                <c:pt idx="26">
                  <c:v>105.69028287757187</c:v>
                </c:pt>
                <c:pt idx="27">
                  <c:v>109.3433051462674</c:v>
                </c:pt>
                <c:pt idx="28">
                  <c:v>113.22773700100977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0-4854-991F-948AB9C2EE6B}"/>
            </c:ext>
          </c:extLst>
        </c:ser>
        <c:ser>
          <c:idx val="1"/>
          <c:order val="1"/>
          <c:tx>
            <c:strRef>
              <c:f>'fig1-14'!$M$31</c:f>
              <c:strCache>
                <c:ptCount val="1"/>
                <c:pt idx="0">
                  <c:v>Path with fiscal adjustment</c:v>
                </c:pt>
              </c:strCache>
            </c:strRef>
          </c:tx>
          <c:spPr>
            <a:ln w="28575" cap="rnd">
              <a:solidFill>
                <a:srgbClr val="037BC1"/>
              </a:solidFill>
              <a:round/>
            </a:ln>
            <a:effectLst/>
          </c:spPr>
          <c:marker>
            <c:symbol val="none"/>
          </c:marker>
          <c:cat>
            <c:numRef>
              <c:f>'fig1-14'!$J$32:$J$60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'fig1-14'!$M$32:$M$60</c:f>
              <c:numCache>
                <c:formatCode>0.0</c:formatCode>
                <c:ptCount val="29"/>
                <c:pt idx="0">
                  <c:v>55.047571498170001</c:v>
                </c:pt>
                <c:pt idx="1">
                  <c:v>55.708872189166797</c:v>
                </c:pt>
                <c:pt idx="2">
                  <c:v>57.0834838047451</c:v>
                </c:pt>
                <c:pt idx="3">
                  <c:v>59.940059045133701</c:v>
                </c:pt>
                <c:pt idx="4">
                  <c:v>62.501110119388599</c:v>
                </c:pt>
                <c:pt idx="5">
                  <c:v>62.967841933521498</c:v>
                </c:pt>
                <c:pt idx="6">
                  <c:v>63.123129394546211</c:v>
                </c:pt>
                <c:pt idx="7">
                  <c:v>62.884266432127248</c:v>
                </c:pt>
                <c:pt idx="8">
                  <c:v>62.260749395005867</c:v>
                </c:pt>
                <c:pt idx="9">
                  <c:v>61.250341688147103</c:v>
                </c:pt>
                <c:pt idx="10">
                  <c:v>60.346825748158032</c:v>
                </c:pt>
                <c:pt idx="11">
                  <c:v>59.545789085903536</c:v>
                </c:pt>
                <c:pt idx="12">
                  <c:v>58.846218614075717</c:v>
                </c:pt>
                <c:pt idx="13">
                  <c:v>58.247408132525656</c:v>
                </c:pt>
                <c:pt idx="14">
                  <c:v>57.756195757519265</c:v>
                </c:pt>
                <c:pt idx="15">
                  <c:v>57.374825407149267</c:v>
                </c:pt>
                <c:pt idx="16">
                  <c:v>57.084703691472441</c:v>
                </c:pt>
                <c:pt idx="17">
                  <c:v>56.865057314899772</c:v>
                </c:pt>
                <c:pt idx="18">
                  <c:v>56.701171973900578</c:v>
                </c:pt>
                <c:pt idx="19">
                  <c:v>56.579628247851666</c:v>
                </c:pt>
                <c:pt idx="20">
                  <c:v>56.49045624740495</c:v>
                </c:pt>
                <c:pt idx="21">
                  <c:v>56.427242995614478</c:v>
                </c:pt>
                <c:pt idx="22">
                  <c:v>56.390903806405355</c:v>
                </c:pt>
                <c:pt idx="23">
                  <c:v>56.387011905775431</c:v>
                </c:pt>
                <c:pt idx="24">
                  <c:v>56.427364039414215</c:v>
                </c:pt>
                <c:pt idx="25">
                  <c:v>56.525654597295812</c:v>
                </c:pt>
                <c:pt idx="26">
                  <c:v>56.696982405870664</c:v>
                </c:pt>
                <c:pt idx="27">
                  <c:v>56.947894650794936</c:v>
                </c:pt>
                <c:pt idx="28">
                  <c:v>57.282972469294037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20-4854-991F-948AB9C2E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893055"/>
        <c:axId val="629894719"/>
      </c:lineChart>
      <c:catAx>
        <c:axId val="629893055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29894719"/>
        <c:crosses val="autoZero"/>
        <c:auto val="1"/>
        <c:lblAlgn val="ctr"/>
        <c:lblOffset val="0"/>
        <c:tickLblSkip val="4"/>
        <c:noMultiLvlLbl val="0"/>
      </c:catAx>
      <c:valAx>
        <c:axId val="6298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29893055"/>
        <c:crosses val="autoZero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8.0424461216182311E-2"/>
          <c:y val="0.14539447743081477"/>
          <c:w val="0.59300067643565735"/>
          <c:h val="0.27089869434529401"/>
        </c:manualLayout>
      </c:layout>
      <c:overlay val="1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126603</xdr:rowOff>
    </xdr:from>
    <xdr:to>
      <xdr:col>7</xdr:col>
      <xdr:colOff>440257</xdr:colOff>
      <xdr:row>13</xdr:row>
      <xdr:rowOff>133125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943C68A-15CF-45F9-8B5C-9B3912BA0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38895</xdr:colOff>
      <xdr:row>13</xdr:row>
      <xdr:rowOff>159647</xdr:rowOff>
    </xdr:from>
    <xdr:to>
      <xdr:col>7</xdr:col>
      <xdr:colOff>479152</xdr:colOff>
      <xdr:row>26</xdr:row>
      <xdr:rowOff>166169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F353CB10-7A59-458C-8FAA-EFA73276C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0.40532</cdr:x>
      <cdr:y>0.88337</cdr:y>
    </cdr:from>
    <cdr:ext cx="109826" cy="217173"/>
    <cdr:sp macro="" textlink="">
      <cdr:nvSpPr>
        <cdr:cNvPr id="22" name="Oval 21">
          <a:extLst xmlns:a="http://schemas.openxmlformats.org/drawingml/2006/main">
            <a:ext uri="{FF2B5EF4-FFF2-40B4-BE49-F238E27FC236}">
              <a16:creationId xmlns:a16="http://schemas.microsoft.com/office/drawing/2014/main" id="{9546C65E-E1E9-4D05-0796-0D2FBD52D92F}"/>
            </a:ext>
          </a:extLst>
        </cdr:cNvPr>
        <cdr:cNvSpPr/>
      </cdr:nvSpPr>
      <cdr:spPr>
        <a:xfrm xmlns:a="http://schemas.openxmlformats.org/drawingml/2006/main">
          <a:off x="2318941" y="2249884"/>
          <a:ext cx="113110" cy="26193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absSizeAnchor>
  <cdr:absSizeAnchor xmlns:cdr="http://schemas.openxmlformats.org/drawingml/2006/chartDrawing">
    <cdr:from>
      <cdr:x>0.00225</cdr:x>
      <cdr:y>0.07152</cdr:y>
    </cdr:from>
    <cdr:ext cx="1958091" cy="345217"/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D0F03A1F-C94A-3705-FD02-B1ED73379607}"/>
            </a:ext>
          </a:extLst>
        </cdr:cNvPr>
        <cdr:cNvSpPr txBox="1"/>
      </cdr:nvSpPr>
      <cdr:spPr>
        <a:xfrm xmlns:a="http://schemas.openxmlformats.org/drawingml/2006/main">
          <a:off x="12889" y="183441"/>
          <a:ext cx="2023079" cy="419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>
              <a:solidFill>
                <a:srgbClr val="000000"/>
              </a:solidFill>
              <a:latin typeface="Arial Narrow" panose="020B0606020202030204" pitchFamily="34" charset="0"/>
            </a:rPr>
            <a:t>Change from 2024</a:t>
          </a:r>
          <a:r>
            <a:rPr lang="en-US" sz="800" b="0" i="0" baseline="0">
              <a:solidFill>
                <a:srgbClr val="000000"/>
              </a:solidFill>
              <a:latin typeface="Arial Narrow" panose="020B0606020202030204" pitchFamily="34" charset="0"/>
            </a:rPr>
            <a:t> to 2060 in % pts of GDP</a:t>
          </a:r>
          <a:endParaRPr lang="en-US" sz="800" b="0" i="0">
            <a:solidFill>
              <a:srgbClr val="000000"/>
            </a:solidFill>
            <a:latin typeface="Arial Narrow" panose="020B0606020202030204" pitchFamily="34" charset="0"/>
          </a:endParaRPr>
        </a:p>
      </cdr:txBody>
    </cdr:sp>
  </cdr:absSizeAnchor>
</c:userShapes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</cdr:x>
      <cdr:y>0.0141</cdr:y>
    </cdr:from>
    <cdr:ext cx="1176143" cy="4058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7B0ADA-EC71-7DD1-7A94-2000D2ED8057}"/>
            </a:ext>
          </a:extLst>
        </cdr:cNvPr>
        <cdr:cNvSpPr txBox="1"/>
      </cdr:nvSpPr>
      <cdr:spPr>
        <a:xfrm xmlns:a="http://schemas.openxmlformats.org/drawingml/2006/main">
          <a:off x="0" y="30452"/>
          <a:ext cx="1173776" cy="415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>
              <a:solidFill>
                <a:srgbClr val="000000"/>
              </a:solidFill>
              <a:latin typeface="Arial Narrow" panose="020B0606020202030204" pitchFamily="34" charset="0"/>
            </a:rPr>
            <a:t>% of GDP</a:t>
          </a:r>
        </a:p>
      </cdr:txBody>
    </cdr:sp>
  </cdr:abs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.link/gdxr47" TargetMode="External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d22a1efd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5614-99DB-495A-856C-B51837D45702}">
  <sheetPr>
    <pageSetUpPr fitToPage="1"/>
  </sheetPr>
  <dimension ref="A1:M63"/>
  <sheetViews>
    <sheetView showGridLines="0" topLeftCell="A4" workbookViewId="0">
      <selection activeCell="K35" sqref="K35"/>
    </sheetView>
  </sheetViews>
  <sheetFormatPr defaultRowHeight="14.5" x14ac:dyDescent="0.35"/>
  <cols>
    <col min="1" max="1" width="16.7265625" customWidth="1"/>
    <col min="2" max="2" width="9" customWidth="1"/>
    <col min="3" max="3" width="9.81640625" customWidth="1"/>
    <col min="4" max="7" width="10.26953125" customWidth="1"/>
    <col min="8" max="8" width="10.7265625" customWidth="1"/>
    <col min="9" max="9" width="8.7265625" customWidth="1"/>
    <col min="10" max="10" width="9.453125" customWidth="1"/>
    <col min="11" max="11" width="14.1796875" customWidth="1"/>
    <col min="12" max="12" width="9.81640625" customWidth="1"/>
    <col min="13" max="13" width="9" customWidth="1"/>
  </cols>
  <sheetData>
    <row r="1" spans="1:10" ht="12.75" customHeight="1" x14ac:dyDescent="0.35">
      <c r="A1" s="33" t="s">
        <v>74</v>
      </c>
      <c r="B1" s="1"/>
      <c r="C1" s="1"/>
      <c r="D1" s="1"/>
      <c r="E1" s="1"/>
      <c r="F1" s="1"/>
      <c r="G1" s="1"/>
      <c r="H1" s="1"/>
      <c r="I1" s="1"/>
      <c r="J1" s="1"/>
    </row>
    <row r="2" spans="1:10" ht="12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2.75" customHeight="1" x14ac:dyDescent="0.35">
      <c r="A3" s="2"/>
      <c r="B3" s="2"/>
      <c r="C3" s="2"/>
      <c r="D3" s="2"/>
      <c r="E3" s="2"/>
      <c r="F3" s="2"/>
      <c r="G3" s="2"/>
      <c r="H3" s="2"/>
      <c r="I3" s="1"/>
      <c r="J3" s="1"/>
    </row>
    <row r="4" spans="1:10" ht="12.75" customHeight="1" x14ac:dyDescent="0.35">
      <c r="A4" s="2"/>
      <c r="B4" s="2"/>
      <c r="C4" s="2"/>
      <c r="D4" s="2"/>
      <c r="E4" s="2"/>
      <c r="F4" s="2"/>
      <c r="G4" s="2"/>
      <c r="H4" s="2"/>
      <c r="I4" s="1"/>
      <c r="J4" s="1"/>
    </row>
    <row r="5" spans="1:10" ht="12.75" customHeight="1" x14ac:dyDescent="0.35">
      <c r="A5" s="2"/>
      <c r="B5" s="2"/>
      <c r="C5" s="2"/>
      <c r="D5" s="2"/>
      <c r="E5" s="2"/>
      <c r="F5" s="2"/>
      <c r="G5" s="2"/>
      <c r="H5" s="2"/>
      <c r="I5" s="1"/>
      <c r="J5" s="1"/>
    </row>
    <row r="6" spans="1:10" ht="12.75" customHeight="1" x14ac:dyDescent="0.35">
      <c r="A6" s="2"/>
      <c r="B6" s="2"/>
      <c r="C6" s="2"/>
      <c r="D6" s="2"/>
      <c r="E6" s="2"/>
      <c r="F6" s="2"/>
      <c r="G6" s="2"/>
      <c r="H6" s="2"/>
      <c r="I6" s="1"/>
      <c r="J6" s="1"/>
    </row>
    <row r="7" spans="1:10" ht="12.75" customHeight="1" x14ac:dyDescent="0.35">
      <c r="A7" s="2"/>
      <c r="B7" s="2"/>
      <c r="C7" s="2"/>
      <c r="D7" s="2"/>
      <c r="E7" s="2"/>
      <c r="F7" s="2"/>
      <c r="G7" s="2"/>
      <c r="H7" s="2"/>
      <c r="I7" s="1"/>
      <c r="J7" s="1"/>
    </row>
    <row r="8" spans="1:10" ht="12.75" customHeight="1" x14ac:dyDescent="0.35">
      <c r="A8" s="2"/>
      <c r="B8" s="2"/>
      <c r="C8" s="2"/>
      <c r="D8" s="2"/>
      <c r="E8" s="2"/>
      <c r="F8" s="2"/>
      <c r="G8" s="2"/>
      <c r="H8" s="2"/>
      <c r="I8" s="1"/>
      <c r="J8" s="1"/>
    </row>
    <row r="9" spans="1:10" ht="12.75" customHeight="1" x14ac:dyDescent="0.35">
      <c r="A9" s="2"/>
      <c r="B9" s="2"/>
      <c r="C9" s="2"/>
      <c r="D9" s="2"/>
      <c r="E9" s="2"/>
      <c r="F9" s="2"/>
      <c r="G9" s="2"/>
      <c r="H9" s="2"/>
      <c r="I9" s="1"/>
      <c r="J9" s="1"/>
    </row>
    <row r="10" spans="1:10" ht="12.75" customHeight="1" x14ac:dyDescent="0.35">
      <c r="A10" s="2"/>
      <c r="B10" s="2"/>
      <c r="C10" s="2"/>
      <c r="D10" s="2"/>
      <c r="E10" s="2"/>
      <c r="F10" s="2"/>
      <c r="G10" s="2"/>
      <c r="H10" s="2"/>
      <c r="I10" s="1"/>
      <c r="J10" s="1"/>
    </row>
    <row r="11" spans="1:10" ht="12.75" customHeight="1" x14ac:dyDescent="0.35">
      <c r="A11" s="2"/>
      <c r="B11" s="2"/>
      <c r="C11" s="2"/>
      <c r="D11" s="2"/>
      <c r="E11" s="2"/>
      <c r="F11" s="2"/>
      <c r="G11" s="2"/>
      <c r="H11" s="2"/>
      <c r="I11" s="1"/>
      <c r="J11" s="1"/>
    </row>
    <row r="12" spans="1:10" ht="12.75" customHeight="1" x14ac:dyDescent="0.35">
      <c r="A12" s="2"/>
      <c r="B12" s="2"/>
      <c r="C12" s="2"/>
      <c r="D12" s="2"/>
      <c r="E12" s="2"/>
      <c r="F12" s="2"/>
      <c r="G12" s="2"/>
      <c r="H12" s="2"/>
      <c r="I12" s="1"/>
      <c r="J12" s="1"/>
    </row>
    <row r="13" spans="1:10" ht="12.75" customHeight="1" x14ac:dyDescent="0.35">
      <c r="A13" s="2"/>
      <c r="B13" s="2"/>
      <c r="C13" s="2"/>
      <c r="D13" s="2"/>
      <c r="E13" s="2"/>
      <c r="F13" s="2"/>
      <c r="G13" s="2"/>
      <c r="H13" s="2"/>
      <c r="I13" s="1"/>
      <c r="J13" s="1"/>
    </row>
    <row r="14" spans="1:10" ht="12.75" customHeight="1" x14ac:dyDescent="0.35">
      <c r="A14" s="2"/>
      <c r="B14" s="2"/>
      <c r="C14" s="2"/>
      <c r="D14" s="2"/>
      <c r="E14" s="2"/>
      <c r="F14" s="2"/>
      <c r="G14" s="2"/>
      <c r="H14" s="2"/>
      <c r="I14" s="1"/>
      <c r="J14" s="1"/>
    </row>
    <row r="15" spans="1:10" ht="12.75" customHeight="1" x14ac:dyDescent="0.35">
      <c r="A15" s="2"/>
      <c r="B15" s="2"/>
      <c r="C15" s="2"/>
      <c r="D15" s="2"/>
      <c r="E15" s="2"/>
      <c r="F15" s="2"/>
      <c r="G15" s="2"/>
      <c r="H15" s="2"/>
      <c r="I15" s="1"/>
      <c r="J15" s="1"/>
    </row>
    <row r="16" spans="1:10" ht="12.75" customHeight="1" x14ac:dyDescent="0.35">
      <c r="A16" s="2"/>
      <c r="B16" s="2"/>
      <c r="C16" s="2"/>
      <c r="D16" s="2"/>
      <c r="E16" s="2"/>
      <c r="F16" s="2"/>
      <c r="G16" s="2"/>
      <c r="H16" s="2"/>
      <c r="I16" s="1"/>
      <c r="J16" s="1"/>
    </row>
    <row r="17" spans="1:13" ht="12.75" customHeight="1" x14ac:dyDescent="0.35">
      <c r="A17" s="2"/>
      <c r="B17" s="2"/>
      <c r="C17" s="2"/>
      <c r="D17" s="2"/>
      <c r="E17" s="2"/>
      <c r="F17" s="2"/>
      <c r="G17" s="2"/>
      <c r="H17" s="2"/>
      <c r="I17" s="1"/>
      <c r="J17" s="1"/>
    </row>
    <row r="18" spans="1:13" ht="12.75" customHeight="1" x14ac:dyDescent="0.35">
      <c r="A18" s="2"/>
      <c r="B18" s="2"/>
      <c r="C18" s="2"/>
      <c r="D18" s="2"/>
      <c r="E18" s="2"/>
      <c r="F18" s="2"/>
      <c r="G18" s="2"/>
      <c r="H18" s="2"/>
      <c r="I18" s="1"/>
      <c r="J18" s="1"/>
    </row>
    <row r="19" spans="1:13" ht="12.75" customHeight="1" x14ac:dyDescent="0.35">
      <c r="A19" s="2"/>
      <c r="B19" s="2"/>
      <c r="C19" s="2"/>
      <c r="D19" s="2"/>
      <c r="E19" s="2"/>
      <c r="F19" s="2"/>
      <c r="G19" s="2"/>
      <c r="H19" s="2"/>
      <c r="I19" s="1"/>
      <c r="J19" s="1"/>
    </row>
    <row r="20" spans="1:13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3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3" ht="12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3" ht="12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3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3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3" ht="12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8" spans="1:13" x14ac:dyDescent="0.35">
      <c r="A28" s="34" t="s">
        <v>75</v>
      </c>
    </row>
    <row r="30" spans="1:13" x14ac:dyDescent="0.35">
      <c r="A30" s="6" t="s">
        <v>64</v>
      </c>
      <c r="B30" s="6"/>
      <c r="C30" s="6"/>
      <c r="D30" s="6"/>
      <c r="E30" s="6"/>
      <c r="F30" s="6"/>
      <c r="G30" s="6"/>
      <c r="H30" s="6"/>
      <c r="J30" s="6" t="s">
        <v>71</v>
      </c>
      <c r="K30" s="6"/>
      <c r="L30" s="6"/>
      <c r="M30" s="6"/>
    </row>
    <row r="31" spans="1:13" ht="63" x14ac:dyDescent="0.35">
      <c r="A31" s="3"/>
      <c r="B31" s="4"/>
      <c r="C31" s="4" t="s">
        <v>65</v>
      </c>
      <c r="D31" s="4" t="s">
        <v>66</v>
      </c>
      <c r="E31" s="4" t="s">
        <v>67</v>
      </c>
      <c r="F31" s="4" t="s">
        <v>68</v>
      </c>
      <c r="G31" s="4" t="s">
        <v>69</v>
      </c>
      <c r="H31" s="5" t="s">
        <v>70</v>
      </c>
      <c r="J31" s="3"/>
      <c r="K31" s="4"/>
      <c r="L31" s="4" t="s">
        <v>72</v>
      </c>
      <c r="M31" s="5" t="s">
        <v>73</v>
      </c>
    </row>
    <row r="32" spans="1:13" ht="11.25" customHeight="1" x14ac:dyDescent="0.35">
      <c r="A32" s="7" t="s">
        <v>1</v>
      </c>
      <c r="B32" s="8" t="s">
        <v>0</v>
      </c>
      <c r="C32" s="9">
        <v>0.74062699413156097</v>
      </c>
      <c r="D32" s="9">
        <v>0.19766243192489399</v>
      </c>
      <c r="E32" s="9">
        <v>-1.382175956217</v>
      </c>
      <c r="F32" s="9">
        <v>0.49646562736739303</v>
      </c>
      <c r="G32" s="9">
        <v>-0.70520414624458705</v>
      </c>
      <c r="H32" s="10">
        <v>-0.65262504903775198</v>
      </c>
      <c r="J32" s="7">
        <v>2022</v>
      </c>
      <c r="K32" s="8"/>
      <c r="L32" s="23">
        <v>55.047571498170001</v>
      </c>
      <c r="M32" s="24">
        <v>55.047571498170001</v>
      </c>
    </row>
    <row r="33" spans="1:13" ht="11.25" customHeight="1" x14ac:dyDescent="0.35">
      <c r="A33" s="11" t="s">
        <v>3</v>
      </c>
      <c r="B33" s="12" t="s">
        <v>2</v>
      </c>
      <c r="C33" s="13">
        <v>1.4983707902196399</v>
      </c>
      <c r="D33" s="13">
        <v>1.3919573517905801</v>
      </c>
      <c r="E33" s="13">
        <v>0.26386612651828001</v>
      </c>
      <c r="F33" s="13">
        <v>0.44216613085779799</v>
      </c>
      <c r="G33" s="13">
        <v>-2.8710464829040898</v>
      </c>
      <c r="H33" s="14">
        <v>0.725313916482207</v>
      </c>
      <c r="J33" s="11">
        <v>2023</v>
      </c>
      <c r="K33" s="12"/>
      <c r="L33" s="25">
        <v>55.708872189166797</v>
      </c>
      <c r="M33" s="26">
        <v>55.708872189166797</v>
      </c>
    </row>
    <row r="34" spans="1:13" ht="11.25" customHeight="1" x14ac:dyDescent="0.35">
      <c r="A34" s="15" t="s">
        <v>5</v>
      </c>
      <c r="B34" s="16" t="s">
        <v>4</v>
      </c>
      <c r="C34" s="17">
        <v>1.66160892967923</v>
      </c>
      <c r="D34" s="17">
        <v>1.29245362416521</v>
      </c>
      <c r="E34" s="17">
        <v>0.22513327056649499</v>
      </c>
      <c r="F34" s="17">
        <v>-1.4441883362460299</v>
      </c>
      <c r="G34" s="17">
        <v>-5.4906841157242398E-2</v>
      </c>
      <c r="H34" s="18">
        <v>1.68010064700766</v>
      </c>
      <c r="J34" s="15">
        <v>2024</v>
      </c>
      <c r="K34" s="16"/>
      <c r="L34" s="27">
        <v>57.0834838047451</v>
      </c>
      <c r="M34" s="28">
        <v>57.0834838047451</v>
      </c>
    </row>
    <row r="35" spans="1:13" ht="11.25" customHeight="1" x14ac:dyDescent="0.35">
      <c r="A35" s="11" t="s">
        <v>7</v>
      </c>
      <c r="B35" s="12" t="s">
        <v>6</v>
      </c>
      <c r="C35" s="13">
        <v>1.67343193047457</v>
      </c>
      <c r="D35" s="13">
        <v>1.3084201988050299</v>
      </c>
      <c r="E35" s="13">
        <v>-0.263279991230152</v>
      </c>
      <c r="F35" s="13">
        <v>0.15895833762312001</v>
      </c>
      <c r="G35" s="13">
        <v>-0.93538700116337503</v>
      </c>
      <c r="H35" s="14">
        <v>1.9421434745092001</v>
      </c>
      <c r="J35" s="11">
        <v>2025</v>
      </c>
      <c r="K35" s="12"/>
      <c r="L35" s="25">
        <v>59.940059045133701</v>
      </c>
      <c r="M35" s="26">
        <v>59.940059045133701</v>
      </c>
    </row>
    <row r="36" spans="1:13" ht="11.25" customHeight="1" x14ac:dyDescent="0.35">
      <c r="A36" s="15" t="s">
        <v>9</v>
      </c>
      <c r="B36" s="16" t="s">
        <v>8</v>
      </c>
      <c r="C36" s="17">
        <v>2.44829820341476</v>
      </c>
      <c r="D36" s="17">
        <v>-0.92347056738107103</v>
      </c>
      <c r="E36" s="17">
        <v>1.15719014413346</v>
      </c>
      <c r="F36" s="17">
        <v>0.64023759704375205</v>
      </c>
      <c r="G36" s="17">
        <v>-0.81631293104165903</v>
      </c>
      <c r="H36" s="18">
        <v>2.5059424461692599</v>
      </c>
      <c r="J36" s="15">
        <v>2026</v>
      </c>
      <c r="K36" s="16"/>
      <c r="L36" s="27">
        <v>62.501110119388599</v>
      </c>
      <c r="M36" s="28">
        <v>62.501110119388599</v>
      </c>
    </row>
    <row r="37" spans="1:13" ht="11.25" customHeight="1" x14ac:dyDescent="0.35">
      <c r="A37" s="11" t="s">
        <v>11</v>
      </c>
      <c r="B37" s="12" t="s">
        <v>10</v>
      </c>
      <c r="C37" s="13">
        <v>1.8687966310337001</v>
      </c>
      <c r="D37" s="13">
        <v>1.19721886742913</v>
      </c>
      <c r="E37" s="13">
        <v>-0.32586990859966702</v>
      </c>
      <c r="F37" s="13">
        <v>-0.159459850162152</v>
      </c>
      <c r="G37" s="13">
        <v>0.17351302108764899</v>
      </c>
      <c r="H37" s="14">
        <v>2.75419876078867</v>
      </c>
      <c r="J37" s="11">
        <v>2027</v>
      </c>
      <c r="K37" s="12"/>
      <c r="L37" s="25">
        <v>62.967841933521498</v>
      </c>
      <c r="M37" s="26">
        <v>62.967841933521498</v>
      </c>
    </row>
    <row r="38" spans="1:13" ht="11.25" customHeight="1" x14ac:dyDescent="0.35">
      <c r="A38" s="15" t="s">
        <v>13</v>
      </c>
      <c r="B38" s="16" t="s">
        <v>12</v>
      </c>
      <c r="C38" s="17">
        <v>1.8224935728375999</v>
      </c>
      <c r="D38" s="17">
        <v>-3.90984</v>
      </c>
      <c r="E38" s="17">
        <v>2.2508039974140002</v>
      </c>
      <c r="F38" s="17">
        <v>2.8934109314752701</v>
      </c>
      <c r="G38" s="17">
        <v>0.10818989139223401</v>
      </c>
      <c r="H38" s="18">
        <v>3.1650583931191099</v>
      </c>
      <c r="J38" s="15">
        <v>2028</v>
      </c>
      <c r="K38" s="16"/>
      <c r="L38" s="27">
        <v>63.623129394546211</v>
      </c>
      <c r="M38" s="28">
        <v>63.123129394546211</v>
      </c>
    </row>
    <row r="39" spans="1:13" ht="11.25" customHeight="1" x14ac:dyDescent="0.35">
      <c r="A39" s="11" t="s">
        <v>15</v>
      </c>
      <c r="B39" s="12" t="s">
        <v>14</v>
      </c>
      <c r="C39" s="13">
        <v>1.4730733621782399</v>
      </c>
      <c r="D39" s="13">
        <v>1.75124560435171</v>
      </c>
      <c r="E39" s="13">
        <v>-0.62143965151625402</v>
      </c>
      <c r="F39" s="13">
        <v>0.39654416963265599</v>
      </c>
      <c r="G39" s="13">
        <v>0.423761429084137</v>
      </c>
      <c r="H39" s="14">
        <v>3.4231849137304899</v>
      </c>
      <c r="J39" s="11">
        <v>2029</v>
      </c>
      <c r="K39" s="12"/>
      <c r="L39" s="25">
        <v>64.390121639248022</v>
      </c>
      <c r="M39" s="26">
        <v>62.884266432127248</v>
      </c>
    </row>
    <row r="40" spans="1:13" ht="11.25" customHeight="1" x14ac:dyDescent="0.35">
      <c r="A40" s="15" t="s">
        <v>17</v>
      </c>
      <c r="B40" s="16" t="s">
        <v>16</v>
      </c>
      <c r="C40" s="17">
        <v>1.8396539764117801</v>
      </c>
      <c r="D40" s="17">
        <v>2.1626409759870802</v>
      </c>
      <c r="E40" s="17">
        <v>0.87631152203045504</v>
      </c>
      <c r="F40" s="17">
        <v>0.44021400747905398</v>
      </c>
      <c r="G40" s="17">
        <v>-1.69517156241459</v>
      </c>
      <c r="H40" s="18">
        <v>3.62364891949378</v>
      </c>
      <c r="J40" s="15">
        <v>2030</v>
      </c>
      <c r="K40" s="16"/>
      <c r="L40" s="27">
        <v>65.286786234942312</v>
      </c>
      <c r="M40" s="28">
        <v>62.260749395005867</v>
      </c>
    </row>
    <row r="41" spans="1:13" ht="11.25" customHeight="1" x14ac:dyDescent="0.35">
      <c r="A41" s="11" t="s">
        <v>19</v>
      </c>
      <c r="B41" s="12" t="s">
        <v>18</v>
      </c>
      <c r="C41" s="13">
        <v>2.1344435209488499</v>
      </c>
      <c r="D41" s="13">
        <v>1.76462389857672</v>
      </c>
      <c r="E41" s="13">
        <v>0.53797622562710501</v>
      </c>
      <c r="F41" s="13">
        <v>0.46813210365962798</v>
      </c>
      <c r="G41" s="13">
        <v>-1.11128291012594</v>
      </c>
      <c r="H41" s="14">
        <v>3.79389283868636</v>
      </c>
      <c r="J41" s="11">
        <v>2031</v>
      </c>
      <c r="K41" s="12"/>
      <c r="L41" s="25">
        <v>66.32151271145004</v>
      </c>
      <c r="M41" s="26">
        <v>61.250341688147103</v>
      </c>
    </row>
    <row r="42" spans="1:13" ht="11.25" customHeight="1" x14ac:dyDescent="0.35">
      <c r="A42" s="15" t="s">
        <v>21</v>
      </c>
      <c r="B42" s="16" t="s">
        <v>20</v>
      </c>
      <c r="C42" s="17">
        <v>2.7608863553578602</v>
      </c>
      <c r="D42" s="17">
        <v>1.6251628010676</v>
      </c>
      <c r="E42" s="17">
        <v>0.219170180575503</v>
      </c>
      <c r="F42" s="17">
        <v>0.37528375426191601</v>
      </c>
      <c r="G42" s="17">
        <v>4.50724187654412E-2</v>
      </c>
      <c r="H42" s="18">
        <v>5.0255755100283199</v>
      </c>
      <c r="J42" s="15">
        <v>2032</v>
      </c>
      <c r="K42" s="16"/>
      <c r="L42" s="27">
        <v>67.500605220705637</v>
      </c>
      <c r="M42" s="28">
        <v>60.346825748158032</v>
      </c>
    </row>
    <row r="43" spans="1:13" ht="11.25" customHeight="1" x14ac:dyDescent="0.35">
      <c r="A43" s="11" t="s">
        <v>23</v>
      </c>
      <c r="B43" s="12" t="s">
        <v>22</v>
      </c>
      <c r="C43" s="13">
        <v>2.1727977864085899</v>
      </c>
      <c r="D43" s="13">
        <v>2.4167679556893802</v>
      </c>
      <c r="E43" s="13">
        <v>1.5368546358659401</v>
      </c>
      <c r="F43" s="13">
        <v>-0.53986906561870296</v>
      </c>
      <c r="G43" s="13">
        <v>-0.16613078214444199</v>
      </c>
      <c r="H43" s="14">
        <v>5.4204205302007598</v>
      </c>
      <c r="J43" s="11">
        <v>2033</v>
      </c>
      <c r="K43" s="12"/>
      <c r="L43" s="25">
        <v>68.824765121369296</v>
      </c>
      <c r="M43" s="26">
        <v>59.545789085903536</v>
      </c>
    </row>
    <row r="44" spans="1:13" ht="11.25" customHeight="1" x14ac:dyDescent="0.35">
      <c r="A44" s="15" t="s">
        <v>25</v>
      </c>
      <c r="B44" s="16" t="s">
        <v>24</v>
      </c>
      <c r="C44" s="17">
        <v>1.9841320652266301</v>
      </c>
      <c r="D44" s="17">
        <v>1.8462336236708901</v>
      </c>
      <c r="E44" s="17">
        <v>0.52967205009058904</v>
      </c>
      <c r="F44" s="17">
        <v>0.24837072838694199</v>
      </c>
      <c r="G44" s="17">
        <v>1.0373582077210599</v>
      </c>
      <c r="H44" s="18">
        <v>5.6457666750961204</v>
      </c>
      <c r="J44" s="15">
        <v>2034</v>
      </c>
      <c r="K44" s="16"/>
      <c r="L44" s="27">
        <v>70.297209784495067</v>
      </c>
      <c r="M44" s="28">
        <v>58.846218614075717</v>
      </c>
    </row>
    <row r="45" spans="1:13" ht="11.25" customHeight="1" x14ac:dyDescent="0.35">
      <c r="A45" s="11" t="s">
        <v>27</v>
      </c>
      <c r="B45" s="12" t="s">
        <v>26</v>
      </c>
      <c r="C45" s="13">
        <v>2.3256447759365102</v>
      </c>
      <c r="D45" s="13">
        <v>2.68978176721052</v>
      </c>
      <c r="E45" s="13">
        <v>0.648180621838786</v>
      </c>
      <c r="F45" s="13">
        <v>-1.1496181056636099</v>
      </c>
      <c r="G45" s="13">
        <v>1.3068614145177599</v>
      </c>
      <c r="H45" s="14">
        <v>5.8208504738399602</v>
      </c>
      <c r="J45" s="11">
        <v>2035</v>
      </c>
      <c r="K45" s="12"/>
      <c r="L45" s="25">
        <v>71.92128271136977</v>
      </c>
      <c r="M45" s="26">
        <v>58.247408132525656</v>
      </c>
    </row>
    <row r="46" spans="1:13" ht="11.25" customHeight="1" x14ac:dyDescent="0.35">
      <c r="A46" s="15" t="s">
        <v>29</v>
      </c>
      <c r="B46" s="16" t="s">
        <v>28</v>
      </c>
      <c r="C46" s="17">
        <v>2.5112985204884999</v>
      </c>
      <c r="D46" s="17">
        <v>0.91489587446333998</v>
      </c>
      <c r="E46" s="17">
        <v>0.98159985612245704</v>
      </c>
      <c r="F46" s="17">
        <v>0.89978196149059697</v>
      </c>
      <c r="G46" s="17">
        <v>0.76684941771395498</v>
      </c>
      <c r="H46" s="18">
        <v>6.0744256302788502</v>
      </c>
      <c r="J46" s="15">
        <v>2036</v>
      </c>
      <c r="K46" s="16"/>
      <c r="L46" s="27">
        <v>73.707979512818923</v>
      </c>
      <c r="M46" s="28">
        <v>57.756195757519265</v>
      </c>
    </row>
    <row r="47" spans="1:13" ht="11.25" customHeight="1" x14ac:dyDescent="0.35">
      <c r="A47" s="11" t="s">
        <v>31</v>
      </c>
      <c r="B47" s="12" t="s">
        <v>30</v>
      </c>
      <c r="C47" s="13">
        <v>2.4802452394145198</v>
      </c>
      <c r="D47" s="13">
        <v>1.97899736799126</v>
      </c>
      <c r="E47" s="13">
        <v>1.4221342661323799</v>
      </c>
      <c r="F47" s="13">
        <v>-0.23703746363756101</v>
      </c>
      <c r="G47" s="13">
        <v>0.43633574282864102</v>
      </c>
      <c r="H47" s="14">
        <v>6.08067515272925</v>
      </c>
      <c r="J47" s="11">
        <v>2037</v>
      </c>
      <c r="K47" s="12"/>
      <c r="L47" s="25">
        <v>75.664004700414296</v>
      </c>
      <c r="M47" s="26">
        <v>57.374825407149267</v>
      </c>
    </row>
    <row r="48" spans="1:13" ht="11.25" customHeight="1" x14ac:dyDescent="0.35">
      <c r="A48" s="15" t="s">
        <v>33</v>
      </c>
      <c r="B48" s="16" t="s">
        <v>32</v>
      </c>
      <c r="C48" s="17">
        <v>1.0459033038119601</v>
      </c>
      <c r="D48" s="17">
        <v>3.4253251594190202</v>
      </c>
      <c r="E48" s="17">
        <v>2.1954560752645</v>
      </c>
      <c r="F48" s="17">
        <v>-0.75252863685114602</v>
      </c>
      <c r="G48" s="17">
        <v>0.662974466801316</v>
      </c>
      <c r="H48" s="18">
        <v>6.5771303684456504</v>
      </c>
      <c r="J48" s="15">
        <v>2038</v>
      </c>
      <c r="K48" s="16"/>
      <c r="L48" s="27">
        <v>77.774325315705738</v>
      </c>
      <c r="M48" s="28">
        <v>57.084703691472441</v>
      </c>
    </row>
    <row r="49" spans="1:13" ht="11.25" customHeight="1" x14ac:dyDescent="0.35">
      <c r="A49" s="11" t="s">
        <v>35</v>
      </c>
      <c r="B49" s="12" t="s">
        <v>34</v>
      </c>
      <c r="C49" s="13">
        <v>2.7659133020750302</v>
      </c>
      <c r="D49" s="13">
        <v>2.5991239755213602</v>
      </c>
      <c r="E49" s="13">
        <v>1.7721833229272099</v>
      </c>
      <c r="F49" s="13">
        <v>7.1870542162561099E-2</v>
      </c>
      <c r="G49" s="13">
        <v>0.66671004619454399</v>
      </c>
      <c r="H49" s="14">
        <v>7.87580118888072</v>
      </c>
      <c r="J49" s="11">
        <v>2039</v>
      </c>
      <c r="K49" s="12"/>
      <c r="L49" s="25">
        <v>80.021554002937862</v>
      </c>
      <c r="M49" s="26">
        <v>56.865057314899772</v>
      </c>
    </row>
    <row r="50" spans="1:13" ht="11.25" customHeight="1" x14ac:dyDescent="0.35">
      <c r="A50" s="15" t="s">
        <v>37</v>
      </c>
      <c r="B50" s="16" t="s">
        <v>36</v>
      </c>
      <c r="C50" s="17">
        <v>1.8448214024251099</v>
      </c>
      <c r="D50" s="17">
        <v>3.6466717675865099</v>
      </c>
      <c r="E50" s="17">
        <v>1.7965435379019601</v>
      </c>
      <c r="F50" s="17">
        <v>-1.2549437319129599</v>
      </c>
      <c r="G50" s="17">
        <v>2.0109269221395998</v>
      </c>
      <c r="H50" s="18">
        <v>8.0440198981402293</v>
      </c>
      <c r="J50" s="15">
        <v>2040</v>
      </c>
      <c r="K50" s="16"/>
      <c r="L50" s="27">
        <v>82.394441840738551</v>
      </c>
      <c r="M50" s="28">
        <v>56.701171973900578</v>
      </c>
    </row>
    <row r="51" spans="1:13" ht="11.25" customHeight="1" x14ac:dyDescent="0.35">
      <c r="A51" s="11" t="s">
        <v>39</v>
      </c>
      <c r="B51" s="12" t="s">
        <v>38</v>
      </c>
      <c r="C51" s="13">
        <v>2.7694398279814401</v>
      </c>
      <c r="D51" s="13">
        <v>3.3710150846921998</v>
      </c>
      <c r="E51" s="13">
        <v>0.80199926788826403</v>
      </c>
      <c r="F51" s="13">
        <v>-0.50142894791935999</v>
      </c>
      <c r="G51" s="13">
        <v>1.79313534639602</v>
      </c>
      <c r="H51" s="14">
        <v>8.2341605790385692</v>
      </c>
      <c r="J51" s="11">
        <v>2041</v>
      </c>
      <c r="K51" s="12"/>
      <c r="L51" s="25">
        <v>84.882752082773408</v>
      </c>
      <c r="M51" s="26">
        <v>56.579628247851666</v>
      </c>
    </row>
    <row r="52" spans="1:13" ht="11.25" customHeight="1" x14ac:dyDescent="0.35">
      <c r="A52" s="15" t="s">
        <v>41</v>
      </c>
      <c r="B52" s="16" t="s">
        <v>40</v>
      </c>
      <c r="C52" s="17">
        <v>1.90652501926089</v>
      </c>
      <c r="D52" s="17">
        <v>2.3073972275377401</v>
      </c>
      <c r="E52" s="17">
        <v>0.13975231721916201</v>
      </c>
      <c r="F52" s="17">
        <v>1.4863395687385399</v>
      </c>
      <c r="G52" s="17">
        <v>2.39778281016206</v>
      </c>
      <c r="H52" s="18">
        <v>8.2377969429184095</v>
      </c>
      <c r="J52" s="15">
        <v>2042</v>
      </c>
      <c r="K52" s="16"/>
      <c r="L52" s="27">
        <v>87.479551554735835</v>
      </c>
      <c r="M52" s="28">
        <v>56.49045624740495</v>
      </c>
    </row>
    <row r="53" spans="1:13" ht="11.25" customHeight="1" x14ac:dyDescent="0.35">
      <c r="A53" s="11" t="s">
        <v>43</v>
      </c>
      <c r="B53" s="12" t="s">
        <v>42</v>
      </c>
      <c r="C53" s="13">
        <v>2.1160213241451702</v>
      </c>
      <c r="D53" s="13">
        <v>1.7165913985513399</v>
      </c>
      <c r="E53" s="13">
        <v>0.33825110526747798</v>
      </c>
      <c r="F53" s="13">
        <v>4.1463295979440797</v>
      </c>
      <c r="G53" s="13">
        <v>-2.1825068245668398E-2</v>
      </c>
      <c r="H53" s="14">
        <v>8.2953683576624098</v>
      </c>
      <c r="J53" s="11">
        <v>2043</v>
      </c>
      <c r="K53" s="12"/>
      <c r="L53" s="25">
        <v>90.181793487171831</v>
      </c>
      <c r="M53" s="26">
        <v>56.427242995614478</v>
      </c>
    </row>
    <row r="54" spans="1:13" ht="11.25" customHeight="1" x14ac:dyDescent="0.35">
      <c r="A54" s="15" t="s">
        <v>45</v>
      </c>
      <c r="B54" s="16" t="s">
        <v>44</v>
      </c>
      <c r="C54" s="17">
        <v>1.92531701683363</v>
      </c>
      <c r="D54" s="17">
        <v>3.83708626256267</v>
      </c>
      <c r="E54" s="17">
        <v>0.43134107107923397</v>
      </c>
      <c r="F54" s="17">
        <v>1.1275021509633101</v>
      </c>
      <c r="G54" s="17">
        <v>1.14604393773505</v>
      </c>
      <c r="H54" s="18">
        <v>8.4672904391739099</v>
      </c>
      <c r="J54" s="15">
        <v>2044</v>
      </c>
      <c r="K54" s="16"/>
      <c r="L54" s="27">
        <v>92.994763115249796</v>
      </c>
      <c r="M54" s="28">
        <v>56.390903806405355</v>
      </c>
    </row>
    <row r="55" spans="1:13" ht="11.25" customHeight="1" x14ac:dyDescent="0.35">
      <c r="A55" s="11" t="s">
        <v>47</v>
      </c>
      <c r="B55" s="12" t="s">
        <v>46</v>
      </c>
      <c r="C55" s="13">
        <v>2.98738945231969</v>
      </c>
      <c r="D55" s="13">
        <v>4.3849405681767797</v>
      </c>
      <c r="E55" s="13">
        <v>1.4629571144163001</v>
      </c>
      <c r="F55" s="13">
        <v>0.87552340188660305</v>
      </c>
      <c r="G55" s="13">
        <v>-0.72050024851304395</v>
      </c>
      <c r="H55" s="14">
        <v>8.9903102882863308</v>
      </c>
      <c r="J55" s="11">
        <v>2045</v>
      </c>
      <c r="K55" s="12"/>
      <c r="L55" s="25">
        <v>95.929964001802389</v>
      </c>
      <c r="M55" s="26">
        <v>56.387011905775431</v>
      </c>
    </row>
    <row r="56" spans="1:13" ht="11.25" customHeight="1" x14ac:dyDescent="0.35">
      <c r="A56" s="15" t="s">
        <v>49</v>
      </c>
      <c r="B56" s="16" t="s">
        <v>48</v>
      </c>
      <c r="C56" s="17">
        <v>2.8668166423201602</v>
      </c>
      <c r="D56" s="17">
        <v>2.6480317815887102</v>
      </c>
      <c r="E56" s="17">
        <v>1.8221797742555099E-2</v>
      </c>
      <c r="F56" s="17">
        <v>0.51793466089505502</v>
      </c>
      <c r="G56" s="17">
        <v>3.1650155873132002</v>
      </c>
      <c r="H56" s="18">
        <v>9.2160204698596893</v>
      </c>
      <c r="J56" s="15">
        <v>2046</v>
      </c>
      <c r="K56" s="16"/>
      <c r="L56" s="27">
        <v>99.007382642493297</v>
      </c>
      <c r="M56" s="28">
        <v>56.427364039414215</v>
      </c>
    </row>
    <row r="57" spans="1:13" ht="11.25" customHeight="1" x14ac:dyDescent="0.35">
      <c r="A57" s="11" t="s">
        <v>51</v>
      </c>
      <c r="B57" s="12" t="s">
        <v>50</v>
      </c>
      <c r="C57" s="13">
        <v>2.81780436581447</v>
      </c>
      <c r="D57" s="13">
        <v>3.2727656988995801</v>
      </c>
      <c r="E57" s="13">
        <v>2.14863811343962</v>
      </c>
      <c r="F57" s="13">
        <v>7.2602163285406798E-3</v>
      </c>
      <c r="G57" s="13">
        <v>2.55667988626158</v>
      </c>
      <c r="H57" s="14">
        <v>10.8031482807438</v>
      </c>
      <c r="J57" s="11">
        <v>2047</v>
      </c>
      <c r="K57" s="12"/>
      <c r="L57" s="25">
        <v>102.25149179625704</v>
      </c>
      <c r="M57" s="26">
        <v>56.525654597295812</v>
      </c>
    </row>
    <row r="58" spans="1:13" ht="11.25" customHeight="1" x14ac:dyDescent="0.35">
      <c r="A58" s="15" t="s">
        <v>53</v>
      </c>
      <c r="B58" s="16" t="s">
        <v>52</v>
      </c>
      <c r="C58" s="17">
        <v>2.3529011611247701</v>
      </c>
      <c r="D58" s="17">
        <v>4.1816268884414001</v>
      </c>
      <c r="E58" s="17">
        <v>1.5693255352189099</v>
      </c>
      <c r="F58" s="17">
        <v>1.6194910566445999</v>
      </c>
      <c r="G58" s="17">
        <v>1.11022797476465</v>
      </c>
      <c r="H58" s="18">
        <v>10.833572616194299</v>
      </c>
      <c r="J58" s="15">
        <v>2048</v>
      </c>
      <c r="K58" s="16"/>
      <c r="L58" s="27">
        <v>105.69028287757187</v>
      </c>
      <c r="M58" s="28">
        <v>56.696982405870664</v>
      </c>
    </row>
    <row r="59" spans="1:13" ht="11.25" customHeight="1" x14ac:dyDescent="0.35">
      <c r="A59" s="11" t="s">
        <v>55</v>
      </c>
      <c r="B59" s="12" t="s">
        <v>54</v>
      </c>
      <c r="C59" s="13">
        <v>2.14734203372279</v>
      </c>
      <c r="D59" s="13">
        <v>6.6996173926774096</v>
      </c>
      <c r="E59" s="13">
        <v>2.7817095372718801</v>
      </c>
      <c r="F59" s="13">
        <v>0.40487567773577599</v>
      </c>
      <c r="G59" s="13">
        <v>0.91676322061050997</v>
      </c>
      <c r="H59" s="14">
        <v>12.950307862018301</v>
      </c>
      <c r="J59" s="11">
        <v>2049</v>
      </c>
      <c r="K59" s="12"/>
      <c r="L59" s="25">
        <v>109.3433051462674</v>
      </c>
      <c r="M59" s="26">
        <v>56.947894650794936</v>
      </c>
    </row>
    <row r="60" spans="1:13" ht="11.25" customHeight="1" x14ac:dyDescent="0.35">
      <c r="A60" s="15" t="s">
        <v>57</v>
      </c>
      <c r="B60" s="16" t="s">
        <v>56</v>
      </c>
      <c r="C60" s="17">
        <v>2.0582061652168702</v>
      </c>
      <c r="D60" s="17">
        <v>6.5106371516589299</v>
      </c>
      <c r="E60" s="17">
        <v>4.20791570281171</v>
      </c>
      <c r="F60" s="17">
        <v>-1.3703873110739699</v>
      </c>
      <c r="G60" s="17">
        <v>2.9692215195042602</v>
      </c>
      <c r="H60" s="18">
        <v>14.3755932281178</v>
      </c>
      <c r="J60" s="29">
        <v>2050</v>
      </c>
      <c r="K60" s="30"/>
      <c r="L60" s="31">
        <v>113.22773700100977</v>
      </c>
      <c r="M60" s="32">
        <v>57.282972469294037</v>
      </c>
    </row>
    <row r="61" spans="1:13" ht="11.25" customHeight="1" x14ac:dyDescent="0.35">
      <c r="A61" s="11" t="s">
        <v>59</v>
      </c>
      <c r="B61" s="12" t="s">
        <v>58</v>
      </c>
      <c r="C61" s="13">
        <v>2.5543748305262302</v>
      </c>
      <c r="D61" s="13">
        <v>4.4439576167705797</v>
      </c>
      <c r="E61" s="13">
        <v>3.2190829808838002</v>
      </c>
      <c r="F61" s="13">
        <v>0.23938286118767499</v>
      </c>
      <c r="G61" s="13">
        <v>4.1133114821656598</v>
      </c>
      <c r="H61" s="14">
        <v>14.5701097715339</v>
      </c>
    </row>
    <row r="62" spans="1:13" ht="11.25" customHeight="1" x14ac:dyDescent="0.35">
      <c r="A62" s="15" t="s">
        <v>61</v>
      </c>
      <c r="B62" s="16" t="s">
        <v>60</v>
      </c>
      <c r="C62" s="17">
        <v>2.8107807791157202</v>
      </c>
      <c r="D62" s="17">
        <v>4.8315432472241602</v>
      </c>
      <c r="E62" s="17">
        <v>2.8891010414623302</v>
      </c>
      <c r="F62" s="17">
        <v>0.80806956636886096</v>
      </c>
      <c r="G62" s="17">
        <v>3.9163406986835598</v>
      </c>
      <c r="H62" s="18">
        <v>15.2558353328546</v>
      </c>
    </row>
    <row r="63" spans="1:13" ht="11.25" customHeight="1" x14ac:dyDescent="0.35">
      <c r="A63" s="19" t="s">
        <v>63</v>
      </c>
      <c r="B63" s="20" t="s">
        <v>62</v>
      </c>
      <c r="C63" s="21">
        <v>4.2845011386869301</v>
      </c>
      <c r="D63" s="21">
        <v>6.52007237592988</v>
      </c>
      <c r="E63" s="21">
        <v>5.9909710574094603</v>
      </c>
      <c r="F63" s="21">
        <v>-0.118678032945383</v>
      </c>
      <c r="G63" s="21">
        <v>-0.36337457659504102</v>
      </c>
      <c r="H63" s="22">
        <v>16.313491962485799</v>
      </c>
    </row>
  </sheetData>
  <pageMargins left="0.7" right="0.7" top="0.75" bottom="0.75" header="0.3" footer="0.3"/>
  <pageSetup orientation="portrait" r:id="rId1"/>
  <headerFooter>
    <oddFooter>&amp;C_x000D_&amp;1#&amp;"Calibri"&amp;10&amp;K0000FF Restricted Use - À usage restreint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AF17-2111-48DD-8FDF-D9B7338E37AC}">
  <dimension ref="A1:C30"/>
  <sheetViews>
    <sheetView workbookViewId="0">
      <selection activeCell="A2" sqref="A2"/>
    </sheetView>
  </sheetViews>
  <sheetFormatPr defaultRowHeight="14.5" x14ac:dyDescent="0.35"/>
  <cols>
    <col min="2" max="2" width="13.08984375" customWidth="1"/>
    <col min="3" max="3" width="13.90625" customWidth="1"/>
  </cols>
  <sheetData>
    <row r="1" spans="1:3" x14ac:dyDescent="0.35">
      <c r="A1" t="s">
        <v>85</v>
      </c>
      <c r="B1" t="s">
        <v>83</v>
      </c>
      <c r="C1" t="s">
        <v>84</v>
      </c>
    </row>
    <row r="2" spans="1:3" x14ac:dyDescent="0.35">
      <c r="A2">
        <f>'fig1-14'!J32</f>
        <v>2022</v>
      </c>
      <c r="B2">
        <f>'fig1-14'!L32</f>
        <v>55.047571498170001</v>
      </c>
      <c r="C2">
        <f>'fig1-14'!M32</f>
        <v>55.047571498170001</v>
      </c>
    </row>
    <row r="3" spans="1:3" x14ac:dyDescent="0.35">
      <c r="A3">
        <f>'fig1-14'!J33</f>
        <v>2023</v>
      </c>
      <c r="B3">
        <f>'fig1-14'!L33</f>
        <v>55.708872189166797</v>
      </c>
      <c r="C3">
        <f>'fig1-14'!M33</f>
        <v>55.708872189166797</v>
      </c>
    </row>
    <row r="4" spans="1:3" x14ac:dyDescent="0.35">
      <c r="A4">
        <f>'fig1-14'!J34</f>
        <v>2024</v>
      </c>
      <c r="B4">
        <f>'fig1-14'!L34</f>
        <v>57.0834838047451</v>
      </c>
      <c r="C4">
        <f>'fig1-14'!M34</f>
        <v>57.0834838047451</v>
      </c>
    </row>
    <row r="5" spans="1:3" x14ac:dyDescent="0.35">
      <c r="A5">
        <f>'fig1-14'!J35</f>
        <v>2025</v>
      </c>
      <c r="B5">
        <f>'fig1-14'!L35</f>
        <v>59.940059045133701</v>
      </c>
      <c r="C5">
        <f>'fig1-14'!M35</f>
        <v>59.940059045133701</v>
      </c>
    </row>
    <row r="6" spans="1:3" x14ac:dyDescent="0.35">
      <c r="A6">
        <f>'fig1-14'!J36</f>
        <v>2026</v>
      </c>
      <c r="B6">
        <f>'fig1-14'!L36</f>
        <v>62.501110119388599</v>
      </c>
      <c r="C6">
        <f>'fig1-14'!M36</f>
        <v>62.501110119388599</v>
      </c>
    </row>
    <row r="7" spans="1:3" x14ac:dyDescent="0.35">
      <c r="A7">
        <f>'fig1-14'!J37</f>
        <v>2027</v>
      </c>
      <c r="B7">
        <f>'fig1-14'!L37</f>
        <v>62.967841933521498</v>
      </c>
      <c r="C7">
        <f>'fig1-14'!M37</f>
        <v>62.967841933521498</v>
      </c>
    </row>
    <row r="8" spans="1:3" x14ac:dyDescent="0.35">
      <c r="A8">
        <f>'fig1-14'!J38</f>
        <v>2028</v>
      </c>
      <c r="B8">
        <f>'fig1-14'!L38</f>
        <v>63.623129394546211</v>
      </c>
      <c r="C8">
        <f>'fig1-14'!M38</f>
        <v>63.123129394546211</v>
      </c>
    </row>
    <row r="9" spans="1:3" x14ac:dyDescent="0.35">
      <c r="A9">
        <f>'fig1-14'!J39</f>
        <v>2029</v>
      </c>
      <c r="B9">
        <f>'fig1-14'!L39</f>
        <v>64.390121639248022</v>
      </c>
      <c r="C9">
        <f>'fig1-14'!M39</f>
        <v>62.884266432127248</v>
      </c>
    </row>
    <row r="10" spans="1:3" x14ac:dyDescent="0.35">
      <c r="A10">
        <f>'fig1-14'!J40</f>
        <v>2030</v>
      </c>
      <c r="B10">
        <f>'fig1-14'!L40</f>
        <v>65.286786234942312</v>
      </c>
      <c r="C10">
        <f>'fig1-14'!M40</f>
        <v>62.260749395005867</v>
      </c>
    </row>
    <row r="11" spans="1:3" x14ac:dyDescent="0.35">
      <c r="A11">
        <f>'fig1-14'!J41</f>
        <v>2031</v>
      </c>
      <c r="B11">
        <f>'fig1-14'!L41</f>
        <v>66.32151271145004</v>
      </c>
      <c r="C11">
        <f>'fig1-14'!M41</f>
        <v>61.250341688147103</v>
      </c>
    </row>
    <row r="12" spans="1:3" x14ac:dyDescent="0.35">
      <c r="A12">
        <f>'fig1-14'!J42</f>
        <v>2032</v>
      </c>
      <c r="B12">
        <f>'fig1-14'!L42</f>
        <v>67.500605220705637</v>
      </c>
      <c r="C12">
        <f>'fig1-14'!M42</f>
        <v>60.346825748158032</v>
      </c>
    </row>
    <row r="13" spans="1:3" x14ac:dyDescent="0.35">
      <c r="A13">
        <f>'fig1-14'!J43</f>
        <v>2033</v>
      </c>
      <c r="B13">
        <f>'fig1-14'!L43</f>
        <v>68.824765121369296</v>
      </c>
      <c r="C13">
        <f>'fig1-14'!M43</f>
        <v>59.545789085903536</v>
      </c>
    </row>
    <row r="14" spans="1:3" x14ac:dyDescent="0.35">
      <c r="A14">
        <f>'fig1-14'!J44</f>
        <v>2034</v>
      </c>
      <c r="B14">
        <f>'fig1-14'!L44</f>
        <v>70.297209784495067</v>
      </c>
      <c r="C14">
        <f>'fig1-14'!M44</f>
        <v>58.846218614075717</v>
      </c>
    </row>
    <row r="15" spans="1:3" x14ac:dyDescent="0.35">
      <c r="A15">
        <f>'fig1-14'!J45</f>
        <v>2035</v>
      </c>
      <c r="B15">
        <f>'fig1-14'!L45</f>
        <v>71.92128271136977</v>
      </c>
      <c r="C15">
        <f>'fig1-14'!M45</f>
        <v>58.247408132525656</v>
      </c>
    </row>
    <row r="16" spans="1:3" x14ac:dyDescent="0.35">
      <c r="A16">
        <f>'fig1-14'!J46</f>
        <v>2036</v>
      </c>
      <c r="B16">
        <f>'fig1-14'!L46</f>
        <v>73.707979512818923</v>
      </c>
      <c r="C16">
        <f>'fig1-14'!M46</f>
        <v>57.756195757519265</v>
      </c>
    </row>
    <row r="17" spans="1:3" x14ac:dyDescent="0.35">
      <c r="A17">
        <f>'fig1-14'!J47</f>
        <v>2037</v>
      </c>
      <c r="B17">
        <f>'fig1-14'!L47</f>
        <v>75.664004700414296</v>
      </c>
      <c r="C17">
        <f>'fig1-14'!M47</f>
        <v>57.374825407149267</v>
      </c>
    </row>
    <row r="18" spans="1:3" x14ac:dyDescent="0.35">
      <c r="A18">
        <f>'fig1-14'!J48</f>
        <v>2038</v>
      </c>
      <c r="B18">
        <f>'fig1-14'!L48</f>
        <v>77.774325315705738</v>
      </c>
      <c r="C18">
        <f>'fig1-14'!M48</f>
        <v>57.084703691472441</v>
      </c>
    </row>
    <row r="19" spans="1:3" x14ac:dyDescent="0.35">
      <c r="A19">
        <f>'fig1-14'!J49</f>
        <v>2039</v>
      </c>
      <c r="B19">
        <f>'fig1-14'!L49</f>
        <v>80.021554002937862</v>
      </c>
      <c r="C19">
        <f>'fig1-14'!M49</f>
        <v>56.865057314899772</v>
      </c>
    </row>
    <row r="20" spans="1:3" x14ac:dyDescent="0.35">
      <c r="A20">
        <f>'fig1-14'!J50</f>
        <v>2040</v>
      </c>
      <c r="B20">
        <f>'fig1-14'!L50</f>
        <v>82.394441840738551</v>
      </c>
      <c r="C20">
        <f>'fig1-14'!M50</f>
        <v>56.701171973900578</v>
      </c>
    </row>
    <row r="21" spans="1:3" x14ac:dyDescent="0.35">
      <c r="A21">
        <f>'fig1-14'!J51</f>
        <v>2041</v>
      </c>
      <c r="B21">
        <f>'fig1-14'!L51</f>
        <v>84.882752082773408</v>
      </c>
      <c r="C21">
        <f>'fig1-14'!M51</f>
        <v>56.579628247851666</v>
      </c>
    </row>
    <row r="22" spans="1:3" x14ac:dyDescent="0.35">
      <c r="A22">
        <f>'fig1-14'!J52</f>
        <v>2042</v>
      </c>
      <c r="B22">
        <f>'fig1-14'!L52</f>
        <v>87.479551554735835</v>
      </c>
      <c r="C22">
        <f>'fig1-14'!M52</f>
        <v>56.49045624740495</v>
      </c>
    </row>
    <row r="23" spans="1:3" x14ac:dyDescent="0.35">
      <c r="A23">
        <f>'fig1-14'!J53</f>
        <v>2043</v>
      </c>
      <c r="B23">
        <f>'fig1-14'!L53</f>
        <v>90.181793487171831</v>
      </c>
      <c r="C23">
        <f>'fig1-14'!M53</f>
        <v>56.427242995614478</v>
      </c>
    </row>
    <row r="24" spans="1:3" x14ac:dyDescent="0.35">
      <c r="A24">
        <f>'fig1-14'!J54</f>
        <v>2044</v>
      </c>
      <c r="B24">
        <f>'fig1-14'!L54</f>
        <v>92.994763115249796</v>
      </c>
      <c r="C24">
        <f>'fig1-14'!M54</f>
        <v>56.390903806405355</v>
      </c>
    </row>
    <row r="25" spans="1:3" x14ac:dyDescent="0.35">
      <c r="A25">
        <f>'fig1-14'!J55</f>
        <v>2045</v>
      </c>
      <c r="B25">
        <f>'fig1-14'!L55</f>
        <v>95.929964001802389</v>
      </c>
      <c r="C25">
        <f>'fig1-14'!M55</f>
        <v>56.387011905775431</v>
      </c>
    </row>
    <row r="26" spans="1:3" x14ac:dyDescent="0.35">
      <c r="A26">
        <f>'fig1-14'!J56</f>
        <v>2046</v>
      </c>
      <c r="B26">
        <f>'fig1-14'!L56</f>
        <v>99.007382642493297</v>
      </c>
      <c r="C26">
        <f>'fig1-14'!M56</f>
        <v>56.427364039414215</v>
      </c>
    </row>
    <row r="27" spans="1:3" x14ac:dyDescent="0.35">
      <c r="A27">
        <f>'fig1-14'!J57</f>
        <v>2047</v>
      </c>
      <c r="B27">
        <f>'fig1-14'!L57</f>
        <v>102.25149179625704</v>
      </c>
      <c r="C27">
        <f>'fig1-14'!M57</f>
        <v>56.525654597295812</v>
      </c>
    </row>
    <row r="28" spans="1:3" x14ac:dyDescent="0.35">
      <c r="A28">
        <f>'fig1-14'!J58</f>
        <v>2048</v>
      </c>
      <c r="B28">
        <f>'fig1-14'!L58</f>
        <v>105.69028287757187</v>
      </c>
      <c r="C28">
        <f>'fig1-14'!M58</f>
        <v>56.696982405870664</v>
      </c>
    </row>
    <row r="29" spans="1:3" x14ac:dyDescent="0.35">
      <c r="A29">
        <f>'fig1-14'!J59</f>
        <v>2049</v>
      </c>
      <c r="B29">
        <f>'fig1-14'!L59</f>
        <v>109.3433051462674</v>
      </c>
      <c r="C29">
        <f>'fig1-14'!M59</f>
        <v>56.947894650794936</v>
      </c>
    </row>
    <row r="30" spans="1:3" x14ac:dyDescent="0.35">
      <c r="A30">
        <f>'fig1-14'!J60</f>
        <v>2050</v>
      </c>
      <c r="B30">
        <f>'fig1-14'!L60</f>
        <v>113.22773700100977</v>
      </c>
      <c r="C30">
        <f>'fig1-14'!M60</f>
        <v>57.282972469294037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55E3-C344-4ACE-B7C0-083EEFFB78A6}">
  <dimension ref="A1:D47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t="s">
        <v>85</v>
      </c>
      <c r="B1" t="s">
        <v>86</v>
      </c>
    </row>
    <row r="2" spans="1:4" x14ac:dyDescent="0.35">
      <c r="A2">
        <v>2024</v>
      </c>
      <c r="B2" s="38">
        <v>48.524000000000001</v>
      </c>
    </row>
    <row r="3" spans="1:4" x14ac:dyDescent="0.35">
      <c r="A3">
        <v>2025</v>
      </c>
      <c r="B3">
        <v>51.865000000000002</v>
      </c>
      <c r="D3" s="38"/>
    </row>
    <row r="4" spans="1:4" x14ac:dyDescent="0.35">
      <c r="A4">
        <v>2026</v>
      </c>
      <c r="B4">
        <v>55.758000000000003</v>
      </c>
    </row>
    <row r="5" spans="1:4" x14ac:dyDescent="0.35">
      <c r="A5">
        <v>2027</v>
      </c>
      <c r="B5">
        <v>57.68</v>
      </c>
    </row>
    <row r="6" spans="1:4" x14ac:dyDescent="0.35">
      <c r="A6">
        <v>2028</v>
      </c>
      <c r="B6">
        <v>58.433999999999997</v>
      </c>
    </row>
    <row r="7" spans="1:4" x14ac:dyDescent="0.35">
      <c r="A7">
        <v>2029</v>
      </c>
      <c r="B7">
        <v>58.7</v>
      </c>
    </row>
    <row r="8" spans="1:4" x14ac:dyDescent="0.35">
      <c r="A8">
        <v>2030</v>
      </c>
      <c r="B8">
        <v>57.234999999999999</v>
      </c>
    </row>
    <row r="9" spans="1:4" x14ac:dyDescent="0.35">
      <c r="A9">
        <v>2031</v>
      </c>
      <c r="B9">
        <v>55.692999999999998</v>
      </c>
    </row>
    <row r="10" spans="1:4" x14ac:dyDescent="0.35">
      <c r="A10">
        <v>2032</v>
      </c>
      <c r="B10">
        <v>54.118000000000002</v>
      </c>
    </row>
    <row r="11" spans="1:4" x14ac:dyDescent="0.35">
      <c r="A11">
        <v>2033</v>
      </c>
      <c r="B11">
        <v>52.530999999999999</v>
      </c>
    </row>
    <row r="12" spans="1:4" x14ac:dyDescent="0.35">
      <c r="A12">
        <v>2034</v>
      </c>
      <c r="B12">
        <v>50.85</v>
      </c>
    </row>
    <row r="13" spans="1:4" x14ac:dyDescent="0.35">
      <c r="A13">
        <v>2035</v>
      </c>
      <c r="B13">
        <v>49.070999999999998</v>
      </c>
    </row>
    <row r="14" spans="1:4" x14ac:dyDescent="0.35">
      <c r="A14">
        <v>2036</v>
      </c>
      <c r="B14">
        <v>47.183999999999997</v>
      </c>
    </row>
    <row r="15" spans="1:4" x14ac:dyDescent="0.35">
      <c r="A15">
        <v>2037</v>
      </c>
      <c r="B15">
        <v>45.414000000000001</v>
      </c>
    </row>
    <row r="16" spans="1:4" x14ac:dyDescent="0.35">
      <c r="A16">
        <v>2038</v>
      </c>
      <c r="B16">
        <v>43.75</v>
      </c>
    </row>
    <row r="17" spans="1:2" x14ac:dyDescent="0.35">
      <c r="A17">
        <v>2039</v>
      </c>
      <c r="B17">
        <v>42.17</v>
      </c>
    </row>
    <row r="18" spans="1:2" x14ac:dyDescent="0.35">
      <c r="A18">
        <v>2040</v>
      </c>
      <c r="B18">
        <v>40.683999999999997</v>
      </c>
    </row>
    <row r="19" spans="1:2" x14ac:dyDescent="0.35">
      <c r="A19">
        <v>2041</v>
      </c>
      <c r="B19">
        <v>39.345999999999997</v>
      </c>
    </row>
    <row r="20" spans="1:2" x14ac:dyDescent="0.35">
      <c r="A20">
        <v>2042</v>
      </c>
      <c r="B20">
        <v>38.01</v>
      </c>
    </row>
    <row r="21" spans="1:2" x14ac:dyDescent="0.35">
      <c r="A21">
        <v>2043</v>
      </c>
      <c r="B21">
        <v>36.688000000000002</v>
      </c>
    </row>
    <row r="22" spans="1:2" x14ac:dyDescent="0.35">
      <c r="A22">
        <v>2044</v>
      </c>
      <c r="B22">
        <v>35.380000000000003</v>
      </c>
    </row>
    <row r="23" spans="1:2" x14ac:dyDescent="0.35">
      <c r="A23">
        <v>2045</v>
      </c>
      <c r="B23">
        <v>34.085999999999999</v>
      </c>
    </row>
    <row r="24" spans="1:2" x14ac:dyDescent="0.35">
      <c r="A24">
        <v>2046</v>
      </c>
      <c r="B24">
        <v>32.802999999999997</v>
      </c>
    </row>
    <row r="25" spans="1:2" x14ac:dyDescent="0.35">
      <c r="A25">
        <v>2047</v>
      </c>
      <c r="B25">
        <v>31.547000000000001</v>
      </c>
    </row>
    <row r="26" spans="1:2" x14ac:dyDescent="0.35">
      <c r="A26">
        <v>2048</v>
      </c>
      <c r="B26">
        <v>30.285</v>
      </c>
    </row>
    <row r="27" spans="1:2" x14ac:dyDescent="0.35">
      <c r="A27">
        <v>2049</v>
      </c>
      <c r="B27">
        <v>29.027000000000001</v>
      </c>
    </row>
    <row r="28" spans="1:2" x14ac:dyDescent="0.35">
      <c r="A28">
        <v>2050</v>
      </c>
      <c r="B28">
        <v>27.779</v>
      </c>
    </row>
    <row r="29" spans="1:2" x14ac:dyDescent="0.35">
      <c r="A29">
        <v>2051</v>
      </c>
      <c r="B29">
        <v>26.553999999999998</v>
      </c>
    </row>
    <row r="30" spans="1:2" x14ac:dyDescent="0.35">
      <c r="A30">
        <v>2052</v>
      </c>
      <c r="B30">
        <v>25.315000000000001</v>
      </c>
    </row>
    <row r="31" spans="1:2" x14ac:dyDescent="0.35">
      <c r="A31">
        <v>2053</v>
      </c>
      <c r="B31">
        <v>24.071999999999999</v>
      </c>
    </row>
    <row r="32" spans="1:2" x14ac:dyDescent="0.35">
      <c r="A32">
        <v>2054</v>
      </c>
      <c r="B32">
        <v>22.829000000000001</v>
      </c>
    </row>
    <row r="33" spans="1:2" x14ac:dyDescent="0.35">
      <c r="A33">
        <v>2055</v>
      </c>
      <c r="B33">
        <v>21.573</v>
      </c>
    </row>
    <row r="34" spans="1:2" x14ac:dyDescent="0.35">
      <c r="A34">
        <v>2056</v>
      </c>
      <c r="B34">
        <v>20.309999999999999</v>
      </c>
    </row>
    <row r="35" spans="1:2" x14ac:dyDescent="0.35">
      <c r="A35">
        <v>2057</v>
      </c>
      <c r="B35">
        <v>19.041</v>
      </c>
    </row>
    <row r="36" spans="1:2" x14ac:dyDescent="0.35">
      <c r="A36">
        <v>2058</v>
      </c>
      <c r="B36">
        <v>17.765999999999998</v>
      </c>
    </row>
    <row r="37" spans="1:2" x14ac:dyDescent="0.35">
      <c r="A37">
        <v>2059</v>
      </c>
      <c r="B37">
        <v>16.484999999999999</v>
      </c>
    </row>
    <row r="38" spans="1:2" x14ac:dyDescent="0.35">
      <c r="A38">
        <v>2060</v>
      </c>
      <c r="B38">
        <v>15.199</v>
      </c>
    </row>
    <row r="39" spans="1:2" x14ac:dyDescent="0.35">
      <c r="A39">
        <v>2061</v>
      </c>
      <c r="B39">
        <v>13.906000000000001</v>
      </c>
    </row>
    <row r="40" spans="1:2" x14ac:dyDescent="0.35">
      <c r="A40">
        <v>2062</v>
      </c>
      <c r="B40">
        <v>12.609</v>
      </c>
    </row>
    <row r="41" spans="1:2" x14ac:dyDescent="0.35">
      <c r="A41">
        <v>2063</v>
      </c>
      <c r="B41">
        <v>11.308999999999999</v>
      </c>
    </row>
    <row r="42" spans="1:2" x14ac:dyDescent="0.35">
      <c r="A42">
        <v>2064</v>
      </c>
      <c r="B42">
        <v>10.006</v>
      </c>
    </row>
    <row r="43" spans="1:2" x14ac:dyDescent="0.35">
      <c r="A43">
        <v>2065</v>
      </c>
      <c r="B43">
        <v>8.6980000000000004</v>
      </c>
    </row>
    <row r="44" spans="1:2" x14ac:dyDescent="0.35">
      <c r="A44">
        <v>2066</v>
      </c>
      <c r="B44">
        <v>7.3860000000000001</v>
      </c>
    </row>
    <row r="45" spans="1:2" x14ac:dyDescent="0.35">
      <c r="A45">
        <v>2067</v>
      </c>
      <c r="B45">
        <v>6.07</v>
      </c>
    </row>
    <row r="46" spans="1:2" x14ac:dyDescent="0.35">
      <c r="A46">
        <v>2068</v>
      </c>
      <c r="B46">
        <v>4.75</v>
      </c>
    </row>
    <row r="47" spans="1:2" x14ac:dyDescent="0.35">
      <c r="A47">
        <v>2069</v>
      </c>
      <c r="B47">
        <v>3.4249999999999998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</sheetPr>
  <dimension ref="B3:B10"/>
  <sheetViews>
    <sheetView workbookViewId="0">
      <selection activeCell="B3" sqref="B3"/>
    </sheetView>
  </sheetViews>
  <sheetFormatPr defaultRowHeight="14.5" x14ac:dyDescent="0.35"/>
  <sheetData>
    <row r="3" spans="2:2" x14ac:dyDescent="0.35">
      <c r="B3" s="36" t="s">
        <v>76</v>
      </c>
    </row>
    <row r="4" spans="2:2" x14ac:dyDescent="0.35">
      <c r="B4" s="36" t="s">
        <v>77</v>
      </c>
    </row>
    <row r="5" spans="2:2" x14ac:dyDescent="0.35">
      <c r="B5" s="35" t="s">
        <v>78</v>
      </c>
    </row>
    <row r="6" spans="2:2" x14ac:dyDescent="0.35">
      <c r="B6" s="36" t="s">
        <v>79</v>
      </c>
    </row>
    <row r="7" spans="2:2" x14ac:dyDescent="0.35">
      <c r="B7" s="36" t="s">
        <v>80</v>
      </c>
    </row>
    <row r="8" spans="2:2" x14ac:dyDescent="0.35">
      <c r="B8" s="37" t="s">
        <v>81</v>
      </c>
    </row>
    <row r="9" spans="2:2" x14ac:dyDescent="0.35">
      <c r="B9" s="36" t="s">
        <v>77</v>
      </c>
    </row>
    <row r="10" spans="2:2" x14ac:dyDescent="0.35">
      <c r="B10" s="37" t="s">
        <v>82</v>
      </c>
    </row>
  </sheetData>
  <hyperlinks>
    <hyperlink ref="B5" r:id="rId1" xr:uid="{00000000-0004-0000-0100-000000000000}"/>
    <hyperlink ref="B8" r:id="rId2" xr:uid="{00000000-0004-0000-0100-000001000000}"/>
    <hyperlink ref="B10" r:id="rId3" xr:uid="{00000000-0004-0000-01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fig1-14</vt:lpstr>
      <vt:lpstr>OECD_proj</vt:lpstr>
      <vt:lpstr>PBO</vt:lpstr>
      <vt:lpstr>About this file</vt:lpstr>
      <vt:lpstr>'fig1-14'!_Ref209109087</vt:lpstr>
      <vt:lpstr>'fig1-14'!Print_Area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AZZOPARDI Damien, ECO/CS2</dc:creator>
  <cp:lastModifiedBy>Matt</cp:lastModifiedBy>
  <dcterms:created xsi:type="dcterms:W3CDTF">2026-01-13T10:38:47Z</dcterms:created>
  <dcterms:modified xsi:type="dcterms:W3CDTF">2026-04-14T04:21:04Z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2026-01-13T10:38:54Z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55096c4a-67d1-4609-bfd4-dae3bc87e6fa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